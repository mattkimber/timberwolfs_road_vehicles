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timberwolfs_road_vehicles\"/>
    </mc:Choice>
  </mc:AlternateContent>
  <xr:revisionPtr revIDLastSave="0" documentId="13_ncr:1_{8F530821-07FA-44B8-ACB2-F811550F050A}" xr6:coauthVersionLast="45" xr6:coauthVersionMax="45" xr10:uidLastSave="{00000000-0000-0000-0000-000000000000}"/>
  <bookViews>
    <workbookView xWindow="6540" yWindow="1710" windowWidth="20880" windowHeight="12840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table!$A$1:$BP$121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36" i="1" l="1"/>
  <c r="BO37" i="1"/>
  <c r="BN36" i="1"/>
  <c r="BG36" i="1"/>
  <c r="BH36" i="1"/>
  <c r="BI36" i="1"/>
  <c r="BJ36" i="1"/>
  <c r="BE32" i="1"/>
  <c r="BE33" i="1"/>
  <c r="BE34" i="1"/>
  <c r="BE35" i="1"/>
  <c r="BE36" i="1"/>
  <c r="AZ32" i="1"/>
  <c r="BA32" i="1"/>
  <c r="BB32" i="1"/>
  <c r="BC32" i="1"/>
  <c r="BD32" i="1"/>
  <c r="AZ33" i="1"/>
  <c r="BA33" i="1"/>
  <c r="BB33" i="1"/>
  <c r="BC33" i="1"/>
  <c r="BD33" i="1"/>
  <c r="AZ34" i="1"/>
  <c r="BA34" i="1"/>
  <c r="BB34" i="1"/>
  <c r="BC34" i="1"/>
  <c r="BD34" i="1"/>
  <c r="AZ35" i="1"/>
  <c r="BA35" i="1"/>
  <c r="BB35" i="1"/>
  <c r="BC35" i="1"/>
  <c r="BD35" i="1"/>
  <c r="AZ36" i="1"/>
  <c r="BA36" i="1"/>
  <c r="BB36" i="1"/>
  <c r="BC36" i="1"/>
  <c r="BD36" i="1"/>
  <c r="AV36" i="1"/>
  <c r="AW36" i="1"/>
  <c r="D36" i="1"/>
  <c r="D37" i="1"/>
  <c r="D38" i="1"/>
  <c r="BO32" i="1" l="1"/>
  <c r="BN32" i="1"/>
  <c r="BN33" i="1"/>
  <c r="BN34" i="1"/>
  <c r="BN35" i="1"/>
  <c r="BN37" i="1"/>
  <c r="BG32" i="1"/>
  <c r="BH32" i="1"/>
  <c r="BI32" i="1"/>
  <c r="BJ32" i="1"/>
  <c r="AV32" i="1"/>
  <c r="AW32" i="1"/>
  <c r="D31" i="1"/>
  <c r="D32" i="1"/>
  <c r="D33" i="1"/>
  <c r="D34" i="1"/>
  <c r="D35" i="1"/>
  <c r="BI12" i="1" l="1"/>
  <c r="BJ12" i="1"/>
  <c r="BI13" i="1"/>
  <c r="BJ13" i="1"/>
  <c r="BI14" i="1"/>
  <c r="BJ14" i="1"/>
  <c r="BI15" i="1"/>
  <c r="BJ15" i="1"/>
  <c r="BI16" i="1"/>
  <c r="BJ16" i="1"/>
  <c r="BI17" i="1"/>
  <c r="BJ17" i="1"/>
  <c r="BI18" i="1"/>
  <c r="BJ18" i="1"/>
  <c r="BI19" i="1"/>
  <c r="BJ19" i="1"/>
  <c r="BI20" i="1"/>
  <c r="BJ20" i="1"/>
  <c r="BI21" i="1"/>
  <c r="BJ21" i="1"/>
  <c r="BI22" i="1"/>
  <c r="BJ22" i="1"/>
  <c r="BI23" i="1"/>
  <c r="BJ23" i="1"/>
  <c r="BI24" i="1"/>
  <c r="BJ24" i="1"/>
  <c r="BI25" i="1"/>
  <c r="BJ25" i="1"/>
  <c r="BI26" i="1"/>
  <c r="BJ26" i="1"/>
  <c r="BI27" i="1"/>
  <c r="BJ27" i="1"/>
  <c r="BI28" i="1"/>
  <c r="BJ28" i="1"/>
  <c r="BI29" i="1"/>
  <c r="BJ29" i="1"/>
  <c r="BI30" i="1"/>
  <c r="BJ30" i="1"/>
  <c r="BI31" i="1"/>
  <c r="BJ31" i="1"/>
  <c r="BI33" i="1"/>
  <c r="BJ33" i="1"/>
  <c r="BI34" i="1"/>
  <c r="BJ34" i="1"/>
  <c r="BI35" i="1"/>
  <c r="BJ35" i="1"/>
  <c r="BI37" i="1"/>
  <c r="BJ37" i="1"/>
  <c r="BI38" i="1"/>
  <c r="BJ38" i="1"/>
  <c r="BI39" i="1"/>
  <c r="BJ39" i="1"/>
  <c r="BI40" i="1"/>
  <c r="BJ40" i="1"/>
  <c r="BI41" i="1"/>
  <c r="BJ41" i="1"/>
  <c r="BI42" i="1"/>
  <c r="BJ42" i="1"/>
  <c r="BI43" i="1"/>
  <c r="BJ43" i="1"/>
  <c r="BI44" i="1"/>
  <c r="BJ44" i="1"/>
  <c r="BI45" i="1"/>
  <c r="BJ45" i="1"/>
  <c r="BI46" i="1"/>
  <c r="BJ46" i="1"/>
  <c r="BI47" i="1"/>
  <c r="BJ47" i="1"/>
  <c r="BI48" i="1"/>
  <c r="BJ48" i="1"/>
  <c r="BI49" i="1"/>
  <c r="BJ49" i="1"/>
  <c r="BI50" i="1"/>
  <c r="BJ50" i="1"/>
  <c r="BI51" i="1"/>
  <c r="BJ51" i="1"/>
  <c r="BI52" i="1"/>
  <c r="BJ52" i="1"/>
  <c r="BI53" i="1"/>
  <c r="BJ53" i="1"/>
  <c r="BI54" i="1"/>
  <c r="BJ54" i="1"/>
  <c r="BI55" i="1"/>
  <c r="BJ55" i="1"/>
  <c r="BI56" i="1"/>
  <c r="BJ56" i="1"/>
  <c r="BI57" i="1"/>
  <c r="BJ57" i="1"/>
  <c r="BI58" i="1"/>
  <c r="BJ58" i="1"/>
  <c r="BI59" i="1"/>
  <c r="BJ59" i="1"/>
  <c r="BI60" i="1"/>
  <c r="BJ60" i="1"/>
  <c r="BI61" i="1"/>
  <c r="BJ61" i="1"/>
  <c r="BI62" i="1"/>
  <c r="BJ62" i="1"/>
  <c r="BI63" i="1"/>
  <c r="BJ63" i="1"/>
  <c r="BI64" i="1"/>
  <c r="BJ64" i="1"/>
  <c r="BI65" i="1"/>
  <c r="BJ65" i="1"/>
  <c r="BI66" i="1"/>
  <c r="BJ66" i="1"/>
  <c r="BI67" i="1"/>
  <c r="BJ67" i="1"/>
  <c r="BI68" i="1"/>
  <c r="BJ68" i="1"/>
  <c r="BI69" i="1"/>
  <c r="BJ69" i="1"/>
  <c r="BI70" i="1"/>
  <c r="BJ70" i="1"/>
  <c r="BI71" i="1"/>
  <c r="BJ71" i="1"/>
  <c r="BI72" i="1"/>
  <c r="BJ72" i="1"/>
  <c r="BI73" i="1"/>
  <c r="BJ73" i="1"/>
  <c r="BI74" i="1"/>
  <c r="BJ74" i="1"/>
  <c r="BI75" i="1"/>
  <c r="BJ75" i="1"/>
  <c r="BI76" i="1"/>
  <c r="BJ76" i="1"/>
  <c r="BI77" i="1"/>
  <c r="BJ77" i="1"/>
  <c r="BI78" i="1"/>
  <c r="BJ78" i="1"/>
  <c r="BI79" i="1"/>
  <c r="BJ79" i="1"/>
  <c r="BI80" i="1"/>
  <c r="BJ80" i="1"/>
  <c r="BI81" i="1"/>
  <c r="BJ81" i="1"/>
  <c r="BI82" i="1"/>
  <c r="BJ82" i="1"/>
  <c r="BI83" i="1"/>
  <c r="BJ83" i="1"/>
  <c r="BI84" i="1"/>
  <c r="BJ84" i="1"/>
  <c r="BI85" i="1"/>
  <c r="BJ85" i="1"/>
  <c r="BI86" i="1"/>
  <c r="BJ86" i="1"/>
  <c r="BI87" i="1"/>
  <c r="BJ87" i="1"/>
  <c r="BI88" i="1"/>
  <c r="BJ88" i="1"/>
  <c r="BI89" i="1"/>
  <c r="BJ89" i="1"/>
  <c r="BI90" i="1"/>
  <c r="BJ90" i="1"/>
  <c r="BI91" i="1"/>
  <c r="BJ91" i="1"/>
  <c r="BI92" i="1"/>
  <c r="BJ92" i="1"/>
  <c r="BI93" i="1"/>
  <c r="BJ93" i="1"/>
  <c r="BI94" i="1"/>
  <c r="BJ94" i="1"/>
  <c r="BI95" i="1"/>
  <c r="BJ95" i="1"/>
  <c r="BI96" i="1"/>
  <c r="BJ96" i="1"/>
  <c r="BI97" i="1"/>
  <c r="BJ97" i="1"/>
  <c r="BI98" i="1"/>
  <c r="BJ98" i="1"/>
  <c r="BI99" i="1"/>
  <c r="BJ99" i="1"/>
  <c r="BI100" i="1"/>
  <c r="BJ100" i="1"/>
  <c r="BI101" i="1"/>
  <c r="BJ101" i="1"/>
  <c r="BI102" i="1"/>
  <c r="BJ102" i="1"/>
  <c r="BI103" i="1"/>
  <c r="BJ103" i="1"/>
  <c r="BI104" i="1"/>
  <c r="BJ104" i="1"/>
  <c r="BI105" i="1"/>
  <c r="BJ105" i="1"/>
  <c r="BI106" i="1"/>
  <c r="BJ106" i="1"/>
  <c r="BI107" i="1"/>
  <c r="BJ107" i="1"/>
  <c r="BI108" i="1"/>
  <c r="BJ108" i="1"/>
  <c r="BI109" i="1"/>
  <c r="BJ109" i="1"/>
  <c r="BI110" i="1"/>
  <c r="BJ110" i="1"/>
  <c r="BI111" i="1"/>
  <c r="BJ111" i="1"/>
  <c r="BI112" i="1"/>
  <c r="BJ112" i="1"/>
  <c r="BI113" i="1"/>
  <c r="BJ113" i="1"/>
  <c r="BI114" i="1"/>
  <c r="BJ114" i="1"/>
  <c r="BI115" i="1"/>
  <c r="BJ115" i="1"/>
  <c r="BI116" i="1"/>
  <c r="BJ116" i="1"/>
  <c r="BI117" i="1"/>
  <c r="BJ117" i="1"/>
  <c r="BI118" i="1"/>
  <c r="BJ118" i="1"/>
  <c r="BI119" i="1"/>
  <c r="BJ119" i="1"/>
  <c r="BI120" i="1"/>
  <c r="BJ120" i="1"/>
  <c r="BI121" i="1"/>
  <c r="BJ121" i="1"/>
  <c r="BI122" i="1"/>
  <c r="BJ122" i="1"/>
  <c r="BJ11" i="1"/>
  <c r="BI11" i="1"/>
  <c r="BH12" i="1"/>
  <c r="BH13" i="1"/>
  <c r="BH14" i="1"/>
  <c r="BH15" i="1"/>
  <c r="BH16" i="1"/>
  <c r="BH17" i="1"/>
  <c r="BH18" i="1"/>
  <c r="BH19" i="1"/>
  <c r="BH20" i="1"/>
  <c r="BH21" i="1"/>
  <c r="BH22" i="1"/>
  <c r="BH23" i="1"/>
  <c r="BH24" i="1"/>
  <c r="BH25" i="1"/>
  <c r="BH26" i="1"/>
  <c r="BH27" i="1"/>
  <c r="BH28" i="1"/>
  <c r="BH29" i="1"/>
  <c r="BH30" i="1"/>
  <c r="BH31" i="1"/>
  <c r="BH33" i="1"/>
  <c r="BH34" i="1"/>
  <c r="BH35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H62" i="1"/>
  <c r="BH63" i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H86" i="1"/>
  <c r="BH87" i="1"/>
  <c r="BH88" i="1"/>
  <c r="BH89" i="1"/>
  <c r="BH90" i="1"/>
  <c r="BH91" i="1"/>
  <c r="BH92" i="1"/>
  <c r="BH93" i="1"/>
  <c r="BH94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7" i="1"/>
  <c r="BH118" i="1"/>
  <c r="BH119" i="1"/>
  <c r="BH120" i="1"/>
  <c r="BH121" i="1"/>
  <c r="BH122" i="1"/>
  <c r="BH11" i="1"/>
  <c r="BB25" i="1" l="1"/>
  <c r="BC25" i="1"/>
  <c r="BD25" i="1"/>
  <c r="BE25" i="1"/>
  <c r="BB26" i="1"/>
  <c r="BC26" i="1"/>
  <c r="BD26" i="1"/>
  <c r="BE26" i="1"/>
  <c r="BB27" i="1"/>
  <c r="BC27" i="1"/>
  <c r="BD27" i="1"/>
  <c r="BE27" i="1"/>
  <c r="BB28" i="1"/>
  <c r="BC28" i="1"/>
  <c r="BD28" i="1"/>
  <c r="BE28" i="1"/>
  <c r="BB29" i="1"/>
  <c r="BC29" i="1"/>
  <c r="BD29" i="1"/>
  <c r="BE29" i="1"/>
  <c r="BB30" i="1"/>
  <c r="BC30" i="1"/>
  <c r="BD30" i="1"/>
  <c r="BE30" i="1"/>
  <c r="BB31" i="1"/>
  <c r="BC31" i="1"/>
  <c r="BD31" i="1"/>
  <c r="BE31" i="1"/>
  <c r="BB37" i="1"/>
  <c r="BC37" i="1"/>
  <c r="BD37" i="1"/>
  <c r="BE37" i="1"/>
  <c r="BB38" i="1"/>
  <c r="BC38" i="1"/>
  <c r="BD38" i="1"/>
  <c r="BE38" i="1"/>
  <c r="BB39" i="1"/>
  <c r="BC39" i="1"/>
  <c r="BD39" i="1"/>
  <c r="BE39" i="1"/>
  <c r="BB40" i="1"/>
  <c r="BC40" i="1"/>
  <c r="BD40" i="1"/>
  <c r="BE40" i="1"/>
  <c r="BB41" i="1"/>
  <c r="BC41" i="1"/>
  <c r="BD41" i="1"/>
  <c r="BE41" i="1"/>
  <c r="BB42" i="1"/>
  <c r="BC42" i="1"/>
  <c r="BD42" i="1"/>
  <c r="BE42" i="1"/>
  <c r="BB43" i="1"/>
  <c r="BC43" i="1"/>
  <c r="BD43" i="1"/>
  <c r="BE43" i="1"/>
  <c r="BB44" i="1"/>
  <c r="BC44" i="1"/>
  <c r="BD44" i="1"/>
  <c r="BE44" i="1"/>
  <c r="BB45" i="1"/>
  <c r="BC45" i="1"/>
  <c r="BD45" i="1"/>
  <c r="BE45" i="1"/>
  <c r="BB46" i="1"/>
  <c r="BC46" i="1"/>
  <c r="BD46" i="1"/>
  <c r="BE46" i="1"/>
  <c r="BB47" i="1"/>
  <c r="BC47" i="1"/>
  <c r="BD47" i="1"/>
  <c r="BE47" i="1"/>
  <c r="BB48" i="1"/>
  <c r="BC48" i="1"/>
  <c r="BD48" i="1"/>
  <c r="BE48" i="1"/>
  <c r="BB49" i="1"/>
  <c r="BC49" i="1"/>
  <c r="BD49" i="1"/>
  <c r="BE49" i="1"/>
  <c r="BB50" i="1"/>
  <c r="BC50" i="1"/>
  <c r="BD50" i="1"/>
  <c r="BE50" i="1"/>
  <c r="BB51" i="1"/>
  <c r="BC51" i="1"/>
  <c r="BD51" i="1"/>
  <c r="BE51" i="1"/>
  <c r="BB52" i="1"/>
  <c r="BC52" i="1"/>
  <c r="BD52" i="1"/>
  <c r="BE52" i="1"/>
  <c r="BB53" i="1"/>
  <c r="BC53" i="1"/>
  <c r="BD53" i="1"/>
  <c r="BE53" i="1"/>
  <c r="BB54" i="1"/>
  <c r="BC54" i="1"/>
  <c r="BD54" i="1"/>
  <c r="BE54" i="1"/>
  <c r="BB55" i="1"/>
  <c r="BC55" i="1"/>
  <c r="BD55" i="1"/>
  <c r="BE55" i="1"/>
  <c r="BB56" i="1"/>
  <c r="BC56" i="1"/>
  <c r="BD56" i="1"/>
  <c r="BE56" i="1"/>
  <c r="BB57" i="1"/>
  <c r="BC57" i="1"/>
  <c r="BD57" i="1"/>
  <c r="BE57" i="1"/>
  <c r="BB58" i="1"/>
  <c r="BC58" i="1"/>
  <c r="BD58" i="1"/>
  <c r="BE58" i="1"/>
  <c r="BB59" i="1"/>
  <c r="BC59" i="1"/>
  <c r="BD59" i="1"/>
  <c r="BE59" i="1"/>
  <c r="BB60" i="1"/>
  <c r="BC60" i="1"/>
  <c r="BD60" i="1"/>
  <c r="BE60" i="1"/>
  <c r="BB61" i="1"/>
  <c r="BC61" i="1"/>
  <c r="BD61" i="1"/>
  <c r="BE61" i="1"/>
  <c r="BB62" i="1"/>
  <c r="BC62" i="1"/>
  <c r="BD62" i="1"/>
  <c r="BE62" i="1"/>
  <c r="BB63" i="1"/>
  <c r="BC63" i="1"/>
  <c r="BD63" i="1"/>
  <c r="BE63" i="1"/>
  <c r="BB64" i="1"/>
  <c r="BC64" i="1"/>
  <c r="BD64" i="1"/>
  <c r="BE64" i="1"/>
  <c r="BB65" i="1"/>
  <c r="BC65" i="1"/>
  <c r="BD65" i="1"/>
  <c r="BE65" i="1"/>
  <c r="BB66" i="1"/>
  <c r="BC66" i="1"/>
  <c r="BD66" i="1"/>
  <c r="BE66" i="1"/>
  <c r="BB67" i="1"/>
  <c r="BC67" i="1"/>
  <c r="BD67" i="1"/>
  <c r="BE67" i="1"/>
  <c r="BB68" i="1"/>
  <c r="BC68" i="1"/>
  <c r="BD68" i="1"/>
  <c r="BE68" i="1"/>
  <c r="BB69" i="1"/>
  <c r="BC69" i="1"/>
  <c r="BD69" i="1"/>
  <c r="BE69" i="1"/>
  <c r="BB70" i="1"/>
  <c r="BC70" i="1"/>
  <c r="BD70" i="1"/>
  <c r="BE70" i="1"/>
  <c r="BB71" i="1"/>
  <c r="BC71" i="1"/>
  <c r="BD71" i="1"/>
  <c r="BE71" i="1"/>
  <c r="BB72" i="1"/>
  <c r="BC72" i="1"/>
  <c r="BD72" i="1"/>
  <c r="BE72" i="1"/>
  <c r="BB73" i="1"/>
  <c r="BC73" i="1"/>
  <c r="BD73" i="1"/>
  <c r="BE73" i="1"/>
  <c r="BB74" i="1"/>
  <c r="BC74" i="1"/>
  <c r="BD74" i="1"/>
  <c r="BE74" i="1"/>
  <c r="BB75" i="1"/>
  <c r="BC75" i="1"/>
  <c r="BD75" i="1"/>
  <c r="BE75" i="1"/>
  <c r="BB76" i="1"/>
  <c r="BC76" i="1"/>
  <c r="BD76" i="1"/>
  <c r="BE76" i="1"/>
  <c r="BB77" i="1"/>
  <c r="BC77" i="1"/>
  <c r="BD77" i="1"/>
  <c r="BE77" i="1"/>
  <c r="BB78" i="1"/>
  <c r="BC78" i="1"/>
  <c r="BD78" i="1"/>
  <c r="BE78" i="1"/>
  <c r="BB79" i="1"/>
  <c r="BC79" i="1"/>
  <c r="BD79" i="1"/>
  <c r="BE79" i="1"/>
  <c r="BB80" i="1"/>
  <c r="BC80" i="1"/>
  <c r="BD80" i="1"/>
  <c r="BE80" i="1"/>
  <c r="BB81" i="1"/>
  <c r="BC81" i="1"/>
  <c r="BD81" i="1"/>
  <c r="BE81" i="1"/>
  <c r="BB82" i="1"/>
  <c r="BC82" i="1"/>
  <c r="BD82" i="1"/>
  <c r="BE82" i="1"/>
  <c r="BB83" i="1"/>
  <c r="BC83" i="1"/>
  <c r="BD83" i="1"/>
  <c r="BE83" i="1"/>
  <c r="BB84" i="1"/>
  <c r="BC84" i="1"/>
  <c r="BD84" i="1"/>
  <c r="BE84" i="1"/>
  <c r="BB85" i="1"/>
  <c r="BC85" i="1"/>
  <c r="BD85" i="1"/>
  <c r="BE85" i="1"/>
  <c r="BB86" i="1"/>
  <c r="BC86" i="1"/>
  <c r="BD86" i="1"/>
  <c r="BE86" i="1"/>
  <c r="BB87" i="1"/>
  <c r="BC87" i="1"/>
  <c r="BD87" i="1"/>
  <c r="BE87" i="1"/>
  <c r="BB88" i="1"/>
  <c r="BC88" i="1"/>
  <c r="BD88" i="1"/>
  <c r="BE88" i="1"/>
  <c r="BB89" i="1"/>
  <c r="BC89" i="1"/>
  <c r="BD89" i="1"/>
  <c r="BE89" i="1"/>
  <c r="BB90" i="1"/>
  <c r="BC90" i="1"/>
  <c r="BD90" i="1"/>
  <c r="BE90" i="1"/>
  <c r="BB91" i="1"/>
  <c r="BC91" i="1"/>
  <c r="BD91" i="1"/>
  <c r="BE91" i="1"/>
  <c r="BB92" i="1"/>
  <c r="BC92" i="1"/>
  <c r="BD92" i="1"/>
  <c r="BE92" i="1"/>
  <c r="BB93" i="1"/>
  <c r="BC93" i="1"/>
  <c r="BD93" i="1"/>
  <c r="BE93" i="1"/>
  <c r="BB94" i="1"/>
  <c r="BC94" i="1"/>
  <c r="BD94" i="1"/>
  <c r="BE94" i="1"/>
  <c r="BB95" i="1"/>
  <c r="BC95" i="1"/>
  <c r="BD95" i="1"/>
  <c r="BE95" i="1"/>
  <c r="BB96" i="1"/>
  <c r="BC96" i="1"/>
  <c r="BD96" i="1"/>
  <c r="BE96" i="1"/>
  <c r="BB97" i="1"/>
  <c r="BC97" i="1"/>
  <c r="BD97" i="1"/>
  <c r="BE97" i="1"/>
  <c r="BB98" i="1"/>
  <c r="BC98" i="1"/>
  <c r="BD98" i="1"/>
  <c r="BE98" i="1"/>
  <c r="BB99" i="1"/>
  <c r="BC99" i="1"/>
  <c r="BD99" i="1"/>
  <c r="BE99" i="1"/>
  <c r="BB100" i="1"/>
  <c r="BC100" i="1"/>
  <c r="BD100" i="1"/>
  <c r="BE100" i="1"/>
  <c r="BB101" i="1"/>
  <c r="BC101" i="1"/>
  <c r="BD101" i="1"/>
  <c r="BE101" i="1"/>
  <c r="BB102" i="1"/>
  <c r="BC102" i="1"/>
  <c r="BD102" i="1"/>
  <c r="BE102" i="1"/>
  <c r="BB103" i="1"/>
  <c r="BC103" i="1"/>
  <c r="BD103" i="1"/>
  <c r="BE103" i="1"/>
  <c r="BB104" i="1"/>
  <c r="BC104" i="1"/>
  <c r="BD104" i="1"/>
  <c r="BE104" i="1"/>
  <c r="BB105" i="1"/>
  <c r="BC105" i="1"/>
  <c r="BD105" i="1"/>
  <c r="BE105" i="1"/>
  <c r="BB106" i="1"/>
  <c r="BC106" i="1"/>
  <c r="BD106" i="1"/>
  <c r="BE106" i="1"/>
  <c r="BB107" i="1"/>
  <c r="BC107" i="1"/>
  <c r="BD107" i="1"/>
  <c r="BE107" i="1"/>
  <c r="BB108" i="1"/>
  <c r="BC108" i="1"/>
  <c r="BD108" i="1"/>
  <c r="BE108" i="1"/>
  <c r="BB109" i="1"/>
  <c r="BC109" i="1"/>
  <c r="BD109" i="1"/>
  <c r="BE109" i="1"/>
  <c r="BB110" i="1"/>
  <c r="BC110" i="1"/>
  <c r="BD110" i="1"/>
  <c r="BE110" i="1"/>
  <c r="BB111" i="1"/>
  <c r="BC111" i="1"/>
  <c r="BD111" i="1"/>
  <c r="BE111" i="1"/>
  <c r="BB112" i="1"/>
  <c r="BC112" i="1"/>
  <c r="BD112" i="1"/>
  <c r="BE112" i="1"/>
  <c r="BB113" i="1"/>
  <c r="BC113" i="1"/>
  <c r="BD113" i="1"/>
  <c r="BE113" i="1"/>
  <c r="BB114" i="1"/>
  <c r="BC114" i="1"/>
  <c r="BD114" i="1"/>
  <c r="BE114" i="1"/>
  <c r="BB115" i="1"/>
  <c r="BC115" i="1"/>
  <c r="BD115" i="1"/>
  <c r="BE115" i="1"/>
  <c r="BB116" i="1"/>
  <c r="BC116" i="1"/>
  <c r="BD116" i="1"/>
  <c r="BE116" i="1"/>
  <c r="BB117" i="1"/>
  <c r="BC117" i="1"/>
  <c r="BD117" i="1"/>
  <c r="BE117" i="1"/>
  <c r="BB118" i="1"/>
  <c r="BC118" i="1"/>
  <c r="BD118" i="1"/>
  <c r="BE118" i="1"/>
  <c r="BB119" i="1"/>
  <c r="BC119" i="1"/>
  <c r="BD119" i="1"/>
  <c r="BE119" i="1"/>
  <c r="BB120" i="1"/>
  <c r="BC120" i="1"/>
  <c r="BD120" i="1"/>
  <c r="BE120" i="1"/>
  <c r="BB121" i="1"/>
  <c r="BC121" i="1"/>
  <c r="BD121" i="1"/>
  <c r="BE121" i="1"/>
  <c r="BB122" i="1"/>
  <c r="BC122" i="1"/>
  <c r="BD122" i="1"/>
  <c r="BE122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B12" i="1"/>
  <c r="BD12" i="1"/>
  <c r="BE12" i="1"/>
  <c r="BB13" i="1"/>
  <c r="BD13" i="1"/>
  <c r="BE13" i="1"/>
  <c r="BB14" i="1"/>
  <c r="BD14" i="1"/>
  <c r="BE14" i="1"/>
  <c r="BB15" i="1"/>
  <c r="BD15" i="1"/>
  <c r="BE15" i="1"/>
  <c r="BB16" i="1"/>
  <c r="BD16" i="1"/>
  <c r="BE16" i="1"/>
  <c r="BB17" i="1"/>
  <c r="BD17" i="1"/>
  <c r="BE17" i="1"/>
  <c r="BB18" i="1"/>
  <c r="BD18" i="1"/>
  <c r="BE18" i="1"/>
  <c r="BB19" i="1"/>
  <c r="BD19" i="1"/>
  <c r="BE19" i="1"/>
  <c r="BB20" i="1"/>
  <c r="BD20" i="1"/>
  <c r="BE20" i="1"/>
  <c r="BB21" i="1"/>
  <c r="BD21" i="1"/>
  <c r="BE21" i="1"/>
  <c r="BB22" i="1"/>
  <c r="BD22" i="1"/>
  <c r="BE22" i="1"/>
  <c r="BB23" i="1"/>
  <c r="BD23" i="1"/>
  <c r="BE23" i="1"/>
  <c r="BB24" i="1"/>
  <c r="BD24" i="1"/>
  <c r="BE24" i="1"/>
  <c r="BE11" i="1"/>
  <c r="BD11" i="1"/>
  <c r="BB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E112" i="1" s="1"/>
  <c r="D113" i="1"/>
  <c r="D114" i="1"/>
  <c r="E114" i="1" s="1"/>
  <c r="D115" i="1"/>
  <c r="D116" i="1"/>
  <c r="E116" i="1" s="1"/>
  <c r="D117" i="1"/>
  <c r="D118" i="1"/>
  <c r="D119" i="1"/>
  <c r="D120" i="1"/>
  <c r="D121" i="1"/>
  <c r="D122" i="1"/>
  <c r="D11" i="1"/>
  <c r="BN12" i="1"/>
  <c r="BN13" i="1"/>
  <c r="BN14" i="1"/>
  <c r="BN17" i="1"/>
  <c r="BN15" i="1"/>
  <c r="BN16" i="1"/>
  <c r="BN18" i="1"/>
  <c r="BN19" i="1"/>
  <c r="BG12" i="1"/>
  <c r="BG13" i="1"/>
  <c r="BG14" i="1"/>
  <c r="BG17" i="1"/>
  <c r="BG15" i="1"/>
  <c r="BG16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3" i="1"/>
  <c r="BG34" i="1"/>
  <c r="BG35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1" i="1"/>
  <c r="BA11" i="1"/>
  <c r="AW11" i="1"/>
  <c r="AZ11" i="1"/>
  <c r="BA96" i="1"/>
  <c r="AZ12" i="1"/>
  <c r="AZ13" i="1"/>
  <c r="AZ14" i="1"/>
  <c r="AZ17" i="1"/>
  <c r="AZ15" i="1"/>
  <c r="AZ16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V11" i="1"/>
  <c r="BN20" i="1"/>
  <c r="BN21" i="1"/>
  <c r="BN22" i="1"/>
  <c r="BN23" i="1"/>
  <c r="BN24" i="1"/>
  <c r="BN25" i="1"/>
  <c r="BN26" i="1"/>
  <c r="BN27" i="1"/>
  <c r="BN28" i="1"/>
  <c r="BN29" i="1"/>
  <c r="BN30" i="1"/>
  <c r="BN31" i="1"/>
  <c r="BN38" i="1"/>
  <c r="BN39" i="1"/>
  <c r="BN40" i="1"/>
  <c r="BN41" i="1"/>
  <c r="BN42" i="1"/>
  <c r="BN43" i="1"/>
  <c r="BN44" i="1"/>
  <c r="BN45" i="1"/>
  <c r="BN46" i="1"/>
  <c r="BN47" i="1"/>
  <c r="BN48" i="1"/>
  <c r="BN49" i="1"/>
  <c r="BN50" i="1"/>
  <c r="BN51" i="1"/>
  <c r="BN52" i="1"/>
  <c r="BN53" i="1"/>
  <c r="BN54" i="1"/>
  <c r="BN55" i="1"/>
  <c r="BN56" i="1"/>
  <c r="BN57" i="1"/>
  <c r="BN58" i="1"/>
  <c r="BN59" i="1"/>
  <c r="BN60" i="1"/>
  <c r="BN61" i="1"/>
  <c r="BN62" i="1"/>
  <c r="BN63" i="1"/>
  <c r="BN64" i="1"/>
  <c r="BN65" i="1"/>
  <c r="BN66" i="1"/>
  <c r="BN67" i="1"/>
  <c r="BN68" i="1"/>
  <c r="BN69" i="1"/>
  <c r="BN70" i="1"/>
  <c r="BN71" i="1"/>
  <c r="BN72" i="1"/>
  <c r="BN73" i="1"/>
  <c r="BN74" i="1"/>
  <c r="BN75" i="1"/>
  <c r="BN76" i="1"/>
  <c r="BN77" i="1"/>
  <c r="BN78" i="1"/>
  <c r="BN79" i="1"/>
  <c r="BN80" i="1"/>
  <c r="BN81" i="1"/>
  <c r="BN82" i="1"/>
  <c r="BN83" i="1"/>
  <c r="BN84" i="1"/>
  <c r="BN85" i="1"/>
  <c r="BN86" i="1"/>
  <c r="BN87" i="1"/>
  <c r="BN88" i="1"/>
  <c r="BN89" i="1"/>
  <c r="BN90" i="1"/>
  <c r="BN91" i="1"/>
  <c r="BN92" i="1"/>
  <c r="BN93" i="1"/>
  <c r="BN94" i="1"/>
  <c r="BN95" i="1"/>
  <c r="BN96" i="1"/>
  <c r="BN97" i="1"/>
  <c r="BN98" i="1"/>
  <c r="BN99" i="1"/>
  <c r="BN100" i="1"/>
  <c r="BN101" i="1"/>
  <c r="BN102" i="1"/>
  <c r="BN103" i="1"/>
  <c r="BN104" i="1"/>
  <c r="BN105" i="1"/>
  <c r="BN106" i="1"/>
  <c r="BN107" i="1"/>
  <c r="BN108" i="1"/>
  <c r="BN109" i="1"/>
  <c r="BN110" i="1"/>
  <c r="BN111" i="1"/>
  <c r="BN112" i="1"/>
  <c r="BN113" i="1"/>
  <c r="BN114" i="1"/>
  <c r="BN115" i="1"/>
  <c r="BN116" i="1"/>
  <c r="BN117" i="1"/>
  <c r="BN118" i="1"/>
  <c r="BN119" i="1"/>
  <c r="BN120" i="1"/>
  <c r="BN121" i="1"/>
  <c r="BN122" i="1"/>
  <c r="BN11" i="1"/>
  <c r="BO11" i="1"/>
  <c r="BO96" i="1"/>
  <c r="B3" i="2" l="1"/>
  <c r="B4" i="2"/>
  <c r="B5" i="2"/>
  <c r="B6" i="2"/>
  <c r="B7" i="2" s="1"/>
  <c r="BO121" i="1" l="1"/>
  <c r="AW121" i="1"/>
  <c r="BA121" i="1" s="1"/>
  <c r="AV121" i="1"/>
  <c r="BO122" i="1" l="1"/>
  <c r="AW122" i="1"/>
  <c r="BA122" i="1" s="1"/>
  <c r="AV122" i="1"/>
  <c r="BO120" i="1"/>
  <c r="AW120" i="1"/>
  <c r="BA120" i="1" s="1"/>
  <c r="AV120" i="1"/>
  <c r="AV119" i="1" l="1"/>
  <c r="AW119" i="1"/>
  <c r="BA119" i="1" s="1"/>
  <c r="BO119" i="1"/>
  <c r="AV118" i="1"/>
  <c r="AW118" i="1"/>
  <c r="BA118" i="1" s="1"/>
  <c r="BO118" i="1"/>
  <c r="BO12" i="1"/>
  <c r="BO13" i="1"/>
  <c r="BO14" i="1"/>
  <c r="BO17" i="1"/>
  <c r="BO15" i="1"/>
  <c r="BO16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3" i="1"/>
  <c r="BO34" i="1"/>
  <c r="BO35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AW117" i="1"/>
  <c r="BA117" i="1" s="1"/>
  <c r="AV117" i="1"/>
  <c r="AV21" i="1" l="1"/>
  <c r="AV24" i="1"/>
  <c r="AV14" i="1"/>
  <c r="AV27" i="1"/>
  <c r="AV25" i="1"/>
  <c r="AV20" i="1"/>
  <c r="AV22" i="1"/>
  <c r="AV23" i="1"/>
  <c r="AV19" i="1"/>
  <c r="AV33" i="1"/>
  <c r="AV39" i="1"/>
  <c r="AV12" i="1"/>
  <c r="AV26" i="1"/>
  <c r="AV28" i="1"/>
  <c r="AV31" i="1"/>
  <c r="AV15" i="1"/>
  <c r="AV13" i="1"/>
  <c r="AV29" i="1"/>
  <c r="AV38" i="1"/>
  <c r="AV18" i="1"/>
  <c r="AV35" i="1"/>
  <c r="AV42" i="1"/>
  <c r="AV34" i="1"/>
  <c r="AV17" i="1"/>
  <c r="AV30" i="1"/>
  <c r="AV37" i="1"/>
  <c r="AV41" i="1"/>
  <c r="AV40" i="1"/>
  <c r="AV87" i="1"/>
  <c r="AV89" i="1"/>
  <c r="AV90" i="1"/>
  <c r="AV88" i="1"/>
  <c r="AV92" i="1"/>
  <c r="AV95" i="1"/>
  <c r="AV94" i="1"/>
  <c r="AV91" i="1"/>
  <c r="AV93" i="1"/>
  <c r="AV50" i="1"/>
  <c r="AV62" i="1"/>
  <c r="AV55" i="1"/>
  <c r="AV74" i="1"/>
  <c r="AV43" i="1"/>
  <c r="AV66" i="1"/>
  <c r="AV68" i="1"/>
  <c r="AV45" i="1"/>
  <c r="AV72" i="1"/>
  <c r="AV54" i="1"/>
  <c r="AV56" i="1"/>
  <c r="AV65" i="1"/>
  <c r="AV60" i="1"/>
  <c r="AV57" i="1"/>
  <c r="AV58" i="1"/>
  <c r="AV70" i="1"/>
  <c r="AV51" i="1"/>
  <c r="AV59" i="1"/>
  <c r="AV53" i="1"/>
  <c r="AV44" i="1"/>
  <c r="AV64" i="1"/>
  <c r="AV46" i="1"/>
  <c r="AV67" i="1"/>
  <c r="AV76" i="1"/>
  <c r="AV73" i="1"/>
  <c r="AV61" i="1"/>
  <c r="AV48" i="1"/>
  <c r="AV52" i="1"/>
  <c r="AV69" i="1"/>
  <c r="AV71" i="1"/>
  <c r="AV75" i="1"/>
  <c r="AV49" i="1"/>
  <c r="AV47" i="1"/>
  <c r="AV63" i="1"/>
  <c r="AV77" i="1"/>
  <c r="AV79" i="1"/>
  <c r="AV84" i="1"/>
  <c r="AV81" i="1"/>
  <c r="AV78" i="1"/>
  <c r="AV80" i="1"/>
  <c r="AV86" i="1"/>
  <c r="AV82" i="1"/>
  <c r="AV83" i="1"/>
  <c r="AV85" i="1"/>
  <c r="AV114" i="1"/>
  <c r="AV113" i="1"/>
  <c r="AV111" i="1"/>
  <c r="AV99" i="1"/>
  <c r="AV108" i="1"/>
  <c r="AV107" i="1"/>
  <c r="AV102" i="1"/>
  <c r="AV115" i="1"/>
  <c r="AV100" i="1"/>
  <c r="AV98" i="1"/>
  <c r="AV97" i="1"/>
  <c r="AV110" i="1"/>
  <c r="AV112" i="1"/>
  <c r="AV104" i="1"/>
  <c r="AV101" i="1"/>
  <c r="AV103" i="1"/>
  <c r="AV109" i="1"/>
  <c r="AV106" i="1"/>
  <c r="AV105" i="1"/>
  <c r="AV116" i="1"/>
  <c r="AV16" i="1"/>
  <c r="AW12" i="1"/>
  <c r="BA12" i="1" s="1"/>
  <c r="AW13" i="1"/>
  <c r="BA13" i="1" s="1"/>
  <c r="AW14" i="1"/>
  <c r="BA14" i="1" s="1"/>
  <c r="AW17" i="1"/>
  <c r="BA17" i="1" s="1"/>
  <c r="AW15" i="1"/>
  <c r="BA15" i="1" s="1"/>
  <c r="AW16" i="1"/>
  <c r="BA16" i="1" s="1"/>
  <c r="AW18" i="1"/>
  <c r="BA18" i="1" s="1"/>
  <c r="AW19" i="1"/>
  <c r="BA19" i="1" s="1"/>
  <c r="AW20" i="1"/>
  <c r="BA20" i="1" s="1"/>
  <c r="AW21" i="1"/>
  <c r="BA21" i="1" s="1"/>
  <c r="AW22" i="1"/>
  <c r="BA22" i="1" s="1"/>
  <c r="AW23" i="1"/>
  <c r="BA23" i="1" s="1"/>
  <c r="AW24" i="1"/>
  <c r="BA24" i="1" s="1"/>
  <c r="AW25" i="1"/>
  <c r="BA25" i="1" s="1"/>
  <c r="AW26" i="1"/>
  <c r="BA26" i="1" s="1"/>
  <c r="AW27" i="1"/>
  <c r="BA27" i="1" s="1"/>
  <c r="AW28" i="1"/>
  <c r="BA28" i="1" s="1"/>
  <c r="AW29" i="1"/>
  <c r="BA29" i="1" s="1"/>
  <c r="AW30" i="1"/>
  <c r="BA30" i="1" s="1"/>
  <c r="AW31" i="1"/>
  <c r="BA31" i="1" s="1"/>
  <c r="AW33" i="1"/>
  <c r="AW34" i="1"/>
  <c r="AW35" i="1"/>
  <c r="AW37" i="1"/>
  <c r="BA37" i="1" s="1"/>
  <c r="AW38" i="1"/>
  <c r="BA38" i="1" s="1"/>
  <c r="AW39" i="1"/>
  <c r="BA39" i="1" s="1"/>
  <c r="AW40" i="1"/>
  <c r="BA40" i="1" s="1"/>
  <c r="AW41" i="1"/>
  <c r="BA41" i="1" s="1"/>
  <c r="AW42" i="1"/>
  <c r="BA42" i="1" s="1"/>
  <c r="AW43" i="1"/>
  <c r="BA43" i="1" s="1"/>
  <c r="AW44" i="1"/>
  <c r="BA44" i="1" s="1"/>
  <c r="AW45" i="1"/>
  <c r="BA45" i="1" s="1"/>
  <c r="AW46" i="1"/>
  <c r="BA46" i="1" s="1"/>
  <c r="AW47" i="1"/>
  <c r="BA47" i="1" s="1"/>
  <c r="AW48" i="1"/>
  <c r="BA48" i="1" s="1"/>
  <c r="AW49" i="1"/>
  <c r="BA49" i="1" s="1"/>
  <c r="AW50" i="1"/>
  <c r="BA50" i="1" s="1"/>
  <c r="AW51" i="1"/>
  <c r="BA51" i="1" s="1"/>
  <c r="AW52" i="1"/>
  <c r="BA52" i="1" s="1"/>
  <c r="AW53" i="1"/>
  <c r="BA53" i="1" s="1"/>
  <c r="AW54" i="1"/>
  <c r="BA54" i="1" s="1"/>
  <c r="AW55" i="1"/>
  <c r="BA55" i="1" s="1"/>
  <c r="AW56" i="1"/>
  <c r="BA56" i="1" s="1"/>
  <c r="AW57" i="1"/>
  <c r="BA57" i="1" s="1"/>
  <c r="AW58" i="1"/>
  <c r="BA58" i="1" s="1"/>
  <c r="AW59" i="1"/>
  <c r="BA59" i="1" s="1"/>
  <c r="AW60" i="1"/>
  <c r="BA60" i="1" s="1"/>
  <c r="AW61" i="1"/>
  <c r="BA61" i="1" s="1"/>
  <c r="AW62" i="1"/>
  <c r="BA62" i="1" s="1"/>
  <c r="AW63" i="1"/>
  <c r="BA63" i="1" s="1"/>
  <c r="AW64" i="1"/>
  <c r="BA64" i="1" s="1"/>
  <c r="AW65" i="1"/>
  <c r="BA65" i="1" s="1"/>
  <c r="AW66" i="1"/>
  <c r="BA66" i="1" s="1"/>
  <c r="AW67" i="1"/>
  <c r="BA67" i="1" s="1"/>
  <c r="AW68" i="1"/>
  <c r="BA68" i="1" s="1"/>
  <c r="AW69" i="1"/>
  <c r="BA69" i="1" s="1"/>
  <c r="AW70" i="1"/>
  <c r="BA70" i="1" s="1"/>
  <c r="AW71" i="1"/>
  <c r="BA71" i="1" s="1"/>
  <c r="AW72" i="1"/>
  <c r="BA72" i="1" s="1"/>
  <c r="AW73" i="1"/>
  <c r="BA73" i="1" s="1"/>
  <c r="AW74" i="1"/>
  <c r="BA74" i="1" s="1"/>
  <c r="AW75" i="1"/>
  <c r="BA75" i="1" s="1"/>
  <c r="AW76" i="1"/>
  <c r="BA76" i="1" s="1"/>
  <c r="AW77" i="1"/>
  <c r="BA77" i="1" s="1"/>
  <c r="AW78" i="1"/>
  <c r="BA78" i="1" s="1"/>
  <c r="AW79" i="1"/>
  <c r="BA79" i="1" s="1"/>
  <c r="AW80" i="1"/>
  <c r="BA80" i="1" s="1"/>
  <c r="AW81" i="1"/>
  <c r="BA81" i="1" s="1"/>
  <c r="AW82" i="1"/>
  <c r="BA82" i="1" s="1"/>
  <c r="AW83" i="1"/>
  <c r="BA83" i="1" s="1"/>
  <c r="AW84" i="1"/>
  <c r="BA84" i="1" s="1"/>
  <c r="AW85" i="1"/>
  <c r="BA85" i="1" s="1"/>
  <c r="AW86" i="1"/>
  <c r="BA86" i="1" s="1"/>
  <c r="AW87" i="1"/>
  <c r="BA87" i="1" s="1"/>
  <c r="AW88" i="1"/>
  <c r="BA88" i="1" s="1"/>
  <c r="AW89" i="1"/>
  <c r="BA89" i="1" s="1"/>
  <c r="AW90" i="1"/>
  <c r="BA90" i="1" s="1"/>
  <c r="AW91" i="1"/>
  <c r="BA91" i="1" s="1"/>
  <c r="AW92" i="1"/>
  <c r="BA92" i="1" s="1"/>
  <c r="AW93" i="1"/>
  <c r="BA93" i="1" s="1"/>
  <c r="AW94" i="1"/>
  <c r="BA94" i="1" s="1"/>
  <c r="AW95" i="1"/>
  <c r="BA95" i="1" s="1"/>
  <c r="AW97" i="1"/>
  <c r="BA97" i="1" s="1"/>
  <c r="AW98" i="1"/>
  <c r="BA98" i="1" s="1"/>
  <c r="AW99" i="1"/>
  <c r="BA99" i="1" s="1"/>
  <c r="AW100" i="1"/>
  <c r="BA100" i="1" s="1"/>
  <c r="AW101" i="1"/>
  <c r="BA101" i="1" s="1"/>
  <c r="AW102" i="1"/>
  <c r="BA102" i="1" s="1"/>
  <c r="AW103" i="1"/>
  <c r="BA103" i="1" s="1"/>
  <c r="AW104" i="1"/>
  <c r="BA104" i="1" s="1"/>
  <c r="AW105" i="1"/>
  <c r="BA105" i="1" s="1"/>
  <c r="AW106" i="1"/>
  <c r="BA106" i="1" s="1"/>
  <c r="AW107" i="1"/>
  <c r="BA107" i="1" s="1"/>
  <c r="AW108" i="1"/>
  <c r="BA108" i="1" s="1"/>
  <c r="AW109" i="1"/>
  <c r="BA109" i="1" s="1"/>
  <c r="AW110" i="1"/>
  <c r="BA110" i="1" s="1"/>
  <c r="AW111" i="1"/>
  <c r="BA111" i="1" s="1"/>
  <c r="AW112" i="1"/>
  <c r="BA112" i="1" s="1"/>
  <c r="AW113" i="1"/>
  <c r="BA113" i="1" s="1"/>
  <c r="AW114" i="1"/>
  <c r="BA114" i="1" s="1"/>
  <c r="AW115" i="1"/>
  <c r="BA115" i="1" s="1"/>
  <c r="AW116" i="1"/>
  <c r="BA116" i="1" s="1"/>
</calcChain>
</file>

<file path=xl/sharedStrings.xml><?xml version="1.0" encoding="utf-8"?>
<sst xmlns="http://schemas.openxmlformats.org/spreadsheetml/2006/main" count="1123" uniqueCount="527">
  <si>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</si>
  <si>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</si>
  <si>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</si>
  <si>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</si>
  <si>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</si>
  <si>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</si>
  <si>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</si>
  <si>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</si>
  <si>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</si>
  <si>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</si>
  <si>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</si>
  <si>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</si>
  <si>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</si>
  <si>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</si>
  <si>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</si>
  <si>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</si>
  <si>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</si>
  <si>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</si>
  <si>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</si>
  <si>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</si>
  <si>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</si>
  <si>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</si>
  <si>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</si>
  <si>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</si>
  <si>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</si>
  <si>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</si>
  <si>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</si>
  <si>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</si>
  <si>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</si>
  <si>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</si>
  <si>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</si>
  <si>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</si>
  <si>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</si>
  <si>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</si>
  <si>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</si>
  <si>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</si>
  <si>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</si>
  <si>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</si>
  <si>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</si>
  <si>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</si>
  <si>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</si>
  <si>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</si>
  <si>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</si>
  <si>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</si>
  <si>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</si>
  <si>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</si>
  <si>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</si>
  <si>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</si>
  <si>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</si>
  <si>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</si>
  <si>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</si>
  <si>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</si>
  <si>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</si>
  <si>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</si>
  <si>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</si>
  <si>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</si>
  <si>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</si>
  <si>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</si>
  <si>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</si>
  <si>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</si>
  <si>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</si>
  <si>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</si>
  <si>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</si>
  <si>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</si>
  <si>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</si>
  <si>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</si>
  <si>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</si>
  <si>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</si>
  <si>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</si>
  <si>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</si>
  <si>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</si>
  <si>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</si>
  <si>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</si>
  <si>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</si>
  <si>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</si>
  <si>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</si>
  <si>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</si>
  <si>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</si>
  <si>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</si>
  <si>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</si>
  <si>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</si>
  <si>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</si>
  <si>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</si>
  <si>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</si>
  <si>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</si>
  <si>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</si>
  <si>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</si>
  <si>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</si>
  <si>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</si>
  <si>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</si>
  <si>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</si>
  <si>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</si>
  <si>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</si>
  <si>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</si>
  <si>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</si>
  <si>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</si>
  <si>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</si>
  <si>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</si>
  <si>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</si>
  <si>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</si>
  <si>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</si>
  <si>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</si>
  <si>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</si>
  <si>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</si>
  <si>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</si>
  <si>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</si>
  <si>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</si>
  <si>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</si>
  <si>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</si>
  <si>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</si>
  <si>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</si>
  <si>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</si>
  <si>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</si>
  <si>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</si>
  <si>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</si>
  <si>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</si>
  <si>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</si>
  <si>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</si>
  <si>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</si>
  <si>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</si>
  <si>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</si>
  <si>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</si>
  <si>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</si>
  <si>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</si>
  <si>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</si>
  <si>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</si>
  <si>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</si>
  <si>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</si>
  <si>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</si>
  <si>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</si>
  <si>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</si>
  <si>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</si>
  <si>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</si>
  <si>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</si>
  <si>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</si>
  <si>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</si>
  <si>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</si>
  <si>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</si>
  <si>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</si>
  <si>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</si>
  <si>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</si>
  <si>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</si>
  <si>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</si>
  <si>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</si>
  <si>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</si>
  <si>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</si>
  <si>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</si>
  <si>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</si>
  <si>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</si>
  <si>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gap_to_previous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</si>
  <si>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</si>
  <si>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</si>
  <si>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</si>
  <si>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</si>
  <si>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</si>
  <si>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</si>
  <si>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</si>
  <si>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</si>
  <si>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</si>
  <si>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</si>
  <si>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</si>
  <si>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</si>
  <si>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</si>
  <si>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</si>
  <si>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</si>
  <si>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</si>
  <si>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</si>
  <si>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</si>
  <si>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</si>
  <si>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</si>
  <si>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</si>
  <si>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</si>
  <si>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</si>
  <si>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</si>
  <si>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</si>
  <si>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</si>
  <si>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</si>
  <si>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</si>
  <si>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</si>
  <si>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</si>
  <si>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</si>
  <si>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</si>
  <si>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</si>
  <si>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</si>
  <si>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</si>
  <si>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</si>
  <si>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</si>
  <si>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</si>
  <si>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</si>
  <si>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</si>
  <si>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</si>
  <si>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</si>
  <si>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</si>
  <si>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</si>
  <si>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</si>
  <si>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</si>
  <si>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</si>
  <si>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</si>
  <si>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</si>
  <si>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</si>
  <si>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</si>
  <si>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</si>
  <si>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</si>
  <si>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</si>
  <si>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</si>
  <si>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</si>
  <si>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</si>
  <si>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</si>
  <si>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</si>
  <si>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</si>
  <si>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</si>
  <si>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</si>
  <si>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</si>
  <si>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</si>
  <si>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</si>
  <si>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</si>
  <si>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</si>
  <si>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</si>
  <si>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</si>
  <si>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</si>
  <si>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</si>
  <si>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</si>
  <si>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</si>
  <si>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</si>
  <si>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</si>
  <si>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</si>
  <si>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</si>
  <si>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</si>
  <si>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</si>
  <si>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</si>
  <si>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</si>
  <si>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</si>
  <si>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</si>
  <si>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</si>
  <si>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</si>
  <si>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</si>
  <si>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</si>
  <si>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</si>
  <si>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</si>
  <si>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</si>
  <si>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</si>
  <si>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</si>
  <si>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</si>
  <si>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</si>
  <si>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</si>
  <si>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</si>
  <si>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</si>
  <si>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</si>
  <si>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</si>
  <si>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</si>
  <si>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</si>
  <si>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</si>
  <si>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</si>
  <si>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</si>
  <si>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</si>
  <si>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</si>
  <si>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</si>
  <si>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</si>
  <si>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</si>
  <si>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</si>
  <si>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</si>
  <si>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</si>
  <si>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</si>
  <si>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</si>
  <si>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</si>
  <si>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</si>
  <si>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</si>
  <si>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</si>
  <si>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</si>
  <si>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</si>
  <si>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</si>
  <si>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</si>
  <si>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</si>
  <si>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</si>
  <si>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</si>
  <si>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</si>
  <si>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</si>
  <si>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</si>
  <si>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</si>
  <si>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horses</t>
  </si>
  <si>
    <t>intro_month</t>
  </si>
  <si>
    <t>model_life</t>
  </si>
  <si>
    <t>loading_speed</t>
  </si>
  <si>
    <t>weight</t>
  </si>
  <si>
    <t>realistic_capacity</t>
  </si>
  <si>
    <t>realistic_power</t>
  </si>
  <si>
    <t>realistic_cost</t>
  </si>
  <si>
    <t>realistic_running_cost</t>
  </si>
  <si>
    <t>running_cost_bias</t>
  </si>
  <si>
    <t>realistic_speed</t>
  </si>
  <si>
    <t>kmish_speed</t>
  </si>
  <si>
    <t>kmish_realistic_speed</t>
  </si>
  <si>
    <t>articulated_units</t>
  </si>
  <si>
    <t>capacity_per_unit</t>
  </si>
  <si>
    <t>realistic_capacity_per_unit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</si>
  <si>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</si>
  <si>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</si>
  <si>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</si>
  <si>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</si>
  <si>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</si>
  <si>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</si>
  <si>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</si>
  <si>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</si>
  <si>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</si>
  <si>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</si>
  <si>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</si>
  <si>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</si>
  <si>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</si>
  <si>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speed_limit_speed</t>
  </si>
  <si>
    <t>kmish_limiter_speed</t>
  </si>
  <si>
    <t>kmish_speed_limit_speed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</si>
  <si>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</si>
  <si>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</si>
  <si>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</si>
  <si>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</si>
  <si>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</si>
  <si>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</si>
  <si>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</si>
  <si>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</si>
  <si>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</si>
  <si>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</si>
  <si>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</si>
  <si>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</si>
  <si>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</si>
  <si>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</si>
  <si>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</si>
  <si>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</si>
  <si>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</si>
  <si>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</si>
  <si>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</si>
  <si>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</si>
  <si>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</si>
  <si>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</si>
  <si>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</si>
  <si>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</si>
  <si>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</si>
  <si>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</si>
  <si>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</si>
  <si>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</si>
  <si>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</si>
  <si>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</si>
  <si>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</si>
  <si>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</si>
  <si>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</si>
  <si>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</si>
  <si>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</si>
  <si>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</si>
  <si>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</si>
  <si>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</si>
  <si>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</si>
  <si>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</si>
  <si>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</si>
  <si>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</si>
  <si>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</si>
  <si>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</si>
  <si>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</si>
  <si>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has_covered_livestock</t>
  </si>
  <si>
    <t>The Saviem SM Europe was the result of a collaboration between Saviem and MAN, where Saviem supplied cabs and MAN provided engines. Although more common in France a few were used in the UK.</t>
  </si>
  <si>
    <t>enable_param</t>
  </si>
  <si>
    <t>enable_buses</t>
  </si>
  <si>
    <t>enable_lorries</t>
  </si>
  <si>
    <t>enable_vans</t>
  </si>
  <si>
    <t>enable_cars</t>
  </si>
  <si>
    <t>enable_easter_eggs</t>
  </si>
  <si>
    <t>enable_passenger_trams</t>
  </si>
  <si>
    <t>enable_cargo_trams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</si>
  <si>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</si>
  <si>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</si>
  <si>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</si>
  <si>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</si>
  <si>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</si>
  <si>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</si>
  <si>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</si>
  <si>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</si>
  <si>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</si>
  <si>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</si>
  <si>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</si>
  <si>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</si>
  <si>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</si>
  <si>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</si>
  <si>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</si>
  <si>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realistic_mail_capacity</t>
  </si>
  <si>
    <t>van</t>
  </si>
  <si>
    <t>taxi</t>
  </si>
  <si>
    <t>custom_cargo_aging</t>
  </si>
  <si>
    <t>bmw_f31</t>
  </si>
  <si>
    <t>is_tram</t>
  </si>
  <si>
    <t>electric</t>
  </si>
  <si>
    <t>horse_type</t>
  </si>
  <si>
    <t>tram_horses</t>
  </si>
  <si>
    <t>Tram Horses</t>
  </si>
  <si>
    <t>Cargo Tram Horses</t>
  </si>
  <si>
    <t>cargo_tram_horses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</si>
  <si>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</si>
  <si>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</si>
  <si>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</si>
  <si>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</si>
  <si>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</si>
  <si>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</si>
  <si>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articulated_lengths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</si>
  <si>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</si>
  <si>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</si>
  <si>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</si>
  <si>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</si>
  <si>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</si>
  <si>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</si>
  <si>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</si>
  <si>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</si>
  <si>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4,4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</si>
  <si>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</si>
  <si>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</si>
  <si>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</si>
  <si>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</si>
  <si>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</si>
  <si>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</si>
  <si>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</si>
  <si>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</si>
  <si>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</si>
  <si>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</si>
  <si>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</si>
  <si>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</si>
  <si>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</si>
  <si>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</si>
  <si>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realistic_capacity_per_trailer</t>
  </si>
  <si>
    <t>2,8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</si>
  <si>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</si>
  <si>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</si>
  <si>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</si>
  <si>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</si>
  <si>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</si>
  <si>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</si>
  <si>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</si>
  <si>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</si>
  <si>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</si>
  <si>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3,5,5,5</t>
  </si>
  <si>
    <t>3,5,5,5,5,5</t>
  </si>
  <si>
    <t>4,5,5,5,5,5</t>
  </si>
  <si>
    <t>realistic_articulated_capacities</t>
  </si>
  <si>
    <t>1,11</t>
  </si>
  <si>
    <t>horses,</t>
  </si>
  <si>
    <t>4,8</t>
  </si>
  <si>
    <t>1,2,3</t>
  </si>
  <si>
    <t>3,5,5</t>
  </si>
  <si>
    <t>Dray Trailer</t>
  </si>
  <si>
    <t>dray_trailer</t>
  </si>
  <si>
    <t>is_light_rail</t>
  </si>
  <si>
    <t>is_hybrid_rail</t>
  </si>
  <si>
    <t>rail_numeric_id</t>
  </si>
  <si>
    <t>rail_cost</t>
  </si>
  <si>
    <t>rail_running_cost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</si>
  <si>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</si>
  <si>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</si>
  <si>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</si>
  <si>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</si>
  <si>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</si>
  <si>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</si>
  <si>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</si>
  <si>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</si>
  <si>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</si>
  <si>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</si>
  <si>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</si>
  <si>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</si>
  <si>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</si>
  <si>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</si>
  <si>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</si>
  <si>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</si>
  <si>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</si>
  <si>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</si>
  <si>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</si>
  <si>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</si>
  <si>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</si>
  <si>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</si>
  <si>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</si>
  <si>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</si>
  <si>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</si>
  <si>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</si>
  <si>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</si>
  <si>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</si>
  <si>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</si>
  <si>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</si>
  <si>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</si>
  <si>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</si>
  <si>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</si>
  <si>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</si>
  <si>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</si>
  <si>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</si>
  <si>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</si>
  <si>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</si>
  <si>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</si>
  <si>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</si>
  <si>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</si>
  <si>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</si>
  <si>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</si>
  <si>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</si>
  <si>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</si>
  <si>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</si>
  <si>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</si>
  <si>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</si>
  <si>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</si>
  <si>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</si>
  <si>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</si>
  <si>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</si>
  <si>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</si>
  <si>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</si>
  <si>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</si>
  <si>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</si>
  <si>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</si>
  <si>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</si>
  <si>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</si>
  <si>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</si>
  <si>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</si>
  <si>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</si>
  <si>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</si>
  <si>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</si>
  <si>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</si>
  <si>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</si>
  <si>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</si>
  <si>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</si>
  <si>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</si>
  <si>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</si>
  <si>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has_flatbed_livestock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</si>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</sst>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P122"/>
  <sheetViews>
    <sheetView tabSelected="1" zoomScaleNormal="100" workbookViewId="0">
      <pane xSplit="2910" ySplit="600" topLeftCell="A22" activePane="bottomRight"/>
      <selection pane="topRight" activeCell="M1" sqref="M1"/>
      <selection pane="bottomLeft" activeCell="A36" sqref="A36"/>
      <selection pane="bottomRight" activeCell="B37" sqref="B37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3.28515625" customWidth="1"/>
    <col min="6" max="6" width="12" bestFit="1" customWidth="1"/>
    <col min="7" max="7" width="12" customWidth="1"/>
    <col min="8" max="8" width="12.85546875" customWidth="1"/>
    <col min="9" max="9" width="12.42578125" customWidth="1"/>
    <col min="10" max="10" width="12.5703125" customWidth="1"/>
    <col min="11" max="12" width="15.7109375" customWidth="1"/>
    <col min="13" max="13" width="6.5703125" customWidth="1"/>
    <col min="14" max="14" width="15.7109375" customWidth="1"/>
    <col min="15" max="15" width="10.42578125" customWidth="1"/>
    <col min="16" max="16" width="9" bestFit="1" customWidth="1"/>
    <col min="17" max="18" width="5.7109375" customWidth="1"/>
    <col min="19" max="19" width="11.5703125" customWidth="1"/>
    <col min="20" max="20" width="17.42578125" customWidth="1"/>
    <col min="21" max="22" width="14.85546875" customWidth="1"/>
    <col min="23" max="24" width="21" customWidth="1"/>
    <col min="25" max="30" width="23.7109375" customWidth="1"/>
    <col min="31" max="31" width="17.140625" customWidth="1"/>
    <col min="32" max="32" width="12.5703125" customWidth="1"/>
    <col min="33" max="34" width="15.7109375" customWidth="1"/>
    <col min="35" max="35" width="15.85546875" bestFit="1" customWidth="1"/>
    <col min="36" max="36" width="20.5703125" bestFit="1" customWidth="1"/>
    <col min="37" max="43" width="20.5703125" customWidth="1"/>
    <col min="44" max="44" width="9.85546875" bestFit="1" customWidth="1"/>
    <col min="45" max="47" width="9.85546875" customWidth="1"/>
    <col min="48" max="48" width="7.140625" bestFit="1" customWidth="1"/>
    <col min="49" max="49" width="14.85546875" bestFit="1" customWidth="1"/>
    <col min="50" max="50" width="10.7109375" bestFit="1" customWidth="1"/>
    <col min="51" max="51" width="18.7109375" bestFit="1" customWidth="1"/>
    <col min="52" max="53" width="14.85546875" customWidth="1"/>
    <col min="54" max="57" width="14.85546875" style="2" customWidth="1"/>
    <col min="58" max="62" width="14.85546875" customWidth="1"/>
    <col min="63" max="65" width="12.5703125" customWidth="1"/>
    <col min="66" max="66" width="17.42578125" bestFit="1" customWidth="1"/>
    <col min="67" max="67" width="12.5703125" customWidth="1"/>
  </cols>
  <sheetData>
    <row r="1" spans="1:68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447</v>
      </c>
      <c r="F1" s="1" t="s">
        <v>148</v>
      </c>
      <c r="G1" s="1" t="s">
        <v>280</v>
      </c>
      <c r="H1" s="1" t="s">
        <v>150</v>
      </c>
      <c r="I1" s="1" t="s">
        <v>9</v>
      </c>
      <c r="J1" s="1" t="s">
        <v>151</v>
      </c>
      <c r="K1" s="1" t="s">
        <v>152</v>
      </c>
      <c r="L1" s="1" t="s">
        <v>281</v>
      </c>
      <c r="M1" s="1" t="s">
        <v>153</v>
      </c>
      <c r="N1" s="1" t="s">
        <v>282</v>
      </c>
      <c r="O1" s="1" t="s">
        <v>283</v>
      </c>
      <c r="P1" s="1" t="s">
        <v>154</v>
      </c>
      <c r="Q1" s="1" t="s">
        <v>304</v>
      </c>
      <c r="R1" s="1" t="s">
        <v>288</v>
      </c>
      <c r="S1" s="1" t="s">
        <v>296</v>
      </c>
      <c r="T1" s="1" t="s">
        <v>338</v>
      </c>
      <c r="U1" s="1" t="s">
        <v>273</v>
      </c>
      <c r="V1" s="1" t="s">
        <v>342</v>
      </c>
      <c r="W1" s="1" t="s">
        <v>355</v>
      </c>
      <c r="X1" s="1" t="s">
        <v>420</v>
      </c>
      <c r="Y1" s="1" t="s">
        <v>356</v>
      </c>
      <c r="Z1" s="1" t="s">
        <v>520</v>
      </c>
      <c r="AA1" s="1" t="s">
        <v>367</v>
      </c>
      <c r="AB1" s="1" t="s">
        <v>393</v>
      </c>
      <c r="AC1" s="1" t="s">
        <v>370</v>
      </c>
      <c r="AD1" s="1" t="s">
        <v>384</v>
      </c>
      <c r="AE1" s="1" t="s">
        <v>285</v>
      </c>
      <c r="AF1" s="1" t="s">
        <v>289</v>
      </c>
      <c r="AG1" s="1" t="s">
        <v>284</v>
      </c>
      <c r="AH1" s="1" t="s">
        <v>381</v>
      </c>
      <c r="AI1" s="1" t="s">
        <v>307</v>
      </c>
      <c r="AJ1" s="1" t="s">
        <v>308</v>
      </c>
      <c r="AK1" s="1" t="s">
        <v>406</v>
      </c>
      <c r="AL1" s="1" t="s">
        <v>427</v>
      </c>
      <c r="AM1" s="1" t="s">
        <v>437</v>
      </c>
      <c r="AN1" s="1" t="s">
        <v>395</v>
      </c>
      <c r="AO1" s="1" t="s">
        <v>397</v>
      </c>
      <c r="AP1" s="1" t="s">
        <v>399</v>
      </c>
      <c r="AQ1" s="1" t="s">
        <v>358</v>
      </c>
      <c r="AR1" s="1" t="s">
        <v>386</v>
      </c>
      <c r="AS1" s="1" t="s">
        <v>445</v>
      </c>
      <c r="AT1" s="1" t="s">
        <v>446</v>
      </c>
      <c r="AU1" s="1" t="s">
        <v>388</v>
      </c>
      <c r="AV1" s="1" t="s">
        <v>155</v>
      </c>
      <c r="AW1" s="1" t="s">
        <v>156</v>
      </c>
      <c r="AX1" s="1" t="s">
        <v>448</v>
      </c>
      <c r="AY1" s="1" t="s">
        <v>449</v>
      </c>
      <c r="AZ1" s="1" t="s">
        <v>286</v>
      </c>
      <c r="BA1" s="1" t="s">
        <v>287</v>
      </c>
      <c r="BB1" s="4" t="s">
        <v>290</v>
      </c>
      <c r="BC1" s="4" t="s">
        <v>291</v>
      </c>
      <c r="BD1" s="4" t="s">
        <v>309</v>
      </c>
      <c r="BE1" s="4" t="s">
        <v>310</v>
      </c>
      <c r="BF1" s="1" t="s">
        <v>292</v>
      </c>
      <c r="BG1" s="1" t="s">
        <v>293</v>
      </c>
      <c r="BH1" s="1" t="s">
        <v>294</v>
      </c>
      <c r="BI1" s="1" t="s">
        <v>422</v>
      </c>
      <c r="BJ1" s="1" t="s">
        <v>423</v>
      </c>
      <c r="BK1" s="1" t="s">
        <v>157</v>
      </c>
      <c r="BL1" s="1" t="s">
        <v>158</v>
      </c>
      <c r="BM1" s="1" t="s">
        <v>159</v>
      </c>
      <c r="BN1" s="1" t="s">
        <v>149</v>
      </c>
      <c r="BO1" s="1" t="s">
        <v>160</v>
      </c>
      <c r="BP1" s="1" t="s">
        <v>161</v>
      </c>
    </row>
    <row r="2" spans="1:68" x14ac:dyDescent="0.25">
      <c r="A2" t="s">
        <v>278</v>
      </c>
      <c r="B2" t="s">
        <v>279</v>
      </c>
      <c r="C2" t="s">
        <v>279</v>
      </c>
      <c r="D2">
        <v>0</v>
      </c>
      <c r="U2" s="2"/>
      <c r="V2" s="2"/>
      <c r="W2" s="2"/>
      <c r="X2" s="2"/>
      <c r="Y2" s="2"/>
      <c r="Z2" s="2"/>
      <c r="AA2" s="2"/>
      <c r="AB2" s="2"/>
      <c r="AC2" s="2"/>
      <c r="AD2" s="2"/>
      <c r="AV2" s="2"/>
      <c r="AW2" s="2"/>
      <c r="AX2" s="2"/>
      <c r="AY2" s="2"/>
      <c r="AZ2" s="2"/>
      <c r="BA2" s="2"/>
      <c r="BF2" s="2"/>
      <c r="BG2" s="2"/>
      <c r="BH2" s="2"/>
      <c r="BI2" s="2"/>
      <c r="BJ2" s="2"/>
      <c r="BK2" s="3"/>
      <c r="BL2" s="3"/>
      <c r="BM2" s="3"/>
      <c r="BO2" s="2"/>
    </row>
    <row r="3" spans="1:68" x14ac:dyDescent="0.25">
      <c r="A3" t="s">
        <v>390</v>
      </c>
      <c r="B3" t="s">
        <v>389</v>
      </c>
      <c r="C3" t="s">
        <v>279</v>
      </c>
      <c r="D3">
        <v>0</v>
      </c>
      <c r="U3" s="2"/>
      <c r="V3" s="2"/>
      <c r="W3" s="2"/>
      <c r="X3" s="2"/>
      <c r="Y3" s="2"/>
      <c r="Z3" s="2"/>
      <c r="AA3" s="2"/>
      <c r="AB3" s="2"/>
      <c r="AC3" s="2"/>
      <c r="AD3" s="2"/>
      <c r="AV3" s="2"/>
      <c r="AW3" s="2"/>
      <c r="AX3" s="2"/>
      <c r="AY3" s="2"/>
      <c r="AZ3" s="2"/>
      <c r="BA3" s="2"/>
      <c r="BF3" s="2"/>
      <c r="BG3" s="2"/>
      <c r="BH3" s="2"/>
      <c r="BI3" s="2"/>
      <c r="BJ3" s="2"/>
      <c r="BK3" s="3"/>
      <c r="BL3" s="3"/>
      <c r="BM3" s="3"/>
      <c r="BO3" s="2"/>
    </row>
    <row r="4" spans="1:68" x14ac:dyDescent="0.25">
      <c r="A4" t="s">
        <v>391</v>
      </c>
      <c r="B4" t="s">
        <v>392</v>
      </c>
      <c r="C4" t="s">
        <v>279</v>
      </c>
      <c r="D4">
        <v>0</v>
      </c>
      <c r="U4" s="2"/>
      <c r="V4" s="2"/>
      <c r="W4" s="2"/>
      <c r="X4" s="2"/>
      <c r="Y4" s="2"/>
      <c r="Z4" s="2"/>
      <c r="AA4" s="2"/>
      <c r="AB4" s="2"/>
      <c r="AC4" s="2"/>
      <c r="AD4" s="2"/>
      <c r="AV4" s="2"/>
      <c r="AW4" s="2"/>
      <c r="AX4" s="2"/>
      <c r="AY4" s="2"/>
      <c r="AZ4" s="2"/>
      <c r="BA4" s="2"/>
      <c r="BF4" s="2"/>
      <c r="BG4" s="2"/>
      <c r="BH4" s="2"/>
      <c r="BI4" s="2"/>
      <c r="BJ4" s="2"/>
      <c r="BK4" s="3"/>
      <c r="BL4" s="3"/>
      <c r="BM4" s="3"/>
      <c r="BO4" s="2"/>
    </row>
    <row r="5" spans="1:68" x14ac:dyDescent="0.25">
      <c r="A5" t="s">
        <v>372</v>
      </c>
      <c r="B5" t="s">
        <v>371</v>
      </c>
      <c r="C5" t="s">
        <v>370</v>
      </c>
      <c r="D5">
        <v>0</v>
      </c>
      <c r="V5" t="s">
        <v>343</v>
      </c>
    </row>
    <row r="6" spans="1:68" x14ac:dyDescent="0.25">
      <c r="A6" t="s">
        <v>375</v>
      </c>
      <c r="B6" t="s">
        <v>373</v>
      </c>
      <c r="C6" t="s">
        <v>370</v>
      </c>
      <c r="D6">
        <v>0</v>
      </c>
      <c r="V6" t="s">
        <v>343</v>
      </c>
      <c r="W6" t="s">
        <v>343</v>
      </c>
      <c r="Y6" t="s">
        <v>343</v>
      </c>
    </row>
    <row r="7" spans="1:68" x14ac:dyDescent="0.25">
      <c r="A7" t="s">
        <v>376</v>
      </c>
      <c r="B7" t="s">
        <v>374</v>
      </c>
      <c r="C7" t="s">
        <v>370</v>
      </c>
      <c r="D7">
        <v>0</v>
      </c>
      <c r="V7" t="s">
        <v>343</v>
      </c>
      <c r="W7" t="s">
        <v>343</v>
      </c>
      <c r="Y7" t="s">
        <v>343</v>
      </c>
    </row>
    <row r="8" spans="1:68" x14ac:dyDescent="0.25">
      <c r="A8" t="s">
        <v>421</v>
      </c>
      <c r="B8" t="s">
        <v>419</v>
      </c>
      <c r="C8" t="s">
        <v>370</v>
      </c>
      <c r="D8">
        <v>0</v>
      </c>
      <c r="V8" t="s">
        <v>343</v>
      </c>
      <c r="X8" t="s">
        <v>343</v>
      </c>
      <c r="Y8" t="s">
        <v>343</v>
      </c>
    </row>
    <row r="9" spans="1:68" x14ac:dyDescent="0.25">
      <c r="A9" t="s">
        <v>443</v>
      </c>
      <c r="B9" t="s">
        <v>444</v>
      </c>
      <c r="C9" t="s">
        <v>370</v>
      </c>
      <c r="D9">
        <v>0</v>
      </c>
      <c r="AA9" t="s">
        <v>343</v>
      </c>
    </row>
    <row r="10" spans="1:68" x14ac:dyDescent="0.25">
      <c r="A10" t="s">
        <v>479</v>
      </c>
      <c r="B10" t="s">
        <v>481</v>
      </c>
      <c r="C10" t="s">
        <v>480</v>
      </c>
      <c r="D10">
        <v>0</v>
      </c>
    </row>
    <row r="11" spans="1:68" x14ac:dyDescent="0.25">
      <c r="A11" t="s">
        <v>23</v>
      </c>
      <c r="B11" t="s">
        <v>162</v>
      </c>
      <c r="C11" t="s">
        <v>336</v>
      </c>
      <c r="D11">
        <f>IF(F11 &gt; 2020, ((F11-2020)*4)+1610+H11,IF(F11 &gt; 1900, ((F11-1900)*10)+400+H11, ((F11-1730)*2)+H11))+VLOOKUP(I11,'ID Scheme'!$A$2:$B$7,2, FALSE)</f>
        <v>741</v>
      </c>
      <c r="F11">
        <v>1800</v>
      </c>
      <c r="G11">
        <v>1</v>
      </c>
      <c r="H11">
        <v>1</v>
      </c>
      <c r="I11" t="s">
        <v>12</v>
      </c>
      <c r="J11">
        <v>18</v>
      </c>
      <c r="K11">
        <v>12</v>
      </c>
      <c r="L11">
        <v>100</v>
      </c>
      <c r="M11">
        <v>12</v>
      </c>
      <c r="N11">
        <v>4</v>
      </c>
      <c r="O11">
        <v>1</v>
      </c>
      <c r="P11">
        <v>15</v>
      </c>
      <c r="Q11">
        <v>20</v>
      </c>
      <c r="R11">
        <v>1</v>
      </c>
      <c r="S11" t="s">
        <v>297</v>
      </c>
      <c r="U11" s="2" t="s">
        <v>274</v>
      </c>
      <c r="V11" s="2"/>
      <c r="W11" s="2"/>
      <c r="X11" s="2"/>
      <c r="Y11" s="2"/>
      <c r="Z11" s="2"/>
      <c r="AA11" s="2"/>
      <c r="AB11" s="2"/>
      <c r="AC11" s="2"/>
      <c r="AD11" s="2"/>
      <c r="AE11">
        <v>5</v>
      </c>
      <c r="AF11">
        <v>11</v>
      </c>
      <c r="AG11">
        <v>12</v>
      </c>
      <c r="AK11" t="s">
        <v>439</v>
      </c>
      <c r="AM11" t="s">
        <v>438</v>
      </c>
      <c r="AN11" t="s">
        <v>438</v>
      </c>
      <c r="AO11" t="s">
        <v>439</v>
      </c>
      <c r="AP11" t="s">
        <v>408</v>
      </c>
      <c r="AQ11" t="s">
        <v>359</v>
      </c>
      <c r="AU11" t="s">
        <v>279</v>
      </c>
      <c r="AV11" s="2">
        <f>(SQRT($J11*$K11)*POWER((MIN($M11,20)+SQRT(MAX($M11-20,0))),0.9)*Data!$B$1)*(1 - (R11-1))</f>
        <v>10.316948446979625</v>
      </c>
      <c r="AW11" s="2">
        <f>(POWER(($J11*$J11*$K11), 0.33)*LOG10($P11)*10*Data!$B$1)*R11</f>
        <v>13.493106560639641</v>
      </c>
      <c r="AX11" s="2"/>
      <c r="AY11" s="2"/>
      <c r="AZ11" s="2">
        <f>IFERROR((SQRT($AF11*$AG11)*POWER((MIN($M11,20)+SQRT(MAX($M11-20,0))),0.9)*Data!$B$1)*(1 - (R11-1)),AV11)</f>
        <v>8.0651295981665143</v>
      </c>
      <c r="BA11" s="2">
        <f>IFERROR(((POWER(($AF11*$AF11*$AG11), 0.33)*LOG10($AE11)*10*Data!$B$1)*R11),AW11)</f>
        <v>5.7938705215218507</v>
      </c>
      <c r="BB11" s="2">
        <f t="shared" ref="BB11:BB43" si="0">J11/1.24</f>
        <v>14.516129032258064</v>
      </c>
      <c r="BC11" s="2">
        <f t="shared" ref="BC11:BC44" si="1">AF11/1.24</f>
        <v>8.870967741935484</v>
      </c>
      <c r="BD11" s="2">
        <f t="shared" ref="BD11:BD44" si="2">AI11/1.24</f>
        <v>0</v>
      </c>
      <c r="BE11" s="2">
        <f t="shared" ref="BE11:BE44" si="3">AJ11/1.24</f>
        <v>0</v>
      </c>
      <c r="BF11" s="2">
        <v>2</v>
      </c>
      <c r="BG11" s="2">
        <f t="shared" ref="BG11:BG43" si="4">K11/BF11</f>
        <v>6</v>
      </c>
      <c r="BH11" s="2">
        <f t="shared" ref="BH11:BH44" si="5">AG11/BF11</f>
        <v>6</v>
      </c>
      <c r="BI11" s="2">
        <f t="shared" ref="BI11:BI43" si="6">(K11-1)/MAX(BF11-1, 1)</f>
        <v>11</v>
      </c>
      <c r="BJ11" s="2">
        <f>(AG11-1)/MAX(BF11-1, 1)</f>
        <v>11</v>
      </c>
      <c r="BK11" s="3"/>
      <c r="BL11" s="3"/>
      <c r="BM11" s="3"/>
      <c r="BN11">
        <f>F11-F5</f>
        <v>1800</v>
      </c>
      <c r="BO11" s="2" t="str">
        <f>CONCATENATE(
ROUND(BK11*VLOOKUP(I11,'ID Scheme'!$A$2:$E$7,3),0), "x",
ROUND(BL11*VLOOKUP(I11,'ID Scheme'!$A$2:$E$7,5),0), "x",
ROUND(BM11*VLOOKUP(I11,'ID Scheme'!$A$2:$E$7,4),0))</f>
        <v>0x0x0</v>
      </c>
    </row>
    <row r="12" spans="1:68" x14ac:dyDescent="0.25">
      <c r="A12" t="s">
        <v>36</v>
      </c>
      <c r="B12" t="s">
        <v>165</v>
      </c>
      <c r="C12" t="s">
        <v>295</v>
      </c>
      <c r="D12">
        <f>IF(F12 &gt; 2020, ((F12-2020)*4)+1610+H12,IF(F12 &gt; 1900, ((F12-1900)*10)+400+H12, ((F12-1730)*2)+H12))+VLOOKUP(I12,'ID Scheme'!$A$2:$B$7,2, FALSE)</f>
        <v>807</v>
      </c>
      <c r="F12">
        <v>1833</v>
      </c>
      <c r="G12">
        <v>1</v>
      </c>
      <c r="H12">
        <v>1</v>
      </c>
      <c r="I12" t="s">
        <v>12</v>
      </c>
      <c r="J12">
        <v>18</v>
      </c>
      <c r="K12">
        <v>22</v>
      </c>
      <c r="L12">
        <v>45</v>
      </c>
      <c r="M12">
        <v>20</v>
      </c>
      <c r="N12">
        <v>4</v>
      </c>
      <c r="O12">
        <v>4</v>
      </c>
      <c r="P12">
        <v>30</v>
      </c>
      <c r="Q12">
        <v>20</v>
      </c>
      <c r="R12">
        <v>1</v>
      </c>
      <c r="S12" t="s">
        <v>298</v>
      </c>
      <c r="T12">
        <v>2</v>
      </c>
      <c r="U12" s="2" t="s">
        <v>275</v>
      </c>
      <c r="V12" s="2"/>
      <c r="W12" s="2"/>
      <c r="X12" s="2"/>
      <c r="Y12" s="2"/>
      <c r="Z12" s="2"/>
      <c r="AA12" s="2"/>
      <c r="AB12" s="2"/>
      <c r="AC12" s="2"/>
      <c r="AD12" s="2"/>
      <c r="AQ12" t="s">
        <v>359</v>
      </c>
      <c r="AV12" s="2">
        <f>SQRT(J12*K12)*POWER((MIN(M12,20)+SQRT(MAX(M12-20,0))),0.9)*Data!$B$1</f>
        <v>22.122583982050454</v>
      </c>
      <c r="AW12" s="2">
        <f>POWER((J12*J12*K12), 0.33)*LOG10(P12)*10*Data!$B$1</f>
        <v>20.699351945933547</v>
      </c>
      <c r="AX12" s="2"/>
      <c r="AY12" s="2"/>
      <c r="AZ12" s="2">
        <f>IFERROR((SQRT($J12*$AG12)*POWER((MIN($M12,20)+SQRT(MAX($M12-20,0))),0.9)*Data!$B$1)*(1 - (R12-1)),AV12)</f>
        <v>0</v>
      </c>
      <c r="BA12" s="2">
        <f>IFERROR(((POWER(($J12*$J12*$AG12), 0.33)*LOG10($AE12)*10*Data!$B$1)*R12),AW12)</f>
        <v>20.699351945933547</v>
      </c>
      <c r="BB12" s="2">
        <f t="shared" si="0"/>
        <v>14.516129032258064</v>
      </c>
      <c r="BC12" s="2">
        <f t="shared" si="1"/>
        <v>0</v>
      </c>
      <c r="BD12" s="2">
        <f t="shared" si="2"/>
        <v>0</v>
      </c>
      <c r="BE12" s="2">
        <f t="shared" si="3"/>
        <v>0</v>
      </c>
      <c r="BF12" s="2">
        <v>1</v>
      </c>
      <c r="BG12" s="2">
        <f t="shared" si="4"/>
        <v>22</v>
      </c>
      <c r="BH12" s="2">
        <f t="shared" si="5"/>
        <v>0</v>
      </c>
      <c r="BI12" s="2">
        <f t="shared" si="6"/>
        <v>21</v>
      </c>
      <c r="BJ12" s="2">
        <f t="shared" ref="BJ12:BJ77" si="7">(AG12-1)/MAX(BF12-1, 1)</f>
        <v>-1</v>
      </c>
      <c r="BK12" s="3"/>
      <c r="BL12" s="3"/>
      <c r="BM12" s="3"/>
      <c r="BN12">
        <f t="shared" ref="BN12:BN31" si="8">F12-F11</f>
        <v>33</v>
      </c>
      <c r="BO12" s="2" t="str">
        <f>CONCATENATE(
ROUND(BK12*VLOOKUP(I12,'ID Scheme'!$A$2:$E$7,3),0), "x",
ROUND(BL12*VLOOKUP(I12,'ID Scheme'!$A$2:$E$7,5),0), "x",
ROUND(BM12*VLOOKUP(I12,'ID Scheme'!$A$2:$E$7,4),0))</f>
        <v>0x0x0</v>
      </c>
    </row>
    <row r="13" spans="1:68" x14ac:dyDescent="0.25">
      <c r="A13" t="s">
        <v>24</v>
      </c>
      <c r="B13" t="s">
        <v>166</v>
      </c>
      <c r="C13" t="s">
        <v>301</v>
      </c>
      <c r="D13">
        <f>IF(F13 &gt; 2020, ((F13-2020)*4)+1610+H13,IF(F13 &gt; 1900, ((F13-1900)*10)+400+H13, ((F13-1730)*2)+H13))+VLOOKUP(I13,'ID Scheme'!$A$2:$B$7,2, FALSE)</f>
        <v>1111</v>
      </c>
      <c r="F13">
        <v>1911</v>
      </c>
      <c r="G13">
        <v>1</v>
      </c>
      <c r="H13">
        <v>1</v>
      </c>
      <c r="I13" t="s">
        <v>12</v>
      </c>
      <c r="J13">
        <v>22</v>
      </c>
      <c r="K13">
        <v>36</v>
      </c>
      <c r="L13">
        <v>20</v>
      </c>
      <c r="M13">
        <v>15</v>
      </c>
      <c r="N13">
        <v>5</v>
      </c>
      <c r="O13">
        <v>5</v>
      </c>
      <c r="P13">
        <v>30</v>
      </c>
      <c r="Q13">
        <v>20</v>
      </c>
      <c r="R13">
        <v>1</v>
      </c>
      <c r="S13" t="s">
        <v>299</v>
      </c>
      <c r="T13">
        <v>3</v>
      </c>
      <c r="U13" s="2" t="s">
        <v>276</v>
      </c>
      <c r="V13" s="2"/>
      <c r="W13" s="2"/>
      <c r="X13" s="2"/>
      <c r="Y13" s="2"/>
      <c r="Z13" s="2"/>
      <c r="AA13" s="2"/>
      <c r="AB13" s="2"/>
      <c r="AC13" s="2"/>
      <c r="AD13" s="2"/>
      <c r="AQ13" t="s">
        <v>359</v>
      </c>
      <c r="AV13" s="2">
        <f>SQRT(J13*K13)*POWER((MIN(M13,20)+SQRT(MAX(M13-20,0))),0.9)*Data!$B$1</f>
        <v>24.149380110174171</v>
      </c>
      <c r="AW13" s="2">
        <f>POWER((J13*J13*K13), 0.33)*LOG10(P13)*10*Data!$B$1</f>
        <v>27.800730349293211</v>
      </c>
      <c r="AX13" s="2"/>
      <c r="AY13" s="2"/>
      <c r="AZ13" s="2">
        <f>IFERROR((SQRT($J13*$AG13)*POWER((MIN($M13,20)+SQRT(MAX($M13-20,0))),0.9)*Data!$B$1)*(1 - (R13-1)),AV13)</f>
        <v>0</v>
      </c>
      <c r="BA13" s="2">
        <f>IFERROR(((POWER(($J13*$J13*$AG13), 0.33)*LOG10($AE13)*10*Data!$B$1)*R13),AW13)</f>
        <v>27.800730349293211</v>
      </c>
      <c r="BB13" s="2">
        <f t="shared" si="0"/>
        <v>17.741935483870968</v>
      </c>
      <c r="BC13" s="2">
        <f t="shared" si="1"/>
        <v>0</v>
      </c>
      <c r="BD13" s="2">
        <f t="shared" si="2"/>
        <v>0</v>
      </c>
      <c r="BE13" s="2">
        <f t="shared" si="3"/>
        <v>0</v>
      </c>
      <c r="BF13" s="2">
        <v>1</v>
      </c>
      <c r="BG13" s="2">
        <f t="shared" si="4"/>
        <v>36</v>
      </c>
      <c r="BH13" s="2">
        <f t="shared" si="5"/>
        <v>0</v>
      </c>
      <c r="BI13" s="2">
        <f t="shared" si="6"/>
        <v>35</v>
      </c>
      <c r="BJ13" s="2">
        <f t="shared" si="7"/>
        <v>-1</v>
      </c>
      <c r="BK13" s="3"/>
      <c r="BL13" s="3"/>
      <c r="BM13" s="3"/>
      <c r="BN13">
        <f t="shared" si="8"/>
        <v>78</v>
      </c>
      <c r="BO13" s="2" t="str">
        <f>CONCATENATE(
ROUND(BK13*VLOOKUP(I13,'ID Scheme'!$A$2:$E$7,3),0), "x",
ROUND(BL13*VLOOKUP(I13,'ID Scheme'!$A$2:$E$7,5),0), "x",
ROUND(BM13*VLOOKUP(I13,'ID Scheme'!$A$2:$E$7,4),0))</f>
        <v>0x0x0</v>
      </c>
    </row>
    <row r="14" spans="1:68" x14ac:dyDescent="0.25">
      <c r="A14" t="s">
        <v>93</v>
      </c>
      <c r="B14" t="s">
        <v>167</v>
      </c>
      <c r="C14" t="s">
        <v>301</v>
      </c>
      <c r="D14">
        <f>IF(F14 &gt; 2020, ((F14-2020)*4)+1610+H14,IF(F14 &gt; 1900, ((F14-1900)*10)+400+H14, ((F14-1730)*2)+H14))+VLOOKUP(I14,'ID Scheme'!$A$2:$B$7,2, FALSE)</f>
        <v>1201</v>
      </c>
      <c r="F14">
        <v>1920</v>
      </c>
      <c r="G14">
        <v>1</v>
      </c>
      <c r="H14">
        <v>1</v>
      </c>
      <c r="I14" t="s">
        <v>12</v>
      </c>
      <c r="J14">
        <v>22</v>
      </c>
      <c r="K14">
        <v>54</v>
      </c>
      <c r="L14">
        <v>20</v>
      </c>
      <c r="M14">
        <v>16</v>
      </c>
      <c r="N14">
        <v>5</v>
      </c>
      <c r="O14">
        <v>5</v>
      </c>
      <c r="P14">
        <v>30</v>
      </c>
      <c r="Q14">
        <v>20</v>
      </c>
      <c r="R14">
        <v>1</v>
      </c>
      <c r="S14" t="s">
        <v>299</v>
      </c>
      <c r="T14">
        <v>3</v>
      </c>
      <c r="U14" s="2" t="s">
        <v>300</v>
      </c>
      <c r="V14" s="2"/>
      <c r="W14" s="2"/>
      <c r="X14" s="2"/>
      <c r="Y14" s="2"/>
      <c r="Z14" s="2"/>
      <c r="AA14" s="2"/>
      <c r="AB14" s="2"/>
      <c r="AC14" s="2"/>
      <c r="AD14" s="2"/>
      <c r="AQ14" t="s">
        <v>359</v>
      </c>
      <c r="AV14" s="2">
        <f>SQRT(J14*K14)*POWER((MIN(M14,20)+SQRT(MAX(M14-20,0))),0.9)*Data!$B$1</f>
        <v>31.345663574572221</v>
      </c>
      <c r="AW14" s="2">
        <f>POWER((J14*J14*K14), 0.33)*LOG10(P14)*10*Data!$B$1</f>
        <v>31.780909444617688</v>
      </c>
      <c r="AX14" s="2"/>
      <c r="AY14" s="2"/>
      <c r="AZ14" s="2">
        <f>IFERROR((SQRT($J14*$AG14)*POWER((MIN($M14,20)+SQRT(MAX($M14-20,0))),0.9)*Data!$B$1)*(1 - (R14-1)),AV14)</f>
        <v>0</v>
      </c>
      <c r="BA14" s="2">
        <f>IFERROR(((POWER(($J14*$J14*$AG14), 0.33)*LOG10($AE14)*10*Data!$B$1)*R14),AW14)</f>
        <v>31.780909444617688</v>
      </c>
      <c r="BB14" s="2">
        <f t="shared" si="0"/>
        <v>17.741935483870968</v>
      </c>
      <c r="BC14" s="2">
        <f t="shared" si="1"/>
        <v>0</v>
      </c>
      <c r="BD14" s="2">
        <f t="shared" si="2"/>
        <v>0</v>
      </c>
      <c r="BE14" s="2">
        <f t="shared" si="3"/>
        <v>0</v>
      </c>
      <c r="BF14" s="2">
        <v>1</v>
      </c>
      <c r="BG14" s="2">
        <f t="shared" si="4"/>
        <v>54</v>
      </c>
      <c r="BH14" s="2">
        <f t="shared" si="5"/>
        <v>0</v>
      </c>
      <c r="BI14" s="2">
        <f t="shared" si="6"/>
        <v>53</v>
      </c>
      <c r="BJ14" s="2">
        <f t="shared" si="7"/>
        <v>-1</v>
      </c>
      <c r="BK14" s="3"/>
      <c r="BL14" s="3"/>
      <c r="BM14" s="3"/>
      <c r="BN14">
        <f t="shared" si="8"/>
        <v>9</v>
      </c>
      <c r="BO14" s="2" t="str">
        <f>CONCATENATE(
ROUND(BK14*VLOOKUP(I14,'ID Scheme'!$A$2:$E$7,3),0), "x",
ROUND(BL14*VLOOKUP(I14,'ID Scheme'!$A$2:$E$7,5),0), "x",
ROUND(BM14*VLOOKUP(I14,'ID Scheme'!$A$2:$E$7,4),0))</f>
        <v>0x0x0</v>
      </c>
    </row>
    <row r="15" spans="1:68" ht="14.25" customHeight="1" x14ac:dyDescent="0.25">
      <c r="A15" t="s">
        <v>44</v>
      </c>
      <c r="B15" t="s">
        <v>169</v>
      </c>
      <c r="C15" t="s">
        <v>295</v>
      </c>
      <c r="D15">
        <f>IF(F15 &gt; 2020, ((F15-2020)*4)+1610+H15,IF(F15 &gt; 1900, ((F15-1900)*10)+400+H15, ((F15-1730)*2)+H15))+VLOOKUP(I15,'ID Scheme'!$A$2:$B$7,2, FALSE)</f>
        <v>1271</v>
      </c>
      <c r="F15">
        <v>1927</v>
      </c>
      <c r="G15">
        <v>1</v>
      </c>
      <c r="H15">
        <v>1</v>
      </c>
      <c r="I15" t="s">
        <v>12</v>
      </c>
      <c r="J15">
        <v>42</v>
      </c>
      <c r="K15">
        <v>35</v>
      </c>
      <c r="L15">
        <v>20</v>
      </c>
      <c r="M15">
        <v>17</v>
      </c>
      <c r="N15">
        <v>4</v>
      </c>
      <c r="O15">
        <v>5</v>
      </c>
      <c r="P15">
        <v>94</v>
      </c>
      <c r="Q15">
        <v>20</v>
      </c>
      <c r="R15">
        <v>1</v>
      </c>
      <c r="S15" t="s">
        <v>299</v>
      </c>
      <c r="T15">
        <v>3</v>
      </c>
      <c r="U15" s="2" t="s">
        <v>324</v>
      </c>
      <c r="V15" s="2"/>
      <c r="W15" s="2"/>
      <c r="X15" s="2"/>
      <c r="Y15" s="2"/>
      <c r="Z15" s="2"/>
      <c r="AA15" s="2"/>
      <c r="AB15" s="2"/>
      <c r="AC15" s="2"/>
      <c r="AD15" s="2"/>
      <c r="AQ15" t="s">
        <v>359</v>
      </c>
      <c r="AV15" s="2">
        <f>SQRT(J15*K15)*POWER((MIN(M15,20)+SQRT(MAX(M15-20,0))),0.9)*Data!$B$1</f>
        <v>36.82340631265253</v>
      </c>
      <c r="AW15" s="2">
        <f>POWER((J15*J15*K15), 0.33)*LOG10(P15)*10*Data!$B$1</f>
        <v>56.377196674747736</v>
      </c>
      <c r="AX15" s="2"/>
      <c r="AY15" s="2"/>
      <c r="AZ15" s="2">
        <f>IFERROR((SQRT($J15*$AG15)*POWER((MIN($M15,20)+SQRT(MAX($M15-20,0))),0.9)*Data!$B$1)*(1 - (R15-1)),AV15)</f>
        <v>0</v>
      </c>
      <c r="BA15" s="2">
        <f>IFERROR(((POWER(($J15*$J15*$AG15), 0.33)*LOG10($AE15)*10*Data!$B$1)*R15),AW15)</f>
        <v>56.377196674747736</v>
      </c>
      <c r="BB15" s="2">
        <f t="shared" si="0"/>
        <v>33.870967741935488</v>
      </c>
      <c r="BC15" s="2">
        <f t="shared" si="1"/>
        <v>0</v>
      </c>
      <c r="BD15" s="2">
        <f t="shared" si="2"/>
        <v>0</v>
      </c>
      <c r="BE15" s="2">
        <f t="shared" si="3"/>
        <v>0</v>
      </c>
      <c r="BF15" s="2">
        <v>1</v>
      </c>
      <c r="BG15" s="2">
        <f t="shared" si="4"/>
        <v>35</v>
      </c>
      <c r="BH15" s="2">
        <f t="shared" si="5"/>
        <v>0</v>
      </c>
      <c r="BI15" s="2">
        <f t="shared" si="6"/>
        <v>34</v>
      </c>
      <c r="BJ15" s="2">
        <f t="shared" si="7"/>
        <v>-1</v>
      </c>
      <c r="BK15" s="3"/>
      <c r="BL15" s="3"/>
      <c r="BM15" s="3"/>
      <c r="BN15">
        <f t="shared" si="8"/>
        <v>7</v>
      </c>
      <c r="BO15" s="2" t="str">
        <f>CONCATENATE(
ROUND(BK15*VLOOKUP(I15,'ID Scheme'!$A$2:$E$7,3),0), "x",
ROUND(BL15*VLOOKUP(I15,'ID Scheme'!$A$2:$E$7,5),0), "x",
ROUND(BM15*VLOOKUP(I15,'ID Scheme'!$A$2:$E$7,4),0))</f>
        <v>0x0x0</v>
      </c>
    </row>
    <row r="16" spans="1:68" x14ac:dyDescent="0.25">
      <c r="A16" t="s">
        <v>26</v>
      </c>
      <c r="B16" t="s">
        <v>164</v>
      </c>
      <c r="C16" t="s">
        <v>295</v>
      </c>
      <c r="D16">
        <f>IF(F16 &gt; 2020, ((F16-2020)*4)+1610+H16,IF(F16 &gt; 1900, ((F16-1900)*10)+400+H16, ((F16-1730)*2)+H16))+VLOOKUP(I16,'ID Scheme'!$A$2:$B$7,2, FALSE)</f>
        <v>1291</v>
      </c>
      <c r="F16">
        <v>1929</v>
      </c>
      <c r="G16">
        <v>1</v>
      </c>
      <c r="H16">
        <v>1</v>
      </c>
      <c r="I16" t="s">
        <v>12</v>
      </c>
      <c r="J16">
        <v>29</v>
      </c>
      <c r="K16">
        <v>50</v>
      </c>
      <c r="L16">
        <v>20</v>
      </c>
      <c r="M16">
        <v>20</v>
      </c>
      <c r="N16">
        <v>7</v>
      </c>
      <c r="O16">
        <v>7</v>
      </c>
      <c r="P16">
        <v>90</v>
      </c>
      <c r="Q16">
        <v>20</v>
      </c>
      <c r="R16">
        <v>1</v>
      </c>
      <c r="S16" t="s">
        <v>299</v>
      </c>
      <c r="T16">
        <v>3</v>
      </c>
      <c r="U16" s="2" t="s">
        <v>323</v>
      </c>
      <c r="V16" s="2"/>
      <c r="W16" s="2"/>
      <c r="X16" s="2"/>
      <c r="Y16" s="2"/>
      <c r="Z16" s="2"/>
      <c r="AA16" s="2"/>
      <c r="AB16" s="2"/>
      <c r="AC16" s="2"/>
      <c r="AD16" s="2"/>
      <c r="AQ16" t="s">
        <v>359</v>
      </c>
      <c r="AV16" s="2">
        <f>SQRT(J16*K16)*POWER((MIN(M16,20)+SQRT(MAX(M16-20,0))),0.9)*Data!$B$1</f>
        <v>42.332338540034662</v>
      </c>
      <c r="AW16" s="2">
        <f>POWER((J16*J16*K16), 0.33)*LOG10(P16)*10*Data!$B$1</f>
        <v>49.190642990058024</v>
      </c>
      <c r="AX16" s="2"/>
      <c r="AY16" s="2"/>
      <c r="AZ16" s="2">
        <f>IFERROR((SQRT($J16*$AG16)*POWER((MIN($M16,20)+SQRT(MAX($M16-20,0))),0.9)*Data!$B$1)*(1 - (R16-1)),AV16)</f>
        <v>0</v>
      </c>
      <c r="BA16" s="2">
        <f>IFERROR(((POWER(($J16*$J16*$AG16), 0.33)*LOG10($AE16)*10*Data!$B$1)*R16),AW16)</f>
        <v>49.190642990058024</v>
      </c>
      <c r="BB16" s="2">
        <f t="shared" si="0"/>
        <v>23.387096774193548</v>
      </c>
      <c r="BC16" s="2">
        <f t="shared" si="1"/>
        <v>0</v>
      </c>
      <c r="BD16" s="2">
        <f t="shared" si="2"/>
        <v>0</v>
      </c>
      <c r="BE16" s="2">
        <f t="shared" si="3"/>
        <v>0</v>
      </c>
      <c r="BF16" s="2">
        <v>1</v>
      </c>
      <c r="BG16" s="2">
        <f t="shared" si="4"/>
        <v>50</v>
      </c>
      <c r="BH16" s="2">
        <f t="shared" si="5"/>
        <v>0</v>
      </c>
      <c r="BI16" s="2">
        <f t="shared" si="6"/>
        <v>49</v>
      </c>
      <c r="BJ16" s="2">
        <f t="shared" si="7"/>
        <v>-1</v>
      </c>
      <c r="BK16" s="3"/>
      <c r="BL16" s="3"/>
      <c r="BM16" s="3"/>
      <c r="BN16">
        <f t="shared" si="8"/>
        <v>2</v>
      </c>
      <c r="BO16" s="2" t="str">
        <f>CONCATENATE(
ROUND(BK16*VLOOKUP(I16,'ID Scheme'!$A$2:$E$7,3),0), "x",
ROUND(BL16*VLOOKUP(I16,'ID Scheme'!$A$2:$E$7,5),0), "x",
ROUND(BM16*VLOOKUP(I16,'ID Scheme'!$A$2:$E$7,4),0))</f>
        <v>0x0x0</v>
      </c>
    </row>
    <row r="17" spans="1:68" x14ac:dyDescent="0.25">
      <c r="A17" t="s">
        <v>47</v>
      </c>
      <c r="B17" t="s">
        <v>168</v>
      </c>
      <c r="C17" t="s">
        <v>295</v>
      </c>
      <c r="D17">
        <f>IF(F17 &gt; 2020, ((F17-2020)*4)+1610+H17,IF(F17 &gt; 1900, ((F17-1900)*10)+400+H17, ((F17-1730)*2)+H17))+VLOOKUP(I17,'ID Scheme'!$A$2:$B$7,2, FALSE)</f>
        <v>1311</v>
      </c>
      <c r="F17">
        <v>1931</v>
      </c>
      <c r="G17">
        <v>1</v>
      </c>
      <c r="H17">
        <v>1</v>
      </c>
      <c r="I17" t="s">
        <v>12</v>
      </c>
      <c r="J17">
        <v>36</v>
      </c>
      <c r="K17">
        <v>32</v>
      </c>
      <c r="L17">
        <v>18</v>
      </c>
      <c r="M17">
        <v>19</v>
      </c>
      <c r="N17">
        <v>5</v>
      </c>
      <c r="O17">
        <v>5</v>
      </c>
      <c r="P17">
        <v>100</v>
      </c>
      <c r="Q17">
        <v>20</v>
      </c>
      <c r="R17">
        <v>1</v>
      </c>
      <c r="S17" t="s">
        <v>298</v>
      </c>
      <c r="T17">
        <v>-3</v>
      </c>
      <c r="U17" s="2" t="s">
        <v>322</v>
      </c>
      <c r="V17" s="2"/>
      <c r="W17" s="2"/>
      <c r="X17" s="2"/>
      <c r="Y17" s="2"/>
      <c r="Z17" s="2"/>
      <c r="AA17" s="2"/>
      <c r="AB17" s="2"/>
      <c r="AC17" s="2"/>
      <c r="AD17" s="2"/>
      <c r="AQ17" t="s">
        <v>359</v>
      </c>
      <c r="AV17" s="2">
        <f>SQRT(J17*K17)*POWER((MIN(M17,20)+SQRT(MAX(M17-20,0))),0.9)*Data!$B$1</f>
        <v>36.030122922747744</v>
      </c>
      <c r="AW17" s="2">
        <f>POWER((J17*J17*K17), 0.33)*LOG10(P17)*10*Data!$B$1</f>
        <v>50.112999997180935</v>
      </c>
      <c r="AX17" s="2"/>
      <c r="AY17" s="2"/>
      <c r="AZ17" s="2">
        <f>IFERROR((SQRT($J17*$AG17)*POWER((MIN($M17,20)+SQRT(MAX($M17-20,0))),0.9)*Data!$B$1)*(1 - (R17-1)),AV17)</f>
        <v>0</v>
      </c>
      <c r="BA17" s="2">
        <f>IFERROR(((POWER(($J17*$J17*$AG17), 0.33)*LOG10($AE17)*10*Data!$B$1)*R17),AW17)</f>
        <v>50.112999997180935</v>
      </c>
      <c r="BB17" s="2">
        <f t="shared" si="0"/>
        <v>29.032258064516128</v>
      </c>
      <c r="BC17" s="2">
        <f t="shared" si="1"/>
        <v>0</v>
      </c>
      <c r="BD17" s="2">
        <f t="shared" si="2"/>
        <v>0</v>
      </c>
      <c r="BE17" s="2">
        <f t="shared" si="3"/>
        <v>0</v>
      </c>
      <c r="BF17" s="2">
        <v>1</v>
      </c>
      <c r="BG17" s="2">
        <f t="shared" si="4"/>
        <v>32</v>
      </c>
      <c r="BH17" s="2">
        <f t="shared" si="5"/>
        <v>0</v>
      </c>
      <c r="BI17" s="2">
        <f t="shared" si="6"/>
        <v>31</v>
      </c>
      <c r="BJ17" s="2">
        <f t="shared" si="7"/>
        <v>-1</v>
      </c>
      <c r="BK17" s="3"/>
      <c r="BL17" s="3"/>
      <c r="BM17" s="3"/>
      <c r="BN17">
        <f t="shared" si="8"/>
        <v>2</v>
      </c>
      <c r="BO17" s="2" t="str">
        <f>CONCATENATE(
ROUND(BK17*VLOOKUP(I17,'ID Scheme'!$A$2:$E$7,3),0), "x",
ROUND(BL17*VLOOKUP(I17,'ID Scheme'!$A$2:$E$7,5),0), "x",
ROUND(BM17*VLOOKUP(I17,'ID Scheme'!$A$2:$E$7,4),0))</f>
        <v>0x0x0</v>
      </c>
    </row>
    <row r="18" spans="1:68" x14ac:dyDescent="0.25">
      <c r="A18" t="s">
        <v>43</v>
      </c>
      <c r="B18" t="s">
        <v>170</v>
      </c>
      <c r="C18" t="s">
        <v>295</v>
      </c>
      <c r="D18">
        <f>IF(F18 &gt; 2020, ((F18-2020)*4)+1610+H18,IF(F18 &gt; 1900, ((F18-1900)*10)+400+H18, ((F18-1730)*2)+H18))+VLOOKUP(I18,'ID Scheme'!$A$2:$B$7,2, FALSE)</f>
        <v>1331</v>
      </c>
      <c r="F18">
        <v>1933</v>
      </c>
      <c r="G18">
        <v>1</v>
      </c>
      <c r="H18">
        <v>1</v>
      </c>
      <c r="I18" t="s">
        <v>12</v>
      </c>
      <c r="J18">
        <v>40</v>
      </c>
      <c r="K18">
        <v>44</v>
      </c>
      <c r="L18">
        <v>20</v>
      </c>
      <c r="M18">
        <v>16</v>
      </c>
      <c r="N18">
        <v>4</v>
      </c>
      <c r="O18">
        <v>6</v>
      </c>
      <c r="P18">
        <v>102</v>
      </c>
      <c r="Q18">
        <v>20</v>
      </c>
      <c r="R18">
        <v>1</v>
      </c>
      <c r="S18" t="s">
        <v>299</v>
      </c>
      <c r="T18">
        <v>3</v>
      </c>
      <c r="U18" s="2" t="s">
        <v>321</v>
      </c>
      <c r="V18" s="2"/>
      <c r="W18" s="2"/>
      <c r="X18" s="2"/>
      <c r="Y18" s="2"/>
      <c r="Z18" s="2"/>
      <c r="AA18" s="2"/>
      <c r="AB18" s="2"/>
      <c r="AC18" s="2"/>
      <c r="AD18" s="2"/>
      <c r="AQ18" t="s">
        <v>359</v>
      </c>
      <c r="AV18" s="2">
        <f>SQRT(J18*K18)*POWER((MIN(M18,20)+SQRT(MAX(M18-20,0))),0.9)*Data!$B$1</f>
        <v>38.152726710580495</v>
      </c>
      <c r="AW18" s="2">
        <f>POWER((J18*J18*K18), 0.33)*LOG10(P18)*10*Data!$B$1</f>
        <v>59.931305258252422</v>
      </c>
      <c r="AX18" s="2"/>
      <c r="AY18" s="2"/>
      <c r="AZ18" s="2">
        <f>IFERROR((SQRT($J18*$AG18)*POWER((MIN($M18,20)+SQRT(MAX($M18-20,0))),0.9)*Data!$B$1)*(1 - (R18-1)),AV18)</f>
        <v>0</v>
      </c>
      <c r="BA18" s="2">
        <f>IFERROR(((POWER(($J18*$J18*$AG18), 0.33)*LOG10($AE18)*10*Data!$B$1)*R18),AW18)</f>
        <v>59.931305258252422</v>
      </c>
      <c r="BB18" s="2">
        <f t="shared" si="0"/>
        <v>32.258064516129032</v>
      </c>
      <c r="BC18" s="2">
        <f t="shared" si="1"/>
        <v>0</v>
      </c>
      <c r="BD18" s="2">
        <f t="shared" si="2"/>
        <v>0</v>
      </c>
      <c r="BE18" s="2">
        <f t="shared" si="3"/>
        <v>0</v>
      </c>
      <c r="BF18" s="2">
        <v>1</v>
      </c>
      <c r="BG18" s="2">
        <f t="shared" si="4"/>
        <v>44</v>
      </c>
      <c r="BH18" s="2">
        <f t="shared" si="5"/>
        <v>0</v>
      </c>
      <c r="BI18" s="2">
        <f t="shared" si="6"/>
        <v>43</v>
      </c>
      <c r="BJ18" s="2">
        <f t="shared" si="7"/>
        <v>-1</v>
      </c>
      <c r="BK18" s="3"/>
      <c r="BL18" s="3"/>
      <c r="BM18" s="3"/>
      <c r="BN18">
        <f t="shared" si="8"/>
        <v>2</v>
      </c>
      <c r="BO18" s="2" t="str">
        <f>CONCATENATE(
ROUND(BK18*VLOOKUP(I18,'ID Scheme'!$A$2:$E$7,3),0), "x",
ROUND(BL18*VLOOKUP(I18,'ID Scheme'!$A$2:$E$7,5),0), "x",
ROUND(BM18*VLOOKUP(I18,'ID Scheme'!$A$2:$E$7,4),0))</f>
        <v>0x0x0</v>
      </c>
    </row>
    <row r="19" spans="1:68" x14ac:dyDescent="0.25">
      <c r="A19" t="s">
        <v>101</v>
      </c>
      <c r="B19" t="s">
        <v>171</v>
      </c>
      <c r="C19" t="s">
        <v>295</v>
      </c>
      <c r="D19">
        <f>IF(F19 &gt; 2020, ((F19-2020)*4)+1610+H19,IF(F19 &gt; 1900, ((F19-1900)*10)+400+H19, ((F19-1730)*2)+H19))+VLOOKUP(I19,'ID Scheme'!$A$2:$B$7,2, FALSE)</f>
        <v>1332</v>
      </c>
      <c r="F19">
        <v>1933</v>
      </c>
      <c r="G19">
        <v>3</v>
      </c>
      <c r="H19">
        <v>2</v>
      </c>
      <c r="I19" t="s">
        <v>12</v>
      </c>
      <c r="J19">
        <v>48</v>
      </c>
      <c r="K19">
        <v>20</v>
      </c>
      <c r="L19">
        <v>25</v>
      </c>
      <c r="M19">
        <v>15</v>
      </c>
      <c r="N19">
        <v>5</v>
      </c>
      <c r="O19">
        <v>4</v>
      </c>
      <c r="P19">
        <v>90</v>
      </c>
      <c r="Q19">
        <v>20</v>
      </c>
      <c r="R19">
        <v>1</v>
      </c>
      <c r="S19" t="s">
        <v>299</v>
      </c>
      <c r="T19">
        <v>0</v>
      </c>
      <c r="U19" s="2" t="s">
        <v>320</v>
      </c>
      <c r="V19" s="2"/>
      <c r="W19" s="2"/>
      <c r="X19" s="2"/>
      <c r="Y19" s="2"/>
      <c r="Z19" s="2"/>
      <c r="AA19" s="2"/>
      <c r="AB19" s="2"/>
      <c r="AC19" s="2"/>
      <c r="AD19" s="2"/>
      <c r="AQ19" t="s">
        <v>359</v>
      </c>
      <c r="AV19" s="2">
        <f>SQRT(J19*K19)*POWER((MIN(M19,20)+SQRT(MAX(M19-20,0))),0.9)*Data!$B$1</f>
        <v>26.587592451565005</v>
      </c>
      <c r="AW19" s="2">
        <f>POWER((J19*J19*K19), 0.33)*LOG10(P19)*10*Data!$B$1</f>
        <v>50.698934782631881</v>
      </c>
      <c r="AX19" s="2"/>
      <c r="AY19" s="2"/>
      <c r="AZ19" s="2">
        <f>IFERROR((SQRT($J19*$AG19)*POWER((MIN($M19,20)+SQRT(MAX($M19-20,0))),0.9)*Data!$B$1)*(1 - (R19-1)),AV19)</f>
        <v>0</v>
      </c>
      <c r="BA19" s="2">
        <f>IFERROR(((POWER(($J19*$J19*$AG19), 0.33)*LOG10($AE19)*10*Data!$B$1)*R19),AW19)</f>
        <v>50.698934782631881</v>
      </c>
      <c r="BB19" s="2">
        <f t="shared" si="0"/>
        <v>38.70967741935484</v>
      </c>
      <c r="BC19" s="2">
        <f t="shared" si="1"/>
        <v>0</v>
      </c>
      <c r="BD19" s="2">
        <f t="shared" si="2"/>
        <v>0</v>
      </c>
      <c r="BE19" s="2">
        <f t="shared" si="3"/>
        <v>0</v>
      </c>
      <c r="BF19" s="2">
        <v>1</v>
      </c>
      <c r="BG19" s="2">
        <f t="shared" si="4"/>
        <v>20</v>
      </c>
      <c r="BH19" s="2">
        <f t="shared" si="5"/>
        <v>0</v>
      </c>
      <c r="BI19" s="2">
        <f t="shared" si="6"/>
        <v>19</v>
      </c>
      <c r="BJ19" s="2">
        <f t="shared" si="7"/>
        <v>-1</v>
      </c>
      <c r="BM19" s="3"/>
      <c r="BN19">
        <f t="shared" si="8"/>
        <v>0</v>
      </c>
      <c r="BO19" s="2" t="str">
        <f>CONCATENATE(
ROUND(BK19*VLOOKUP(I19,'ID Scheme'!$A$2:$E$7,3),0), "x",
ROUND(BL19*VLOOKUP(I19,'ID Scheme'!$A$2:$E$7,5),0), "x",
ROUND(BM19*VLOOKUP(I19,'ID Scheme'!$A$2:$E$7,4),0))</f>
        <v>0x0x0</v>
      </c>
    </row>
    <row r="20" spans="1:68" x14ac:dyDescent="0.25">
      <c r="A20" t="s">
        <v>92</v>
      </c>
      <c r="B20" t="s">
        <v>172</v>
      </c>
      <c r="C20" t="s">
        <v>295</v>
      </c>
      <c r="D20">
        <f>IF(F20 &gt; 2020, ((F20-2020)*4)+1610+H20,IF(F20 &gt; 1900, ((F20-1900)*10)+400+H20, ((F20-1730)*2)+H20))+VLOOKUP(I20,'ID Scheme'!$A$2:$B$7,2, FALSE)</f>
        <v>1371</v>
      </c>
      <c r="F20">
        <v>1937</v>
      </c>
      <c r="G20">
        <v>1</v>
      </c>
      <c r="H20">
        <v>1</v>
      </c>
      <c r="I20" t="s">
        <v>12</v>
      </c>
      <c r="J20">
        <v>44</v>
      </c>
      <c r="K20">
        <v>38</v>
      </c>
      <c r="L20">
        <v>15</v>
      </c>
      <c r="M20">
        <v>15</v>
      </c>
      <c r="N20">
        <v>4</v>
      </c>
      <c r="O20">
        <v>5</v>
      </c>
      <c r="P20">
        <v>100</v>
      </c>
      <c r="Q20">
        <v>20</v>
      </c>
      <c r="R20">
        <v>1</v>
      </c>
      <c r="S20" t="s">
        <v>299</v>
      </c>
      <c r="T20">
        <v>1</v>
      </c>
      <c r="U20" s="2" t="s">
        <v>319</v>
      </c>
      <c r="V20" s="2"/>
      <c r="W20" s="2"/>
      <c r="X20" s="2"/>
      <c r="Y20" s="2"/>
      <c r="Z20" s="2"/>
      <c r="AA20" s="2"/>
      <c r="AB20" s="2"/>
      <c r="AC20" s="2"/>
      <c r="AD20" s="2"/>
      <c r="AQ20" t="s">
        <v>359</v>
      </c>
      <c r="AV20" s="2">
        <f>SQRT(J20*K20)*POWER((MIN(M20,20)+SQRT(MAX(M20-20,0))),0.9)*Data!$B$1</f>
        <v>35.088235816466785</v>
      </c>
      <c r="AW20" s="2">
        <f>POWER((J20*J20*K20), 0.33)*LOG10(P20)*10*Data!$B$1</f>
        <v>60.547834117089934</v>
      </c>
      <c r="AX20" s="2"/>
      <c r="AY20" s="2"/>
      <c r="AZ20" s="2">
        <f>IFERROR((SQRT($J20*$AG20)*POWER((MIN($M20,20)+SQRT(MAX($M20-20,0))),0.9)*Data!$B$1)*(1 - (R20-1)),AV20)</f>
        <v>0</v>
      </c>
      <c r="BA20" s="2">
        <f>IFERROR(((POWER(($J20*$J20*$AG20), 0.33)*LOG10($AE20)*10*Data!$B$1)*R20),AW20)</f>
        <v>60.547834117089934</v>
      </c>
      <c r="BB20" s="2">
        <f t="shared" si="0"/>
        <v>35.483870967741936</v>
      </c>
      <c r="BC20" s="2">
        <f t="shared" si="1"/>
        <v>0</v>
      </c>
      <c r="BD20" s="2">
        <f t="shared" si="2"/>
        <v>0</v>
      </c>
      <c r="BE20" s="2">
        <f t="shared" si="3"/>
        <v>0</v>
      </c>
      <c r="BF20" s="2">
        <v>1</v>
      </c>
      <c r="BG20" s="2">
        <f t="shared" si="4"/>
        <v>38</v>
      </c>
      <c r="BH20" s="2">
        <f t="shared" si="5"/>
        <v>0</v>
      </c>
      <c r="BI20" s="2">
        <f t="shared" si="6"/>
        <v>37</v>
      </c>
      <c r="BJ20" s="2">
        <f t="shared" si="7"/>
        <v>-1</v>
      </c>
      <c r="BK20" s="3">
        <v>8.4</v>
      </c>
      <c r="BL20" s="3">
        <v>2.4</v>
      </c>
      <c r="BM20" s="3">
        <v>2.6</v>
      </c>
      <c r="BN20">
        <f t="shared" si="8"/>
        <v>4</v>
      </c>
      <c r="BO20" s="2" t="str">
        <f>CONCATENATE(
ROUND(BK20*VLOOKUP(I20,'ID Scheme'!$A$2:$E$7,3),0), "x",
ROUND(BL20*VLOOKUP(I20,'ID Scheme'!$A$2:$E$7,5),0), "x",
ROUND(BM20*VLOOKUP(I20,'ID Scheme'!$A$2:$E$7,4),0))</f>
        <v>78x35x25</v>
      </c>
    </row>
    <row r="21" spans="1:68" x14ac:dyDescent="0.25">
      <c r="A21" t="s">
        <v>27</v>
      </c>
      <c r="B21" t="s">
        <v>163</v>
      </c>
      <c r="C21" t="s">
        <v>295</v>
      </c>
      <c r="D21">
        <f>IF(F21 &gt; 2020, ((F21-2020)*4)+1610+H21,IF(F21 &gt; 1900, ((F21-1900)*10)+400+H21, ((F21-1730)*2)+H21))+VLOOKUP(I21,'ID Scheme'!$A$2:$B$7,2, FALSE)</f>
        <v>1451</v>
      </c>
      <c r="F21">
        <v>1945</v>
      </c>
      <c r="G21">
        <v>9</v>
      </c>
      <c r="H21">
        <v>1</v>
      </c>
      <c r="I21" t="s">
        <v>12</v>
      </c>
      <c r="J21">
        <v>38</v>
      </c>
      <c r="K21">
        <v>57</v>
      </c>
      <c r="L21">
        <v>20</v>
      </c>
      <c r="M21">
        <v>20</v>
      </c>
      <c r="N21">
        <v>7</v>
      </c>
      <c r="O21">
        <v>7</v>
      </c>
      <c r="P21">
        <v>115</v>
      </c>
      <c r="Q21">
        <v>20</v>
      </c>
      <c r="R21">
        <v>1</v>
      </c>
      <c r="S21" t="s">
        <v>299</v>
      </c>
      <c r="T21">
        <v>3</v>
      </c>
      <c r="U21" s="2" t="s">
        <v>318</v>
      </c>
      <c r="V21" s="2"/>
      <c r="W21" s="2"/>
      <c r="X21" s="2"/>
      <c r="Y21" s="2"/>
      <c r="Z21" s="2"/>
      <c r="AA21" s="2"/>
      <c r="AB21" s="2"/>
      <c r="AC21" s="2"/>
      <c r="AD21" s="2"/>
      <c r="AQ21" t="s">
        <v>359</v>
      </c>
      <c r="AV21" s="2">
        <f>SQRT(J21*K21)*POWER((MIN(M21,20)+SQRT(MAX(M21-20,0))),0.9)*Data!$B$1</f>
        <v>51.738935086655786</v>
      </c>
      <c r="AW21" s="2">
        <f>POWER((J21*J21*K21), 0.33)*LOG10(P21)*10*Data!$B$1</f>
        <v>64.739815215748749</v>
      </c>
      <c r="AX21" s="2"/>
      <c r="AY21" s="2"/>
      <c r="AZ21" s="2">
        <f>IFERROR((SQRT($J21*$AG21)*POWER((MIN($M21,20)+SQRT(MAX($M21-20,0))),0.9)*Data!$B$1)*(1 - (R21-1)),AV21)</f>
        <v>0</v>
      </c>
      <c r="BA21" s="2">
        <f>IFERROR(((POWER(($J21*$J21*$AG21), 0.33)*LOG10($AE21)*10*Data!$B$1)*R21),AW21)</f>
        <v>64.739815215748749</v>
      </c>
      <c r="BB21" s="2">
        <f t="shared" si="0"/>
        <v>30.64516129032258</v>
      </c>
      <c r="BC21" s="2">
        <f t="shared" si="1"/>
        <v>0</v>
      </c>
      <c r="BD21" s="2">
        <f t="shared" si="2"/>
        <v>0</v>
      </c>
      <c r="BE21" s="2">
        <f t="shared" si="3"/>
        <v>0</v>
      </c>
      <c r="BF21" s="2">
        <v>1</v>
      </c>
      <c r="BG21" s="2">
        <f t="shared" si="4"/>
        <v>57</v>
      </c>
      <c r="BH21" s="2">
        <f t="shared" si="5"/>
        <v>0</v>
      </c>
      <c r="BI21" s="2">
        <f t="shared" si="6"/>
        <v>56</v>
      </c>
      <c r="BJ21" s="2">
        <f t="shared" si="7"/>
        <v>-1</v>
      </c>
      <c r="BK21" s="3"/>
      <c r="BL21" s="3"/>
      <c r="BM21" s="3"/>
      <c r="BN21">
        <f t="shared" si="8"/>
        <v>8</v>
      </c>
      <c r="BO21" s="2" t="str">
        <f>CONCATENATE(
ROUND(BK21*VLOOKUP(I21,'ID Scheme'!$A$2:$E$7,3),0), "x",
ROUND(BL21*VLOOKUP(I21,'ID Scheme'!$A$2:$E$7,5),0), "x",
ROUND(BM21*VLOOKUP(I21,'ID Scheme'!$A$2:$E$7,4),0))</f>
        <v>0x0x0</v>
      </c>
    </row>
    <row r="22" spans="1:68" x14ac:dyDescent="0.25">
      <c r="A22" t="s">
        <v>86</v>
      </c>
      <c r="B22" t="s">
        <v>173</v>
      </c>
      <c r="C22" t="s">
        <v>295</v>
      </c>
      <c r="D22">
        <f>IF(F22 &gt; 2020, ((F22-2020)*4)+1610+H22,IF(F22 &gt; 1900, ((F22-1900)*10)+400+H22, ((F22-1730)*2)+H22))+VLOOKUP(I22,'ID Scheme'!$A$2:$B$7,2, FALSE)</f>
        <v>1491</v>
      </c>
      <c r="F22">
        <v>1949</v>
      </c>
      <c r="G22">
        <v>6</v>
      </c>
      <c r="H22">
        <v>1</v>
      </c>
      <c r="I22" t="s">
        <v>12</v>
      </c>
      <c r="J22">
        <v>42</v>
      </c>
      <c r="K22">
        <v>58</v>
      </c>
      <c r="L22">
        <v>20</v>
      </c>
      <c r="M22">
        <v>18</v>
      </c>
      <c r="N22">
        <v>6</v>
      </c>
      <c r="O22">
        <v>6.5</v>
      </c>
      <c r="P22">
        <v>120</v>
      </c>
      <c r="Q22">
        <v>20</v>
      </c>
      <c r="R22">
        <v>1</v>
      </c>
      <c r="S22" t="s">
        <v>299</v>
      </c>
      <c r="T22">
        <v>3</v>
      </c>
      <c r="U22" s="2" t="s">
        <v>302</v>
      </c>
      <c r="V22" s="2"/>
      <c r="W22" s="2"/>
      <c r="X22" s="2"/>
      <c r="Y22" s="2"/>
      <c r="Z22" s="2"/>
      <c r="AA22" s="2"/>
      <c r="AB22" s="2"/>
      <c r="AC22" s="2"/>
      <c r="AD22" s="2"/>
      <c r="AQ22" t="s">
        <v>359</v>
      </c>
      <c r="AV22" s="2">
        <f>SQRT(J22*K22)*POWER((MIN(M22,20)+SQRT(MAX(M22-20,0))),0.9)*Data!$B$1</f>
        <v>49.905126406384355</v>
      </c>
      <c r="AW22" s="2">
        <f>POWER((J22*J22*K22), 0.33)*LOG10(P22)*10*Data!$B$1</f>
        <v>70.182588528436455</v>
      </c>
      <c r="AX22" s="2"/>
      <c r="AY22" s="2"/>
      <c r="AZ22" s="2">
        <f>IFERROR((SQRT($J22*$AG22)*POWER((MIN($M22,20)+SQRT(MAX($M22-20,0))),0.9)*Data!$B$1)*(1 - (R22-1)),AV22)</f>
        <v>0</v>
      </c>
      <c r="BA22" s="2">
        <f>IFERROR(((POWER(($J22*$J22*$AG22), 0.33)*LOG10($AE22)*10*Data!$B$1)*R22),AW22)</f>
        <v>70.182588528436455</v>
      </c>
      <c r="BB22" s="2">
        <f t="shared" si="0"/>
        <v>33.870967741935488</v>
      </c>
      <c r="BC22" s="2">
        <f t="shared" si="1"/>
        <v>0</v>
      </c>
      <c r="BD22" s="2">
        <f t="shared" si="2"/>
        <v>0</v>
      </c>
      <c r="BE22" s="2">
        <f t="shared" si="3"/>
        <v>0</v>
      </c>
      <c r="BF22" s="2">
        <v>1</v>
      </c>
      <c r="BG22" s="2">
        <f t="shared" si="4"/>
        <v>58</v>
      </c>
      <c r="BH22" s="2">
        <f t="shared" si="5"/>
        <v>0</v>
      </c>
      <c r="BI22" s="2">
        <f t="shared" si="6"/>
        <v>57</v>
      </c>
      <c r="BJ22" s="2">
        <f t="shared" si="7"/>
        <v>-1</v>
      </c>
      <c r="BK22" s="3">
        <v>9.1</v>
      </c>
      <c r="BL22" s="3">
        <v>2.4</v>
      </c>
      <c r="BM22" s="3">
        <v>3.9</v>
      </c>
      <c r="BN22">
        <f t="shared" si="8"/>
        <v>4</v>
      </c>
      <c r="BO22" s="2" t="str">
        <f>CONCATENATE(
ROUND(BK22*VLOOKUP(I22,'ID Scheme'!$A$2:$E$7,3),0), "x",
ROUND(BL22*VLOOKUP(I22,'ID Scheme'!$A$2:$E$7,5),0), "x",
ROUND(BM22*VLOOKUP(I22,'ID Scheme'!$A$2:$E$7,4),0))</f>
        <v>85x35x38</v>
      </c>
      <c r="BP22" t="s">
        <v>87</v>
      </c>
    </row>
    <row r="23" spans="1:68" x14ac:dyDescent="0.25">
      <c r="A23" t="s">
        <v>85</v>
      </c>
      <c r="B23" t="s">
        <v>174</v>
      </c>
      <c r="C23" t="s">
        <v>295</v>
      </c>
      <c r="D23">
        <f>IF(F23 &gt; 2020, ((F23-2020)*4)+1610+H23,IF(F23 &gt; 1900, ((F23-1900)*10)+400+H23, ((F23-1730)*2)+H23))+VLOOKUP(I23,'ID Scheme'!$A$2:$B$7,2, FALSE)</f>
        <v>1501</v>
      </c>
      <c r="F23">
        <v>1950</v>
      </c>
      <c r="G23">
        <v>1</v>
      </c>
      <c r="H23">
        <v>1</v>
      </c>
      <c r="I23" t="s">
        <v>12</v>
      </c>
      <c r="J23">
        <v>45</v>
      </c>
      <c r="K23">
        <v>42</v>
      </c>
      <c r="L23">
        <v>15</v>
      </c>
      <c r="M23">
        <v>17</v>
      </c>
      <c r="N23">
        <v>4</v>
      </c>
      <c r="O23">
        <v>5</v>
      </c>
      <c r="P23">
        <v>120</v>
      </c>
      <c r="Q23">
        <v>20</v>
      </c>
      <c r="R23">
        <v>1</v>
      </c>
      <c r="S23" t="s">
        <v>299</v>
      </c>
      <c r="T23">
        <v>1</v>
      </c>
      <c r="U23" s="2" t="s">
        <v>303</v>
      </c>
      <c r="V23" s="2"/>
      <c r="W23" s="2"/>
      <c r="X23" s="2"/>
      <c r="Y23" s="2"/>
      <c r="Z23" s="2"/>
      <c r="AA23" s="2"/>
      <c r="AB23" s="2"/>
      <c r="AC23" s="2"/>
      <c r="AD23" s="2"/>
      <c r="AQ23" t="s">
        <v>359</v>
      </c>
      <c r="AV23" s="2">
        <f>SQRT(J23*K23)*POWER((MIN(M23,20)+SQRT(MAX(M23-20,0))),0.9)*Data!$B$1</f>
        <v>41.753818084099102</v>
      </c>
      <c r="AW23" s="2">
        <f>POWER((J23*J23*K23), 0.33)*LOG10(P23)*10*Data!$B$1</f>
        <v>66.030735917412429</v>
      </c>
      <c r="AX23" s="2"/>
      <c r="AY23" s="2"/>
      <c r="AZ23" s="2">
        <f>IFERROR((SQRT($J23*$AG23)*POWER((MIN($M23,20)+SQRT(MAX($M23-20,0))),0.9)*Data!$B$1)*(1 - (R23-1)),AV23)</f>
        <v>0</v>
      </c>
      <c r="BA23" s="2">
        <f>IFERROR(((POWER(($J23*$J23*$AG23), 0.33)*LOG10($AE23)*10*Data!$B$1)*R23),AW23)</f>
        <v>66.030735917412429</v>
      </c>
      <c r="BB23" s="2">
        <f t="shared" si="0"/>
        <v>36.29032258064516</v>
      </c>
      <c r="BC23" s="2">
        <f t="shared" si="1"/>
        <v>0</v>
      </c>
      <c r="BD23" s="2">
        <f t="shared" si="2"/>
        <v>0</v>
      </c>
      <c r="BE23" s="2">
        <f t="shared" si="3"/>
        <v>0</v>
      </c>
      <c r="BF23" s="2">
        <v>1</v>
      </c>
      <c r="BG23" s="2">
        <f t="shared" si="4"/>
        <v>42</v>
      </c>
      <c r="BH23" s="2">
        <f t="shared" si="5"/>
        <v>0</v>
      </c>
      <c r="BI23" s="2">
        <f t="shared" si="6"/>
        <v>41</v>
      </c>
      <c r="BJ23" s="2">
        <f t="shared" si="7"/>
        <v>-1</v>
      </c>
      <c r="BK23" s="3">
        <v>9.1</v>
      </c>
      <c r="BL23" s="3">
        <v>2.4</v>
      </c>
      <c r="BM23" s="3">
        <v>2.6</v>
      </c>
      <c r="BN23">
        <f t="shared" si="8"/>
        <v>1</v>
      </c>
      <c r="BO23" s="2" t="str">
        <f>CONCATENATE(
ROUND(BK23*VLOOKUP(I23,'ID Scheme'!$A$2:$E$7,3),0), "x",
ROUND(BL23*VLOOKUP(I23,'ID Scheme'!$A$2:$E$7,5),0), "x",
ROUND(BM23*VLOOKUP(I23,'ID Scheme'!$A$2:$E$7,4),0))</f>
        <v>85x35x25</v>
      </c>
      <c r="BP23" t="s">
        <v>87</v>
      </c>
    </row>
    <row r="24" spans="1:68" x14ac:dyDescent="0.25">
      <c r="A24" t="s">
        <v>28</v>
      </c>
      <c r="B24" t="s">
        <v>175</v>
      </c>
      <c r="C24" t="s">
        <v>295</v>
      </c>
      <c r="D24">
        <f>IF(F24 &gt; 2020, ((F24-2020)*4)+1610+H24,IF(F24 &gt; 1900, ((F24-1900)*10)+400+H24, ((F24-1730)*2)+H24))+VLOOKUP(I24,'ID Scheme'!$A$2:$B$7,2, FALSE)</f>
        <v>1541</v>
      </c>
      <c r="F24">
        <v>1954</v>
      </c>
      <c r="G24">
        <v>9</v>
      </c>
      <c r="H24">
        <v>1</v>
      </c>
      <c r="I24" t="s">
        <v>12</v>
      </c>
      <c r="J24">
        <v>40</v>
      </c>
      <c r="K24">
        <v>72</v>
      </c>
      <c r="L24">
        <v>40</v>
      </c>
      <c r="M24">
        <v>25</v>
      </c>
      <c r="N24">
        <v>7</v>
      </c>
      <c r="O24">
        <v>7.5</v>
      </c>
      <c r="P24">
        <v>115</v>
      </c>
      <c r="Q24">
        <v>20</v>
      </c>
      <c r="R24">
        <v>1</v>
      </c>
      <c r="S24" t="s">
        <v>299</v>
      </c>
      <c r="T24">
        <v>3</v>
      </c>
      <c r="U24" s="2" t="s">
        <v>317</v>
      </c>
      <c r="V24" s="2"/>
      <c r="W24" s="2"/>
      <c r="X24" s="2"/>
      <c r="Y24" s="2"/>
      <c r="Z24" s="2"/>
      <c r="AA24" s="2"/>
      <c r="AB24" s="2"/>
      <c r="AC24" s="2"/>
      <c r="AD24" s="2"/>
      <c r="AQ24" t="s">
        <v>359</v>
      </c>
      <c r="AV24" s="2">
        <f>SQRT(J24*K24)*POWER((MIN(M24,20)+SQRT(MAX(M24-20,0))),0.9)*Data!$B$1</f>
        <v>65.631102684772316</v>
      </c>
      <c r="AW24" s="2">
        <f>POWER((J24*J24*K24), 0.33)*LOG10(P24)*10*Data!$B$1</f>
        <v>72.3360679145528</v>
      </c>
      <c r="AX24" s="2"/>
      <c r="AY24" s="2"/>
      <c r="AZ24" s="2">
        <f>IFERROR((SQRT($J24*$AG24)*POWER((MIN($M24,20)+SQRT(MAX($M24-20,0))),0.9)*Data!$B$1)*(1 - (R24-1)),AV24)</f>
        <v>0</v>
      </c>
      <c r="BA24" s="2">
        <f>IFERROR(((POWER(($J24*$J24*$AG24), 0.33)*LOG10($AE24)*10*Data!$B$1)*R24),AW24)</f>
        <v>72.3360679145528</v>
      </c>
      <c r="BB24" s="2">
        <f t="shared" si="0"/>
        <v>32.258064516129032</v>
      </c>
      <c r="BC24" s="2">
        <f t="shared" si="1"/>
        <v>0</v>
      </c>
      <c r="BD24" s="2">
        <f t="shared" si="2"/>
        <v>0</v>
      </c>
      <c r="BE24" s="2">
        <f t="shared" si="3"/>
        <v>0</v>
      </c>
      <c r="BF24" s="2">
        <v>1</v>
      </c>
      <c r="BG24" s="2">
        <f t="shared" si="4"/>
        <v>72</v>
      </c>
      <c r="BH24" s="2">
        <f t="shared" si="5"/>
        <v>0</v>
      </c>
      <c r="BI24" s="2">
        <f t="shared" si="6"/>
        <v>71</v>
      </c>
      <c r="BJ24" s="2">
        <f t="shared" si="7"/>
        <v>-1</v>
      </c>
      <c r="BK24" s="3"/>
      <c r="BL24" s="3"/>
      <c r="BM24" s="3"/>
      <c r="BN24">
        <f t="shared" si="8"/>
        <v>4</v>
      </c>
      <c r="BO24" s="2" t="str">
        <f>CONCATENATE(
ROUND(BK24*VLOOKUP(I24,'ID Scheme'!$A$2:$E$7,3),0), "x",
ROUND(BL24*VLOOKUP(I24,'ID Scheme'!$A$2:$E$7,5),0), "x",
ROUND(BM24*VLOOKUP(I24,'ID Scheme'!$A$2:$E$7,4),0))</f>
        <v>0x0x0</v>
      </c>
    </row>
    <row r="25" spans="1:68" x14ac:dyDescent="0.25">
      <c r="A25" t="s">
        <v>29</v>
      </c>
      <c r="B25" t="s">
        <v>176</v>
      </c>
      <c r="C25" t="s">
        <v>295</v>
      </c>
      <c r="D25">
        <f>IF(F25 &gt; 2020, ((F25-2020)*4)+1610+H25,IF(F25 &gt; 1900, ((F25-1900)*10)+400+H25, ((F25-1730)*2)+H25))+VLOOKUP(I25,'ID Scheme'!$A$2:$B$7,2, FALSE)</f>
        <v>1581</v>
      </c>
      <c r="F25">
        <v>1958</v>
      </c>
      <c r="G25">
        <v>6</v>
      </c>
      <c r="H25">
        <v>1</v>
      </c>
      <c r="I25" t="s">
        <v>12</v>
      </c>
      <c r="J25">
        <v>76</v>
      </c>
      <c r="K25">
        <v>34</v>
      </c>
      <c r="L25">
        <v>15</v>
      </c>
      <c r="M25">
        <v>16</v>
      </c>
      <c r="N25">
        <v>4</v>
      </c>
      <c r="O25">
        <v>6</v>
      </c>
      <c r="P25">
        <v>138</v>
      </c>
      <c r="Q25">
        <v>24</v>
      </c>
      <c r="R25">
        <v>1.1000000000000001</v>
      </c>
      <c r="S25" t="s">
        <v>305</v>
      </c>
      <c r="T25">
        <v>2</v>
      </c>
      <c r="U25" s="2" t="s">
        <v>306</v>
      </c>
      <c r="V25" s="2"/>
      <c r="W25" s="2"/>
      <c r="X25" s="2"/>
      <c r="Y25" s="2"/>
      <c r="Z25" s="2"/>
      <c r="AA25" s="2"/>
      <c r="AB25" s="2"/>
      <c r="AC25" s="2"/>
      <c r="AD25" s="2"/>
      <c r="AI25">
        <v>62</v>
      </c>
      <c r="AJ25">
        <v>70</v>
      </c>
      <c r="AQ25" t="s">
        <v>359</v>
      </c>
      <c r="AV25" s="2">
        <f>SQRT(J25*K25)*POWER((MIN(M25,20)+SQRT(MAX(M25-20,0))),0.9)*Data!$B$1</f>
        <v>46.229106799773696</v>
      </c>
      <c r="AW25" s="2">
        <f>POWER((J25*J25*K25), 0.33)*LOG10(P25)*10*Data!$B$1</f>
        <v>89.572668198304811</v>
      </c>
      <c r="AX25" s="2"/>
      <c r="AY25" s="2"/>
      <c r="AZ25" s="2">
        <f>IFERROR((SQRT($J25*$AG25)*POWER((MIN($M25,20)+SQRT(MAX($M25-20,0))),0.9)*Data!$B$1)*(1 - (R25-1)),AV25)</f>
        <v>0</v>
      </c>
      <c r="BA25" s="2">
        <f>IFERROR(((POWER(($J25*$J25*$AG25), 0.33)*LOG10($AE25)*10*Data!$B$1)*R25),AW25)</f>
        <v>89.572668198304811</v>
      </c>
      <c r="BB25" s="2">
        <f t="shared" si="0"/>
        <v>61.29032258064516</v>
      </c>
      <c r="BC25" s="2">
        <f t="shared" si="1"/>
        <v>0</v>
      </c>
      <c r="BD25" s="2">
        <f t="shared" si="2"/>
        <v>50</v>
      </c>
      <c r="BE25" s="2">
        <f t="shared" si="3"/>
        <v>56.451612903225808</v>
      </c>
      <c r="BF25" s="2">
        <v>1</v>
      </c>
      <c r="BG25" s="2">
        <f t="shared" si="4"/>
        <v>34</v>
      </c>
      <c r="BH25" s="2">
        <f t="shared" si="5"/>
        <v>0</v>
      </c>
      <c r="BI25" s="2">
        <f t="shared" si="6"/>
        <v>33</v>
      </c>
      <c r="BJ25" s="2">
        <f t="shared" si="7"/>
        <v>-1</v>
      </c>
      <c r="BK25" s="3"/>
      <c r="BL25" s="3"/>
      <c r="BM25" s="3"/>
      <c r="BN25">
        <f t="shared" si="8"/>
        <v>4</v>
      </c>
      <c r="BO25" s="2" t="str">
        <f>CONCATENATE(
ROUND(BK25*VLOOKUP(I25,'ID Scheme'!$A$2:$E$7,3),0), "x",
ROUND(BL25*VLOOKUP(I25,'ID Scheme'!$A$2:$E$7,5),0), "x",
ROUND(BM25*VLOOKUP(I25,'ID Scheme'!$A$2:$E$7,4),0))</f>
        <v>0x0x0</v>
      </c>
    </row>
    <row r="26" spans="1:68" x14ac:dyDescent="0.25">
      <c r="A26" t="s">
        <v>59</v>
      </c>
      <c r="B26" t="s">
        <v>177</v>
      </c>
      <c r="C26" t="s">
        <v>295</v>
      </c>
      <c r="D26">
        <f>IF(F26 &gt; 2020, ((F26-2020)*4)+1610+H26,IF(F26 &gt; 1900, ((F26-1900)*10)+400+H26, ((F26-1730)*2)+H26))+VLOOKUP(I26,'ID Scheme'!$A$2:$B$7,2, FALSE)</f>
        <v>1582</v>
      </c>
      <c r="F26">
        <v>1958</v>
      </c>
      <c r="G26">
        <v>1</v>
      </c>
      <c r="H26">
        <v>2</v>
      </c>
      <c r="I26" t="s">
        <v>12</v>
      </c>
      <c r="J26">
        <v>55</v>
      </c>
      <c r="K26">
        <v>57</v>
      </c>
      <c r="L26">
        <v>30</v>
      </c>
      <c r="M26">
        <v>25</v>
      </c>
      <c r="N26">
        <v>4</v>
      </c>
      <c r="O26">
        <v>7</v>
      </c>
      <c r="P26">
        <v>140</v>
      </c>
      <c r="Q26">
        <v>20</v>
      </c>
      <c r="R26">
        <v>1</v>
      </c>
      <c r="S26" t="s">
        <v>311</v>
      </c>
      <c r="T26">
        <v>3</v>
      </c>
      <c r="U26" s="2" t="s">
        <v>312</v>
      </c>
      <c r="V26" s="2"/>
      <c r="W26" s="2"/>
      <c r="X26" s="2"/>
      <c r="Y26" s="2"/>
      <c r="Z26" s="2"/>
      <c r="AA26" s="2"/>
      <c r="AB26" s="2"/>
      <c r="AC26" s="2"/>
      <c r="AD26" s="2"/>
      <c r="AQ26" t="s">
        <v>359</v>
      </c>
      <c r="AV26" s="2">
        <f>SQRT(J26*K26)*POWER((MIN(M26,20)+SQRT(MAX(M26-20,0))),0.9)*Data!$B$1</f>
        <v>68.475029766042482</v>
      </c>
      <c r="AW26" s="2">
        <f>POWER((J26*J26*K26), 0.33)*LOG10(P26)*10*Data!$B$1</f>
        <v>86.05873713759469</v>
      </c>
      <c r="AX26" s="2"/>
      <c r="AY26" s="2"/>
      <c r="AZ26" s="2">
        <f>IFERROR((SQRT($J26*$AG26)*POWER((MIN($M26,20)+SQRT(MAX($M26-20,0))),0.9)*Data!$B$1)*(1 - (R26-1)),AV26)</f>
        <v>0</v>
      </c>
      <c r="BA26" s="2">
        <f>IFERROR(((POWER(($J26*$J26*$AG26), 0.33)*LOG10($AE26)*10*Data!$B$1)*R26),AW26)</f>
        <v>86.05873713759469</v>
      </c>
      <c r="BB26" s="2">
        <f t="shared" si="0"/>
        <v>44.354838709677416</v>
      </c>
      <c r="BC26" s="2">
        <f t="shared" si="1"/>
        <v>0</v>
      </c>
      <c r="BD26" s="2">
        <f t="shared" si="2"/>
        <v>0</v>
      </c>
      <c r="BE26" s="2">
        <f t="shared" si="3"/>
        <v>0</v>
      </c>
      <c r="BF26" s="2">
        <v>1</v>
      </c>
      <c r="BG26" s="2">
        <f t="shared" si="4"/>
        <v>57</v>
      </c>
      <c r="BH26" s="2">
        <f t="shared" si="5"/>
        <v>0</v>
      </c>
      <c r="BI26" s="2">
        <f t="shared" si="6"/>
        <v>56</v>
      </c>
      <c r="BJ26" s="2">
        <f t="shared" si="7"/>
        <v>-1</v>
      </c>
      <c r="BK26" s="3"/>
      <c r="BL26" s="3"/>
      <c r="BM26" s="3"/>
      <c r="BN26">
        <f t="shared" si="8"/>
        <v>0</v>
      </c>
      <c r="BO26" s="2" t="str">
        <f>CONCATENATE(
ROUND(BK26*VLOOKUP(I26,'ID Scheme'!$A$2:$E$7,3),0), "x",
ROUND(BL26*VLOOKUP(I26,'ID Scheme'!$A$2:$E$7,5),0), "x",
ROUND(BM26*VLOOKUP(I26,'ID Scheme'!$A$2:$E$7,4),0))</f>
        <v>0x0x0</v>
      </c>
    </row>
    <row r="27" spans="1:68" x14ac:dyDescent="0.25">
      <c r="A27" t="s">
        <v>25</v>
      </c>
      <c r="B27" t="s">
        <v>178</v>
      </c>
      <c r="C27" t="s">
        <v>295</v>
      </c>
      <c r="D27">
        <f>IF(F27 &gt; 2020, ((F27-2020)*4)+1610+H27,IF(F27 &gt; 1900, ((F27-1900)*10)+400+H27, ((F27-1730)*2)+H27))+VLOOKUP(I27,'ID Scheme'!$A$2:$B$7,2, FALSE)</f>
        <v>1631</v>
      </c>
      <c r="F27">
        <v>1963</v>
      </c>
      <c r="G27">
        <v>6</v>
      </c>
      <c r="H27">
        <v>1</v>
      </c>
      <c r="I27" t="s">
        <v>12</v>
      </c>
      <c r="J27">
        <v>55</v>
      </c>
      <c r="K27">
        <v>52</v>
      </c>
      <c r="L27">
        <v>20</v>
      </c>
      <c r="M27">
        <v>18</v>
      </c>
      <c r="N27">
        <v>4</v>
      </c>
      <c r="O27">
        <v>10</v>
      </c>
      <c r="P27">
        <v>143</v>
      </c>
      <c r="Q27">
        <v>20</v>
      </c>
      <c r="R27">
        <v>1</v>
      </c>
      <c r="S27" t="s">
        <v>311</v>
      </c>
      <c r="T27">
        <v>3</v>
      </c>
      <c r="U27" s="2" t="s">
        <v>313</v>
      </c>
      <c r="V27" s="2"/>
      <c r="W27" s="2"/>
      <c r="X27" s="2"/>
      <c r="Y27" s="2"/>
      <c r="Z27" s="2"/>
      <c r="AA27" s="2"/>
      <c r="AB27" s="2"/>
      <c r="AC27" s="2"/>
      <c r="AD27" s="2"/>
      <c r="AQ27" t="s">
        <v>359</v>
      </c>
      <c r="AV27" s="2">
        <f>SQRT(J27*K27)*POWER((MIN(M27,20)+SQRT(MAX(M27-20,0))),0.9)*Data!$B$1</f>
        <v>54.074129222607461</v>
      </c>
      <c r="AW27" s="2">
        <f>POWER((J27*J27*K27), 0.33)*LOG10(P27)*10*Data!$B$1</f>
        <v>83.848776966287019</v>
      </c>
      <c r="AX27" s="2"/>
      <c r="AY27" s="2"/>
      <c r="AZ27" s="2">
        <f>IFERROR((SQRT($J27*$AG27)*POWER((MIN($M27,20)+SQRT(MAX($M27-20,0))),0.9)*Data!$B$1)*(1 - (R27-1)),AV27)</f>
        <v>0</v>
      </c>
      <c r="BA27" s="2">
        <f>IFERROR(((POWER(($J27*$J27*$AG27), 0.33)*LOG10($AE27)*10*Data!$B$1)*R27),AW27)</f>
        <v>83.848776966287019</v>
      </c>
      <c r="BB27" s="2">
        <f t="shared" si="0"/>
        <v>44.354838709677416</v>
      </c>
      <c r="BC27" s="2">
        <f t="shared" si="1"/>
        <v>0</v>
      </c>
      <c r="BD27" s="2">
        <f t="shared" si="2"/>
        <v>0</v>
      </c>
      <c r="BE27" s="2">
        <f t="shared" si="3"/>
        <v>0</v>
      </c>
      <c r="BF27" s="2">
        <v>1</v>
      </c>
      <c r="BG27" s="2">
        <f t="shared" si="4"/>
        <v>52</v>
      </c>
      <c r="BH27" s="2">
        <f t="shared" si="5"/>
        <v>0</v>
      </c>
      <c r="BI27" s="2">
        <f t="shared" si="6"/>
        <v>51</v>
      </c>
      <c r="BJ27" s="2">
        <f t="shared" si="7"/>
        <v>-1</v>
      </c>
      <c r="BK27" s="3">
        <v>11</v>
      </c>
      <c r="BL27" s="3">
        <v>2.5</v>
      </c>
      <c r="BM27" s="3"/>
      <c r="BN27">
        <f t="shared" si="8"/>
        <v>5</v>
      </c>
      <c r="BO27" s="2" t="str">
        <f>CONCATENATE(
ROUND(BK27*VLOOKUP(I27,'ID Scheme'!$A$2:$E$7,3),0), "x",
ROUND(BL27*VLOOKUP(I27,'ID Scheme'!$A$2:$E$7,5),0), "x",
ROUND(BM27*VLOOKUP(I27,'ID Scheme'!$A$2:$E$7,4),0))</f>
        <v>103x36x0</v>
      </c>
    </row>
    <row r="28" spans="1:68" x14ac:dyDescent="0.25">
      <c r="A28" t="s">
        <v>45</v>
      </c>
      <c r="B28" t="s">
        <v>179</v>
      </c>
      <c r="C28" t="s">
        <v>295</v>
      </c>
      <c r="D28">
        <f>IF(F28 &gt; 2020, ((F28-2020)*4)+1610+H28,IF(F28 &gt; 1900, ((F28-1900)*10)+400+H28, ((F28-1730)*2)+H28))+VLOOKUP(I28,'ID Scheme'!$A$2:$B$7,2, FALSE)</f>
        <v>1721</v>
      </c>
      <c r="F28">
        <v>1972</v>
      </c>
      <c r="G28">
        <v>1</v>
      </c>
      <c r="H28">
        <v>1</v>
      </c>
      <c r="I28" t="s">
        <v>12</v>
      </c>
      <c r="J28">
        <v>52</v>
      </c>
      <c r="K28">
        <v>58</v>
      </c>
      <c r="L28">
        <v>23</v>
      </c>
      <c r="M28">
        <v>22</v>
      </c>
      <c r="N28">
        <v>5</v>
      </c>
      <c r="O28">
        <v>7</v>
      </c>
      <c r="P28">
        <v>165</v>
      </c>
      <c r="Q28">
        <v>20</v>
      </c>
      <c r="R28">
        <v>1</v>
      </c>
      <c r="S28" t="s">
        <v>299</v>
      </c>
      <c r="T28">
        <v>3</v>
      </c>
      <c r="U28" s="2" t="s">
        <v>314</v>
      </c>
      <c r="V28" s="2"/>
      <c r="W28" s="2"/>
      <c r="X28" s="2"/>
      <c r="Y28" s="2"/>
      <c r="Z28" s="2"/>
      <c r="AA28" s="2"/>
      <c r="AB28" s="2"/>
      <c r="AC28" s="2"/>
      <c r="AD28" s="2"/>
      <c r="AQ28" t="s">
        <v>359</v>
      </c>
      <c r="AV28" s="2">
        <f>SQRT(J28*K28)*POWER((MIN(M28,20)+SQRT(MAX(M28-20,0))),0.9)*Data!$B$1</f>
        <v>64.924535113354011</v>
      </c>
      <c r="AW28" s="2">
        <f>POWER((J28*J28*K28), 0.33)*LOG10(P28)*10*Data!$B$1</f>
        <v>86.181726874059862</v>
      </c>
      <c r="AX28" s="2"/>
      <c r="AY28" s="2"/>
      <c r="AZ28" s="2">
        <f>IFERROR((SQRT($J28*$AG28)*POWER((MIN($M28,20)+SQRT(MAX($M28-20,0))),0.9)*Data!$B$1)*(1 - (R28-1)),AV28)</f>
        <v>0</v>
      </c>
      <c r="BA28" s="2">
        <f>IFERROR(((POWER(($J28*$J28*$AG28), 0.33)*LOG10($AE28)*10*Data!$B$1)*R28),AW28)</f>
        <v>86.181726874059862</v>
      </c>
      <c r="BB28" s="2">
        <f t="shared" si="0"/>
        <v>41.935483870967744</v>
      </c>
      <c r="BC28" s="2">
        <f t="shared" si="1"/>
        <v>0</v>
      </c>
      <c r="BD28" s="2">
        <f t="shared" si="2"/>
        <v>0</v>
      </c>
      <c r="BE28" s="2">
        <f t="shared" si="3"/>
        <v>0</v>
      </c>
      <c r="BF28" s="2">
        <v>1</v>
      </c>
      <c r="BG28" s="2">
        <f t="shared" si="4"/>
        <v>58</v>
      </c>
      <c r="BH28" s="2">
        <f t="shared" si="5"/>
        <v>0</v>
      </c>
      <c r="BI28" s="2">
        <f t="shared" si="6"/>
        <v>57</v>
      </c>
      <c r="BJ28" s="2">
        <f t="shared" si="7"/>
        <v>-1</v>
      </c>
      <c r="BK28" s="3">
        <v>11.3</v>
      </c>
      <c r="BL28" s="3">
        <v>2.5</v>
      </c>
      <c r="BM28" s="3"/>
      <c r="BN28">
        <f t="shared" si="8"/>
        <v>9</v>
      </c>
      <c r="BO28" s="2" t="str">
        <f>CONCATENATE(
ROUND(BK28*VLOOKUP(I28,'ID Scheme'!$A$2:$E$7,3),0), "x",
ROUND(BL28*VLOOKUP(I28,'ID Scheme'!$A$2:$E$7,5),0), "x",
ROUND(BM28*VLOOKUP(I28,'ID Scheme'!$A$2:$E$7,4),0))</f>
        <v>106x36x0</v>
      </c>
    </row>
    <row r="29" spans="1:68" x14ac:dyDescent="0.25">
      <c r="A29" t="s">
        <v>94</v>
      </c>
      <c r="B29" t="s">
        <v>180</v>
      </c>
      <c r="C29" t="s">
        <v>295</v>
      </c>
      <c r="D29">
        <f>IF(F29 &gt; 2020, ((F29-2020)*4)+1610+H29,IF(F29 &gt; 1900, ((F29-1900)*10)+400+H29, ((F29-1730)*2)+H29))+VLOOKUP(I29,'ID Scheme'!$A$2:$B$7,2, FALSE)</f>
        <v>1771</v>
      </c>
      <c r="F29">
        <v>1977</v>
      </c>
      <c r="G29">
        <v>1</v>
      </c>
      <c r="H29">
        <v>1</v>
      </c>
      <c r="I29" t="s">
        <v>12</v>
      </c>
      <c r="J29">
        <v>45</v>
      </c>
      <c r="K29">
        <v>71</v>
      </c>
      <c r="L29">
        <v>12</v>
      </c>
      <c r="M29">
        <v>19</v>
      </c>
      <c r="N29">
        <v>7</v>
      </c>
      <c r="O29">
        <v>10</v>
      </c>
      <c r="P29">
        <v>210</v>
      </c>
      <c r="Q29">
        <v>20</v>
      </c>
      <c r="R29">
        <v>1</v>
      </c>
      <c r="S29" t="s">
        <v>311</v>
      </c>
      <c r="T29">
        <v>3</v>
      </c>
      <c r="U29" s="2" t="s">
        <v>315</v>
      </c>
      <c r="V29" s="2"/>
      <c r="W29" s="2"/>
      <c r="X29" s="2"/>
      <c r="Y29" s="2"/>
      <c r="Z29" s="2"/>
      <c r="AA29" s="2"/>
      <c r="AB29" s="2"/>
      <c r="AC29" s="2"/>
      <c r="AD29" s="2"/>
      <c r="AQ29" t="s">
        <v>359</v>
      </c>
      <c r="AV29" s="2">
        <f>SQRT(J29*K29)*POWER((MIN(M29,20)+SQRT(MAX(M29-20,0))),0.9)*Data!$B$1</f>
        <v>60.003272308491312</v>
      </c>
      <c r="AW29" s="2">
        <f>POWER((J29*J29*K29), 0.33)*LOG10(P29)*10*Data!$B$1</f>
        <v>87.700083475967674</v>
      </c>
      <c r="AX29" s="2"/>
      <c r="AY29" s="2"/>
      <c r="AZ29" s="2">
        <f>IFERROR((SQRT($J29*$AG29)*POWER((MIN($M29,20)+SQRT(MAX($M29-20,0))),0.9)*Data!$B$1)*(1 - (R29-1)),AV29)</f>
        <v>0</v>
      </c>
      <c r="BA29" s="2">
        <f>IFERROR(((POWER(($J29*$J29*$AG29), 0.33)*LOG10($AE29)*10*Data!$B$1)*R29),AW29)</f>
        <v>87.700083475967674</v>
      </c>
      <c r="BB29" s="2">
        <f t="shared" si="0"/>
        <v>36.29032258064516</v>
      </c>
      <c r="BC29" s="2">
        <f t="shared" si="1"/>
        <v>0</v>
      </c>
      <c r="BD29" s="2">
        <f t="shared" si="2"/>
        <v>0</v>
      </c>
      <c r="BE29" s="2">
        <f t="shared" si="3"/>
        <v>0</v>
      </c>
      <c r="BF29" s="2">
        <v>1</v>
      </c>
      <c r="BG29" s="2">
        <f t="shared" si="4"/>
        <v>71</v>
      </c>
      <c r="BH29" s="2">
        <f t="shared" si="5"/>
        <v>0</v>
      </c>
      <c r="BI29" s="2">
        <f t="shared" si="6"/>
        <v>70</v>
      </c>
      <c r="BJ29" s="2">
        <f t="shared" si="7"/>
        <v>-1</v>
      </c>
      <c r="BK29" s="3">
        <v>12</v>
      </c>
      <c r="BL29" s="3">
        <v>2.5</v>
      </c>
      <c r="BM29" s="3">
        <v>4.2</v>
      </c>
      <c r="BN29">
        <f t="shared" si="8"/>
        <v>5</v>
      </c>
      <c r="BO29" s="2" t="str">
        <f>CONCATENATE(
ROUND(BK29*VLOOKUP(I29,'ID Scheme'!$A$2:$E$7,3),0), "x",
ROUND(BL29*VLOOKUP(I29,'ID Scheme'!$A$2:$E$7,5),0), "x",
ROUND(BM29*VLOOKUP(I29,'ID Scheme'!$A$2:$E$7,4),0))</f>
        <v>112x36x41</v>
      </c>
    </row>
    <row r="30" spans="1:68" x14ac:dyDescent="0.25">
      <c r="A30" t="s">
        <v>34</v>
      </c>
      <c r="B30" t="s">
        <v>181</v>
      </c>
      <c r="C30" t="s">
        <v>295</v>
      </c>
      <c r="D30">
        <f>IF(F30 &gt; 2020, ((F30-2020)*4)+1610+H30,IF(F30 &gt; 1900, ((F30-1900)*10)+400+H30, ((F30-1730)*2)+H30))+VLOOKUP(I30,'ID Scheme'!$A$2:$B$7,2, FALSE)</f>
        <v>1781</v>
      </c>
      <c r="F30">
        <v>1978</v>
      </c>
      <c r="G30">
        <v>6</v>
      </c>
      <c r="H30">
        <v>1</v>
      </c>
      <c r="I30" t="s">
        <v>12</v>
      </c>
      <c r="J30">
        <v>62</v>
      </c>
      <c r="K30">
        <v>55</v>
      </c>
      <c r="L30">
        <v>25</v>
      </c>
      <c r="M30">
        <v>22</v>
      </c>
      <c r="N30">
        <v>4</v>
      </c>
      <c r="O30">
        <v>12</v>
      </c>
      <c r="P30">
        <v>245</v>
      </c>
      <c r="Q30">
        <v>18</v>
      </c>
      <c r="R30">
        <v>1</v>
      </c>
      <c r="S30" t="s">
        <v>305</v>
      </c>
      <c r="T30">
        <v>3</v>
      </c>
      <c r="U30" s="2" t="s">
        <v>316</v>
      </c>
      <c r="V30" s="2"/>
      <c r="W30" s="2"/>
      <c r="X30" s="2"/>
      <c r="Y30" s="2"/>
      <c r="Z30" s="2"/>
      <c r="AA30" s="2"/>
      <c r="AB30" s="2"/>
      <c r="AC30" s="2"/>
      <c r="AD30" s="2"/>
      <c r="AJ30">
        <v>60</v>
      </c>
      <c r="AQ30" t="s">
        <v>359</v>
      </c>
      <c r="AV30" s="2">
        <f>SQRT(J30*K30)*POWER((MIN(M30,20)+SQRT(MAX(M30-20,0))),0.9)*Data!$B$1</f>
        <v>69.035165364270128</v>
      </c>
      <c r="AW30" s="2">
        <f>POWER((J30*J30*K30), 0.33)*LOG10(P30)*10*Data!$B$1</f>
        <v>102.47214024912293</v>
      </c>
      <c r="AX30" s="2"/>
      <c r="AY30" s="2"/>
      <c r="AZ30" s="2">
        <f>IFERROR((SQRT($J30*$AG30)*POWER((MIN($M30,20)+SQRT(MAX($M30-20,0))),0.9)*Data!$B$1)*(1 - (R30-1)),AV30)</f>
        <v>0</v>
      </c>
      <c r="BA30" s="2">
        <f>IFERROR(((POWER(($J30*$J30*$AG30), 0.33)*LOG10($AE30)*10*Data!$B$1)*R30),AW30)</f>
        <v>102.47214024912293</v>
      </c>
      <c r="BB30" s="2">
        <f t="shared" si="0"/>
        <v>50</v>
      </c>
      <c r="BC30" s="2">
        <f t="shared" si="1"/>
        <v>0</v>
      </c>
      <c r="BD30" s="2">
        <f t="shared" si="2"/>
        <v>0</v>
      </c>
      <c r="BE30" s="2">
        <f t="shared" si="3"/>
        <v>48.387096774193552</v>
      </c>
      <c r="BF30" s="2">
        <v>1</v>
      </c>
      <c r="BG30" s="2">
        <f t="shared" si="4"/>
        <v>55</v>
      </c>
      <c r="BH30" s="2">
        <f t="shared" si="5"/>
        <v>0</v>
      </c>
      <c r="BI30" s="2">
        <f t="shared" si="6"/>
        <v>54</v>
      </c>
      <c r="BJ30" s="2">
        <f t="shared" si="7"/>
        <v>-1</v>
      </c>
      <c r="BK30" s="3">
        <v>12</v>
      </c>
      <c r="BL30" s="3">
        <v>2.5</v>
      </c>
      <c r="BM30" s="3">
        <v>3.3</v>
      </c>
      <c r="BN30">
        <f t="shared" si="8"/>
        <v>1</v>
      </c>
      <c r="BO30" s="2" t="str">
        <f>CONCATENATE(
ROUND(BK30*VLOOKUP(I30,'ID Scheme'!$A$2:$E$7,3),0), "x",
ROUND(BL30*VLOOKUP(I30,'ID Scheme'!$A$2:$E$7,5),0), "x",
ROUND(BM30*VLOOKUP(I30,'ID Scheme'!$A$2:$E$7,4),0))</f>
        <v>112x36x32</v>
      </c>
    </row>
    <row r="31" spans="1:68" x14ac:dyDescent="0.25">
      <c r="A31" t="s">
        <v>32</v>
      </c>
      <c r="B31" t="s">
        <v>182</v>
      </c>
      <c r="C31" t="s">
        <v>295</v>
      </c>
      <c r="D31">
        <f>IF(F31 &gt; 2020, ((F31-2020)*4)+1610+H31,IF(F31 &gt; 1900, ((F31-1900)*10)+400+H31, ((F31-1730)*2)+H31))+VLOOKUP(I31,'ID Scheme'!$A$2:$B$7,2, FALSE)</f>
        <v>1801</v>
      </c>
      <c r="F31">
        <v>1980</v>
      </c>
      <c r="G31">
        <v>1</v>
      </c>
      <c r="H31">
        <v>1</v>
      </c>
      <c r="I31" t="s">
        <v>12</v>
      </c>
      <c r="J31">
        <v>47</v>
      </c>
      <c r="K31">
        <v>73</v>
      </c>
      <c r="L31">
        <v>13</v>
      </c>
      <c r="M31">
        <v>22</v>
      </c>
      <c r="N31">
        <v>7</v>
      </c>
      <c r="O31">
        <v>10</v>
      </c>
      <c r="P31">
        <v>180</v>
      </c>
      <c r="Q31">
        <v>20</v>
      </c>
      <c r="R31">
        <v>1</v>
      </c>
      <c r="S31" t="s">
        <v>299</v>
      </c>
      <c r="T31">
        <v>3</v>
      </c>
      <c r="U31" s="2" t="s">
        <v>325</v>
      </c>
      <c r="V31" s="2"/>
      <c r="W31" s="2"/>
      <c r="X31" s="2"/>
      <c r="Y31" s="2"/>
      <c r="Z31" s="2"/>
      <c r="AA31" s="2"/>
      <c r="AB31" s="2"/>
      <c r="AC31" s="2"/>
      <c r="AD31" s="2"/>
      <c r="AQ31" t="s">
        <v>359</v>
      </c>
      <c r="AV31" s="2">
        <f>SQRT(J31*K31)*POWER((MIN(M31,20)+SQRT(MAX(M31-20,0))),0.9)*Data!$B$1</f>
        <v>69.247410718668419</v>
      </c>
      <c r="AW31" s="2">
        <f>POWER((J31*J31*K31), 0.33)*LOG10(P31)*10*Data!$B$1</f>
        <v>88.458876415134782</v>
      </c>
      <c r="AX31" s="2"/>
      <c r="AY31" s="2"/>
      <c r="AZ31" s="2">
        <f>IFERROR((SQRT($J31*$AG31)*POWER((MIN($M31,20)+SQRT(MAX($M31-20,0))),0.9)*Data!$B$1)*(1 - (R31-1)),AV31)</f>
        <v>0</v>
      </c>
      <c r="BA31" s="2">
        <f>IFERROR(((POWER(($J31*$J31*$AG31), 0.33)*LOG10($AE31)*10*Data!$B$1)*R31),AW31)</f>
        <v>88.458876415134782</v>
      </c>
      <c r="BB31" s="2">
        <f t="shared" si="0"/>
        <v>37.903225806451616</v>
      </c>
      <c r="BC31" s="2">
        <f t="shared" si="1"/>
        <v>0</v>
      </c>
      <c r="BD31" s="2">
        <f t="shared" si="2"/>
        <v>0</v>
      </c>
      <c r="BE31" s="2">
        <f t="shared" si="3"/>
        <v>0</v>
      </c>
      <c r="BF31" s="2">
        <v>1</v>
      </c>
      <c r="BG31" s="2">
        <f t="shared" si="4"/>
        <v>73</v>
      </c>
      <c r="BH31" s="2">
        <f t="shared" si="5"/>
        <v>0</v>
      </c>
      <c r="BI31" s="2">
        <f t="shared" si="6"/>
        <v>72</v>
      </c>
      <c r="BJ31" s="2">
        <f t="shared" si="7"/>
        <v>-1</v>
      </c>
      <c r="BK31" s="3">
        <v>12</v>
      </c>
      <c r="BL31" s="3">
        <v>2.5</v>
      </c>
      <c r="BM31" s="3">
        <v>4.2</v>
      </c>
      <c r="BN31">
        <f t="shared" si="8"/>
        <v>2</v>
      </c>
      <c r="BO31" s="2" t="str">
        <f>CONCATENATE(
ROUND(BK31*VLOOKUP(I31,'ID Scheme'!$A$2:$E$7,3),0), "x",
ROUND(BL31*VLOOKUP(I31,'ID Scheme'!$A$2:$E$7,5),0), "x",
ROUND(BM31*VLOOKUP(I31,'ID Scheme'!$A$2:$E$7,4),0))</f>
        <v>112x36x41</v>
      </c>
    </row>
    <row r="32" spans="1:68" x14ac:dyDescent="0.25">
      <c r="A32" t="s">
        <v>521</v>
      </c>
      <c r="B32" t="s">
        <v>522</v>
      </c>
      <c r="C32" t="s">
        <v>295</v>
      </c>
      <c r="D32">
        <f>IF(F32 &gt; 2020, ((F32-2020)*4)+1610+H32,IF(F32 &gt; 1900, ((F32-1900)*10)+400+H32, ((F32-1730)*2)+H32))+VLOOKUP(I32,'ID Scheme'!$A$2:$B$7,2, FALSE)</f>
        <v>1861</v>
      </c>
      <c r="F32">
        <v>1986</v>
      </c>
      <c r="G32">
        <v>10</v>
      </c>
      <c r="H32">
        <v>1</v>
      </c>
      <c r="I32" t="s">
        <v>12</v>
      </c>
      <c r="J32">
        <v>64</v>
      </c>
      <c r="K32">
        <v>33</v>
      </c>
      <c r="L32">
        <v>14</v>
      </c>
      <c r="M32">
        <v>11</v>
      </c>
      <c r="N32">
        <v>5</v>
      </c>
      <c r="O32">
        <v>6</v>
      </c>
      <c r="P32">
        <v>130</v>
      </c>
      <c r="Q32">
        <v>24</v>
      </c>
      <c r="R32">
        <v>1</v>
      </c>
      <c r="S32" t="s">
        <v>299</v>
      </c>
      <c r="T32">
        <v>2</v>
      </c>
      <c r="U32" s="2" t="s">
        <v>523</v>
      </c>
      <c r="V32" s="2"/>
      <c r="W32" s="2"/>
      <c r="X32" s="2"/>
      <c r="Y32" s="2"/>
      <c r="Z32" s="2"/>
      <c r="AA32" s="2"/>
      <c r="AB32" s="2"/>
      <c r="AC32" s="2"/>
      <c r="AD32" s="2"/>
      <c r="AQ32" t="s">
        <v>359</v>
      </c>
      <c r="AV32" s="2">
        <f>SQRT(J32*K32)*POWER((MIN(M32,20)+SQRT(MAX(M32-20,0))),0.9)*Data!$B$1</f>
        <v>29.830575842658725</v>
      </c>
      <c r="AW32" s="2">
        <f>POWER((J32*J32*K32), 0.33)*LOG10(P32)*10*Data!$B$1</f>
        <v>78.224535261541249</v>
      </c>
      <c r="AX32" s="2"/>
      <c r="AY32" s="2"/>
      <c r="AZ32" s="2">
        <f>IFERROR((SQRT($J32*$AG32)*POWER((MIN($M32,20)+SQRT(MAX($M32-20,0))),0.9)*Data!$B$1)*(1 - (R32-1)),AV32)</f>
        <v>0</v>
      </c>
      <c r="BA32" s="2">
        <f>IFERROR(((POWER(($J32*$J32*$AG32), 0.33)*LOG10($AE32)*10*Data!$B$1)*R32),AW32)</f>
        <v>78.224535261541249</v>
      </c>
      <c r="BB32" s="2">
        <f t="shared" ref="BB32:BB36" si="9">J32/1.24</f>
        <v>51.612903225806456</v>
      </c>
      <c r="BC32" s="2">
        <f t="shared" ref="BC32:BC36" si="10">AF32/1.24</f>
        <v>0</v>
      </c>
      <c r="BD32" s="2">
        <f t="shared" ref="BD32:BD36" si="11">AI32/1.24</f>
        <v>0</v>
      </c>
      <c r="BE32" s="2">
        <f t="shared" si="3"/>
        <v>0</v>
      </c>
      <c r="BF32" s="2">
        <v>1</v>
      </c>
      <c r="BG32" s="2">
        <f t="shared" si="4"/>
        <v>33</v>
      </c>
      <c r="BH32" s="2">
        <f t="shared" si="5"/>
        <v>0</v>
      </c>
      <c r="BI32" s="2">
        <f t="shared" si="6"/>
        <v>32</v>
      </c>
      <c r="BJ32" s="2">
        <f t="shared" si="7"/>
        <v>-1</v>
      </c>
      <c r="BK32" s="3">
        <v>8.4</v>
      </c>
      <c r="BL32" s="3">
        <v>2.2999999999999998</v>
      </c>
      <c r="BM32" s="3">
        <v>2.7</v>
      </c>
      <c r="BN32">
        <f t="shared" ref="BN32:BN36" si="12">F32-F31</f>
        <v>6</v>
      </c>
      <c r="BO32" s="2" t="str">
        <f>CONCATENATE(
ROUND(BK32*VLOOKUP(I32,'ID Scheme'!$A$2:$E$7,3),0), "x",
ROUND(BL32*VLOOKUP(I32,'ID Scheme'!$A$2:$E$7,5),0), "x",
ROUND(BM32*VLOOKUP(I32,'ID Scheme'!$A$2:$E$7,4),0))</f>
        <v>78x33x26</v>
      </c>
    </row>
    <row r="33" spans="1:68" x14ac:dyDescent="0.25">
      <c r="A33" t="s">
        <v>46</v>
      </c>
      <c r="B33" t="s">
        <v>183</v>
      </c>
      <c r="C33" t="s">
        <v>295</v>
      </c>
      <c r="D33">
        <f>IF(F33 &gt; 2020, ((F33-2020)*4)+1610+H33,IF(F33 &gt; 1900, ((F33-1900)*10)+400+H33, ((F33-1730)*2)+H33))+VLOOKUP(I33,'ID Scheme'!$A$2:$B$7,2, FALSE)</f>
        <v>1891</v>
      </c>
      <c r="F33">
        <v>1989</v>
      </c>
      <c r="G33">
        <v>1</v>
      </c>
      <c r="H33">
        <v>1</v>
      </c>
      <c r="I33" t="s">
        <v>12</v>
      </c>
      <c r="J33">
        <v>56</v>
      </c>
      <c r="K33">
        <v>50</v>
      </c>
      <c r="L33">
        <v>19</v>
      </c>
      <c r="M33">
        <v>21</v>
      </c>
      <c r="N33">
        <v>5</v>
      </c>
      <c r="O33">
        <v>6</v>
      </c>
      <c r="P33">
        <v>130</v>
      </c>
      <c r="Q33">
        <v>20</v>
      </c>
      <c r="R33">
        <v>1</v>
      </c>
      <c r="S33" t="s">
        <v>299</v>
      </c>
      <c r="T33">
        <v>3</v>
      </c>
      <c r="U33" s="2" t="s">
        <v>326</v>
      </c>
      <c r="V33" s="2"/>
      <c r="W33" s="2"/>
      <c r="X33" s="2"/>
      <c r="Y33" s="2"/>
      <c r="Z33" s="2"/>
      <c r="AA33" s="2"/>
      <c r="AB33" s="2"/>
      <c r="AC33" s="2"/>
      <c r="AD33" s="2"/>
      <c r="AQ33" t="s">
        <v>359</v>
      </c>
      <c r="AV33" s="2">
        <f>SQRT(J33*K33)*POWER((MIN(M33,20)+SQRT(MAX(M33-20,0))),0.9)*Data!$B$1</f>
        <v>61.466381101342122</v>
      </c>
      <c r="AW33" s="2">
        <f>POWER((J33*J33*K33), 0.33)*LOG10(P33)*10*Data!$B$1</f>
        <v>82.152126183000618</v>
      </c>
      <c r="AX33" s="2"/>
      <c r="AY33" s="2"/>
      <c r="AZ33" s="2">
        <f>IFERROR((SQRT($J33*$AG33)*POWER((MIN($M33,20)+SQRT(MAX($M33-20,0))),0.9)*Data!$B$1)*(1 - (R33-1)),AV33)</f>
        <v>0</v>
      </c>
      <c r="BA33" s="2">
        <f>IFERROR(((POWER(($J33*$J33*$AG33), 0.33)*LOG10($AE33)*10*Data!$B$1)*R33),AW33)</f>
        <v>82.152126183000618</v>
      </c>
      <c r="BB33" s="2">
        <f t="shared" si="9"/>
        <v>45.161290322580648</v>
      </c>
      <c r="BC33" s="2">
        <f t="shared" si="10"/>
        <v>0</v>
      </c>
      <c r="BD33" s="2">
        <f t="shared" si="11"/>
        <v>0</v>
      </c>
      <c r="BE33" s="2">
        <f t="shared" si="3"/>
        <v>0</v>
      </c>
      <c r="BF33" s="2">
        <v>1</v>
      </c>
      <c r="BG33" s="2">
        <f t="shared" si="4"/>
        <v>50</v>
      </c>
      <c r="BH33" s="2">
        <f t="shared" si="5"/>
        <v>0</v>
      </c>
      <c r="BI33" s="2">
        <f t="shared" si="6"/>
        <v>49</v>
      </c>
      <c r="BJ33" s="2">
        <f t="shared" si="7"/>
        <v>-1</v>
      </c>
      <c r="BK33" s="3">
        <v>10.199999999999999</v>
      </c>
      <c r="BL33" s="3">
        <v>2.4</v>
      </c>
      <c r="BM33" s="3">
        <v>2.7</v>
      </c>
      <c r="BN33">
        <f t="shared" si="12"/>
        <v>3</v>
      </c>
      <c r="BO33" s="2" t="str">
        <f>CONCATENATE(
ROUND(BK33*VLOOKUP(I33,'ID Scheme'!$A$2:$E$7,3),0), "x",
ROUND(BL33*VLOOKUP(I33,'ID Scheme'!$A$2:$E$7,5),0), "x",
ROUND(BM33*VLOOKUP(I33,'ID Scheme'!$A$2:$E$7,4),0))</f>
        <v>95x35x26</v>
      </c>
    </row>
    <row r="34" spans="1:68" x14ac:dyDescent="0.25">
      <c r="A34" t="s">
        <v>97</v>
      </c>
      <c r="B34" t="s">
        <v>184</v>
      </c>
      <c r="C34" t="s">
        <v>295</v>
      </c>
      <c r="D34">
        <f>IF(F34 &gt; 2020, ((F34-2020)*4)+1610+H34,IF(F34 &gt; 1900, ((F34-1900)*10)+400+H34, ((F34-1730)*2)+H34))+VLOOKUP(I34,'ID Scheme'!$A$2:$B$7,2, FALSE)</f>
        <v>1951</v>
      </c>
      <c r="F34">
        <v>1995</v>
      </c>
      <c r="G34">
        <v>1</v>
      </c>
      <c r="H34">
        <v>1</v>
      </c>
      <c r="I34" t="s">
        <v>12</v>
      </c>
      <c r="J34">
        <v>60</v>
      </c>
      <c r="K34">
        <v>53</v>
      </c>
      <c r="L34">
        <v>21</v>
      </c>
      <c r="M34">
        <v>17</v>
      </c>
      <c r="N34">
        <v>5</v>
      </c>
      <c r="O34">
        <v>6.5</v>
      </c>
      <c r="P34">
        <v>249</v>
      </c>
      <c r="Q34">
        <v>20</v>
      </c>
      <c r="R34">
        <v>1</v>
      </c>
      <c r="S34" t="s">
        <v>299</v>
      </c>
      <c r="T34">
        <v>3</v>
      </c>
      <c r="U34" s="2" t="s">
        <v>327</v>
      </c>
      <c r="V34" s="2"/>
      <c r="W34" s="2"/>
      <c r="X34" s="2"/>
      <c r="Y34" s="2"/>
      <c r="Z34" s="2"/>
      <c r="AA34" s="2"/>
      <c r="AB34" s="2"/>
      <c r="AC34" s="2"/>
      <c r="AD34" s="2"/>
      <c r="AQ34" t="s">
        <v>359</v>
      </c>
      <c r="AV34" s="2">
        <f>SQRT(J34*K34)*POWER((MIN(M34,20)+SQRT(MAX(M34-20,0))),0.9)*Data!$B$1</f>
        <v>54.160024560908056</v>
      </c>
      <c r="AW34" s="2">
        <f>POWER((J34*J34*K34), 0.33)*LOG10(P34)*10*Data!$B$1</f>
        <v>99.351647021851662</v>
      </c>
      <c r="AX34" s="2"/>
      <c r="AY34" s="2"/>
      <c r="AZ34" s="2">
        <f>IFERROR((SQRT($J34*$AG34)*POWER((MIN($M34,20)+SQRT(MAX($M34-20,0))),0.9)*Data!$B$1)*(1 - (R34-1)),AV34)</f>
        <v>0</v>
      </c>
      <c r="BA34" s="2">
        <f>IFERROR(((POWER(($J34*$J34*$AG34), 0.33)*LOG10($AE34)*10*Data!$B$1)*R34),AW34)</f>
        <v>99.351647021851662</v>
      </c>
      <c r="BB34" s="2">
        <f t="shared" si="9"/>
        <v>48.387096774193552</v>
      </c>
      <c r="BC34" s="2">
        <f t="shared" si="10"/>
        <v>0</v>
      </c>
      <c r="BD34" s="2">
        <f t="shared" si="11"/>
        <v>0</v>
      </c>
      <c r="BE34" s="2">
        <f t="shared" si="3"/>
        <v>0</v>
      </c>
      <c r="BF34" s="2">
        <v>1</v>
      </c>
      <c r="BG34" s="2">
        <f t="shared" si="4"/>
        <v>53</v>
      </c>
      <c r="BH34" s="2">
        <f t="shared" si="5"/>
        <v>0</v>
      </c>
      <c r="BI34" s="2">
        <f t="shared" si="6"/>
        <v>52</v>
      </c>
      <c r="BJ34" s="2">
        <f t="shared" si="7"/>
        <v>-1</v>
      </c>
      <c r="BK34" s="3">
        <v>10.199999999999999</v>
      </c>
      <c r="BL34" s="3">
        <v>2.4</v>
      </c>
      <c r="BM34" s="3">
        <v>2.7</v>
      </c>
      <c r="BN34">
        <f t="shared" si="12"/>
        <v>6</v>
      </c>
      <c r="BO34" s="2" t="str">
        <f>CONCATENATE(
ROUND(BK34*VLOOKUP(I34,'ID Scheme'!$A$2:$E$7,3),0), "x",
ROUND(BL34*VLOOKUP(I34,'ID Scheme'!$A$2:$E$7,5),0), "x",
ROUND(BM34*VLOOKUP(I34,'ID Scheme'!$A$2:$E$7,4),0))</f>
        <v>95x35x26</v>
      </c>
      <c r="BP34" t="s">
        <v>98</v>
      </c>
    </row>
    <row r="35" spans="1:68" x14ac:dyDescent="0.25">
      <c r="A35" t="s">
        <v>64</v>
      </c>
      <c r="B35" t="s">
        <v>185</v>
      </c>
      <c r="C35" t="s">
        <v>295</v>
      </c>
      <c r="D35">
        <f>IF(F35 &gt; 2020, ((F35-2020)*4)+1610+H35,IF(F35 &gt; 1900, ((F35-1900)*10)+400+H35, ((F35-1730)*2)+H35))+VLOOKUP(I35,'ID Scheme'!$A$2:$B$7,2, FALSE)</f>
        <v>1981</v>
      </c>
      <c r="F35">
        <v>1998</v>
      </c>
      <c r="G35">
        <v>1</v>
      </c>
      <c r="H35">
        <v>1</v>
      </c>
      <c r="I35" t="s">
        <v>12</v>
      </c>
      <c r="J35">
        <v>59</v>
      </c>
      <c r="K35">
        <v>33</v>
      </c>
      <c r="L35">
        <v>15</v>
      </c>
      <c r="M35">
        <v>15</v>
      </c>
      <c r="N35">
        <v>5</v>
      </c>
      <c r="O35">
        <v>7</v>
      </c>
      <c r="P35">
        <v>110</v>
      </c>
      <c r="Q35">
        <v>20</v>
      </c>
      <c r="R35">
        <v>1</v>
      </c>
      <c r="S35" t="s">
        <v>311</v>
      </c>
      <c r="T35">
        <v>2</v>
      </c>
      <c r="U35" s="2" t="s">
        <v>328</v>
      </c>
      <c r="V35" s="2"/>
      <c r="W35" s="2"/>
      <c r="X35" s="2"/>
      <c r="Y35" s="2"/>
      <c r="Z35" s="2"/>
      <c r="AA35" s="2"/>
      <c r="AB35" s="2"/>
      <c r="AC35" s="2"/>
      <c r="AD35" s="2"/>
      <c r="AQ35" t="s">
        <v>359</v>
      </c>
      <c r="AV35" s="2">
        <f>SQRT(J35*K35)*POWER((MIN(M35,20)+SQRT(MAX(M35-20,0))),0.9)*Data!$B$1</f>
        <v>37.863989611191968</v>
      </c>
      <c r="AW35" s="2">
        <f>POWER((J35*J35*K35), 0.33)*LOG10(P35)*10*Data!$B$1</f>
        <v>71.591217050010968</v>
      </c>
      <c r="AX35" s="2"/>
      <c r="AY35" s="2"/>
      <c r="AZ35" s="2">
        <f>IFERROR((SQRT($J35*$AG35)*POWER((MIN($M35,20)+SQRT(MAX($M35-20,0))),0.9)*Data!$B$1)*(1 - (R35-1)),AV35)</f>
        <v>0</v>
      </c>
      <c r="BA35" s="2">
        <f>IFERROR(((POWER(($J35*$J35*$AG35), 0.33)*LOG10($AE35)*10*Data!$B$1)*R35),AW35)</f>
        <v>71.591217050010968</v>
      </c>
      <c r="BB35" s="2">
        <f t="shared" si="9"/>
        <v>47.58064516129032</v>
      </c>
      <c r="BC35" s="2">
        <f t="shared" si="10"/>
        <v>0</v>
      </c>
      <c r="BD35" s="2">
        <f t="shared" si="11"/>
        <v>0</v>
      </c>
      <c r="BE35" s="2">
        <f t="shared" si="3"/>
        <v>0</v>
      </c>
      <c r="BF35" s="2">
        <v>1</v>
      </c>
      <c r="BG35" s="2">
        <f t="shared" si="4"/>
        <v>33</v>
      </c>
      <c r="BH35" s="2">
        <f t="shared" si="5"/>
        <v>0</v>
      </c>
      <c r="BI35" s="2">
        <f t="shared" si="6"/>
        <v>32</v>
      </c>
      <c r="BJ35" s="2">
        <f t="shared" si="7"/>
        <v>-1</v>
      </c>
      <c r="BK35" s="3">
        <v>10.199999999999999</v>
      </c>
      <c r="BL35" s="3">
        <v>2.2999999999999998</v>
      </c>
      <c r="BM35" s="3">
        <v>2.7</v>
      </c>
      <c r="BN35">
        <f t="shared" si="12"/>
        <v>3</v>
      </c>
      <c r="BO35" s="2" t="str">
        <f>CONCATENATE(
ROUND(BK35*VLOOKUP(I35,'ID Scheme'!$A$2:$E$7,3),0), "x",
ROUND(BL35*VLOOKUP(I35,'ID Scheme'!$A$2:$E$7,5),0), "x",
ROUND(BM35*VLOOKUP(I35,'ID Scheme'!$A$2:$E$7,4),0))</f>
        <v>95x33x26</v>
      </c>
    </row>
    <row r="36" spans="1:68" x14ac:dyDescent="0.25">
      <c r="A36" t="s">
        <v>524</v>
      </c>
      <c r="B36" t="s">
        <v>526</v>
      </c>
      <c r="C36" t="s">
        <v>295</v>
      </c>
      <c r="D36">
        <f>IF(F36 &gt; 2020, ((F36-2020)*4)+1610+H36,IF(F36 &gt; 1900, ((F36-1900)*10)+400+H36, ((F36-1730)*2)+H36))+VLOOKUP(I36,'ID Scheme'!$A$2:$B$7,2, FALSE)</f>
        <v>1971</v>
      </c>
      <c r="F36">
        <v>1997</v>
      </c>
      <c r="G36">
        <v>1</v>
      </c>
      <c r="H36">
        <v>1</v>
      </c>
      <c r="I36" t="s">
        <v>12</v>
      </c>
      <c r="J36">
        <v>55</v>
      </c>
      <c r="K36">
        <v>82</v>
      </c>
      <c r="L36">
        <v>21</v>
      </c>
      <c r="M36">
        <v>21</v>
      </c>
      <c r="N36">
        <v>5</v>
      </c>
      <c r="O36">
        <v>10</v>
      </c>
      <c r="P36">
        <v>220</v>
      </c>
      <c r="Q36">
        <v>20</v>
      </c>
      <c r="R36">
        <v>1</v>
      </c>
      <c r="S36" t="s">
        <v>311</v>
      </c>
      <c r="T36">
        <v>3</v>
      </c>
      <c r="U36" s="2" t="s">
        <v>525</v>
      </c>
      <c r="V36" s="2"/>
      <c r="W36" s="2"/>
      <c r="X36" s="2"/>
      <c r="Y36" s="2"/>
      <c r="Z36" s="2"/>
      <c r="AA36" s="2"/>
      <c r="AB36" s="2"/>
      <c r="AC36" s="2"/>
      <c r="AD36" s="2"/>
      <c r="AQ36" t="s">
        <v>359</v>
      </c>
      <c r="AV36" s="2">
        <f>SQRT(J36*K36)*POWER((MIN(M36,20)+SQRT(MAX(M36-20,0))),0.9)*Data!$B$1</f>
        <v>78.009393174536498</v>
      </c>
      <c r="AW36" s="2">
        <f>POWER((J36*J36*K36), 0.33)*LOG10(P36)*10*Data!$B$1</f>
        <v>105.90695322593139</v>
      </c>
      <c r="AX36" s="2"/>
      <c r="AY36" s="2"/>
      <c r="AZ36" s="2">
        <f>IFERROR((SQRT($J36*$AG36)*POWER((MIN($M36,20)+SQRT(MAX($M36-20,0))),0.9)*Data!$B$1)*(1 - (R36-1)),AV36)</f>
        <v>0</v>
      </c>
      <c r="BA36" s="2">
        <f>IFERROR(((POWER(($J36*$J36*$AG36), 0.33)*LOG10($AE36)*10*Data!$B$1)*R36),AW36)</f>
        <v>105.90695322593139</v>
      </c>
      <c r="BB36" s="2">
        <f t="shared" si="9"/>
        <v>44.354838709677416</v>
      </c>
      <c r="BC36" s="2">
        <f t="shared" si="10"/>
        <v>0</v>
      </c>
      <c r="BD36" s="2">
        <f t="shared" si="11"/>
        <v>0</v>
      </c>
      <c r="BE36" s="2">
        <f t="shared" si="3"/>
        <v>0</v>
      </c>
      <c r="BF36" s="2">
        <v>1</v>
      </c>
      <c r="BG36" s="2">
        <f t="shared" si="4"/>
        <v>82</v>
      </c>
      <c r="BH36" s="2">
        <f t="shared" si="5"/>
        <v>0</v>
      </c>
      <c r="BI36" s="2">
        <f t="shared" si="6"/>
        <v>81</v>
      </c>
      <c r="BJ36" s="2">
        <f t="shared" si="7"/>
        <v>-1</v>
      </c>
      <c r="BK36" s="3">
        <v>11</v>
      </c>
      <c r="BL36" s="3">
        <v>2.5499999999999998</v>
      </c>
      <c r="BM36" s="3">
        <v>4.4000000000000004</v>
      </c>
      <c r="BN36">
        <f t="shared" si="12"/>
        <v>-1</v>
      </c>
      <c r="BO36" s="2" t="str">
        <f>CONCATENATE(
ROUND(BK36*VLOOKUP(I36,'ID Scheme'!$A$2:$E$7,3),0), "x",
ROUND(BL36*VLOOKUP(I36,'ID Scheme'!$A$2:$E$7,5),0), "x",
ROUND(BM36*VLOOKUP(I36,'ID Scheme'!$A$2:$E$7,4),0))</f>
        <v>103x37x43</v>
      </c>
    </row>
    <row r="37" spans="1:68" x14ac:dyDescent="0.25">
      <c r="A37" t="s">
        <v>35</v>
      </c>
      <c r="B37" t="s">
        <v>277</v>
      </c>
      <c r="C37" t="s">
        <v>295</v>
      </c>
      <c r="D37">
        <f>IF(F37 &gt; 2020, ((F37-2020)*4)+1610+H37,IF(F37 &gt; 1900, ((F37-1900)*10)+400+H37, ((F37-1730)*2)+H37))+VLOOKUP(I37,'ID Scheme'!$A$2:$B$7,2, FALSE)</f>
        <v>2011</v>
      </c>
      <c r="F37">
        <v>2001</v>
      </c>
      <c r="G37">
        <v>1</v>
      </c>
      <c r="H37">
        <v>1</v>
      </c>
      <c r="I37" t="s">
        <v>12</v>
      </c>
      <c r="J37">
        <v>70</v>
      </c>
      <c r="K37">
        <v>58</v>
      </c>
      <c r="L37">
        <v>-1</v>
      </c>
      <c r="M37">
        <v>22</v>
      </c>
      <c r="N37">
        <v>4</v>
      </c>
      <c r="O37">
        <v>12</v>
      </c>
      <c r="P37">
        <v>320</v>
      </c>
      <c r="Q37">
        <v>18</v>
      </c>
      <c r="R37">
        <v>1</v>
      </c>
      <c r="S37" t="s">
        <v>305</v>
      </c>
      <c r="T37">
        <v>3</v>
      </c>
      <c r="U37" s="2" t="s">
        <v>330</v>
      </c>
      <c r="V37" s="2"/>
      <c r="W37" s="2"/>
      <c r="X37" s="2"/>
      <c r="Y37" s="2"/>
      <c r="Z37" s="2"/>
      <c r="AA37" s="2"/>
      <c r="AB37" s="2"/>
      <c r="AC37" s="2"/>
      <c r="AD37" s="2"/>
      <c r="AI37">
        <v>62</v>
      </c>
      <c r="AJ37">
        <v>60</v>
      </c>
      <c r="AQ37" t="s">
        <v>359</v>
      </c>
      <c r="AV37" s="2">
        <f>SQRT(J37*K37)*POWER((MIN(M37,20)+SQRT(MAX(M37-20,0))),0.9)*Data!$B$1</f>
        <v>75.327958362845649</v>
      </c>
      <c r="AW37" s="2">
        <f>POWER((J37*J37*K37), 0.33)*LOG10(P37)*10*Data!$B$1</f>
        <v>118.46524010653438</v>
      </c>
      <c r="AX37" s="2"/>
      <c r="AY37" s="2"/>
      <c r="AZ37" s="2">
        <f>IFERROR((SQRT($J37*$AG37)*POWER((MIN($M37,20)+SQRT(MAX($M37-20,0))),0.9)*Data!$B$1)*(1 - (R37-1)),AV37)</f>
        <v>0</v>
      </c>
      <c r="BA37" s="2">
        <f>IFERROR(((POWER(($J37*$J37*$AG37), 0.33)*LOG10($AE37)*10*Data!$B$1)*R37),AW37)</f>
        <v>118.46524010653438</v>
      </c>
      <c r="BB37" s="2">
        <f t="shared" si="0"/>
        <v>56.451612903225808</v>
      </c>
      <c r="BC37" s="2">
        <f t="shared" si="1"/>
        <v>0</v>
      </c>
      <c r="BD37" s="2">
        <f t="shared" si="2"/>
        <v>50</v>
      </c>
      <c r="BE37" s="2">
        <f t="shared" si="3"/>
        <v>48.387096774193552</v>
      </c>
      <c r="BF37" s="2">
        <v>1</v>
      </c>
      <c r="BG37" s="2">
        <f t="shared" si="4"/>
        <v>58</v>
      </c>
      <c r="BH37" s="2">
        <f t="shared" si="5"/>
        <v>0</v>
      </c>
      <c r="BI37" s="2">
        <f t="shared" si="6"/>
        <v>57</v>
      </c>
      <c r="BJ37" s="2">
        <f t="shared" si="7"/>
        <v>-1</v>
      </c>
      <c r="BK37" s="3">
        <v>12</v>
      </c>
      <c r="BL37" s="3">
        <v>2.5</v>
      </c>
      <c r="BM37" s="3">
        <v>3.3</v>
      </c>
      <c r="BN37">
        <f>F37-F35</f>
        <v>3</v>
      </c>
      <c r="BO37" s="2" t="str">
        <f>CONCATENATE(
ROUND(BK37*VLOOKUP(I37,'ID Scheme'!$A$2:$E$7,3),0), "x",
ROUND(BL37*VLOOKUP(I37,'ID Scheme'!$A$2:$E$7,5),0), "x",
ROUND(BM37*VLOOKUP(I37,'ID Scheme'!$A$2:$E$7,4),0))</f>
        <v>112x36x32</v>
      </c>
    </row>
    <row r="38" spans="1:68" x14ac:dyDescent="0.25">
      <c r="A38" t="s">
        <v>58</v>
      </c>
      <c r="B38" t="s">
        <v>186</v>
      </c>
      <c r="C38" t="s">
        <v>336</v>
      </c>
      <c r="D38">
        <f>IF(F38 &gt; 2020, ((F38-2020)*4)+1610+H38,IF(F38 &gt; 1900, ((F38-1900)*10)+400+H38, ((F38-1730)*2)+H38))+VLOOKUP(I38,'ID Scheme'!$A$2:$B$7,2, FALSE)</f>
        <v>2012</v>
      </c>
      <c r="F38">
        <v>2001</v>
      </c>
      <c r="G38">
        <v>1</v>
      </c>
      <c r="H38">
        <v>2</v>
      </c>
      <c r="I38" t="s">
        <v>12</v>
      </c>
      <c r="J38">
        <v>55</v>
      </c>
      <c r="K38">
        <v>140</v>
      </c>
      <c r="L38">
        <v>-1</v>
      </c>
      <c r="M38">
        <v>11</v>
      </c>
      <c r="N38">
        <v>10</v>
      </c>
      <c r="O38">
        <v>14</v>
      </c>
      <c r="P38">
        <v>320</v>
      </c>
      <c r="Q38">
        <v>25</v>
      </c>
      <c r="R38">
        <v>1</v>
      </c>
      <c r="S38" t="s">
        <v>299</v>
      </c>
      <c r="T38">
        <v>3</v>
      </c>
      <c r="U38" s="2" t="s">
        <v>337</v>
      </c>
      <c r="V38" s="2"/>
      <c r="W38" s="2"/>
      <c r="X38" s="2"/>
      <c r="Y38" s="2"/>
      <c r="Z38" s="2"/>
      <c r="AA38" s="2"/>
      <c r="AB38" s="2"/>
      <c r="AC38" s="2"/>
      <c r="AD38" s="2"/>
      <c r="AK38" t="s">
        <v>398</v>
      </c>
      <c r="AL38" t="s">
        <v>428</v>
      </c>
      <c r="AN38" t="s">
        <v>396</v>
      </c>
      <c r="AO38" t="s">
        <v>398</v>
      </c>
      <c r="AP38" t="s">
        <v>400</v>
      </c>
      <c r="AQ38" t="s">
        <v>359</v>
      </c>
      <c r="AV38" s="2">
        <f>SQRT(J38*K38)*POWER((MIN(M38,20)+SQRT(MAX(M38-20,0))),0.9)*Data!$B$1</f>
        <v>56.95869659296028</v>
      </c>
      <c r="AW38" s="2">
        <f>POWER((J38*J38*K38), 0.33)*LOG10(P38)*10*Data!$B$1</f>
        <v>135.13150745681415</v>
      </c>
      <c r="AX38" s="2"/>
      <c r="AY38" s="2"/>
      <c r="AZ38" s="2">
        <f>IFERROR((SQRT($J38*$AG38)*POWER((MIN($M38,20)+SQRT(MAX($M38-20,0))),0.9)*Data!$B$1)*(1 - (R38-1)),AV38)</f>
        <v>0</v>
      </c>
      <c r="BA38" s="2">
        <f>IFERROR(((POWER(($J38*$J38*$AG38), 0.33)*LOG10($AE38)*10*Data!$B$1)*R38),AW38)</f>
        <v>135.13150745681415</v>
      </c>
      <c r="BB38" s="2">
        <f t="shared" si="0"/>
        <v>44.354838709677416</v>
      </c>
      <c r="BC38" s="2">
        <f t="shared" si="1"/>
        <v>0</v>
      </c>
      <c r="BD38" s="2">
        <f t="shared" si="2"/>
        <v>0</v>
      </c>
      <c r="BE38" s="2">
        <f t="shared" si="3"/>
        <v>0</v>
      </c>
      <c r="BF38" s="2">
        <v>2</v>
      </c>
      <c r="BG38" s="2">
        <f t="shared" si="4"/>
        <v>70</v>
      </c>
      <c r="BH38" s="2">
        <f t="shared" si="5"/>
        <v>0</v>
      </c>
      <c r="BI38" s="2">
        <f t="shared" si="6"/>
        <v>139</v>
      </c>
      <c r="BJ38" s="2">
        <f t="shared" si="7"/>
        <v>-1</v>
      </c>
      <c r="BK38" s="3">
        <v>18</v>
      </c>
      <c r="BL38" s="3">
        <v>2.5</v>
      </c>
      <c r="BM38" s="3">
        <v>3.2</v>
      </c>
      <c r="BN38">
        <f t="shared" ref="BN38:BN69" si="13">F38-F37</f>
        <v>0</v>
      </c>
      <c r="BO38" s="2" t="str">
        <f>CONCATENATE(
ROUND(BK38*VLOOKUP(I38,'ID Scheme'!$A$2:$E$7,3),0), "x",
ROUND(BL38*VLOOKUP(I38,'ID Scheme'!$A$2:$E$7,5),0), "x",
ROUND(BM38*VLOOKUP(I38,'ID Scheme'!$A$2:$E$7,4),0))</f>
        <v>168x36x31</v>
      </c>
    </row>
    <row r="39" spans="1:68" x14ac:dyDescent="0.25">
      <c r="A39" t="s">
        <v>33</v>
      </c>
      <c r="B39" t="s">
        <v>187</v>
      </c>
      <c r="C39" t="s">
        <v>295</v>
      </c>
      <c r="D39">
        <f>IF(F39 &gt; 2020, ((F39-2020)*4)+1610+H39,IF(F39 &gt; 1900, ((F39-1900)*10)+400+H39, ((F39-1730)*2)+H39))+VLOOKUP(I39,'ID Scheme'!$A$2:$B$7,2, FALSE)</f>
        <v>2051</v>
      </c>
      <c r="F39">
        <v>2005</v>
      </c>
      <c r="G39">
        <v>1</v>
      </c>
      <c r="H39">
        <v>1</v>
      </c>
      <c r="I39" t="s">
        <v>12</v>
      </c>
      <c r="J39">
        <v>60</v>
      </c>
      <c r="K39">
        <v>90</v>
      </c>
      <c r="L39">
        <v>-1</v>
      </c>
      <c r="M39">
        <v>20</v>
      </c>
      <c r="N39">
        <v>7</v>
      </c>
      <c r="O39">
        <v>16</v>
      </c>
      <c r="P39">
        <v>185</v>
      </c>
      <c r="Q39">
        <v>20</v>
      </c>
      <c r="R39">
        <v>1</v>
      </c>
      <c r="S39" t="s">
        <v>305</v>
      </c>
      <c r="T39">
        <v>3</v>
      </c>
      <c r="U39" s="2" t="s">
        <v>331</v>
      </c>
      <c r="V39" s="2"/>
      <c r="W39" s="2"/>
      <c r="X39" s="2"/>
      <c r="Y39" s="2"/>
      <c r="Z39" s="2"/>
      <c r="AA39" s="2"/>
      <c r="AB39" s="2"/>
      <c r="AC39" s="2"/>
      <c r="AD39" s="2"/>
      <c r="AQ39" t="s">
        <v>359</v>
      </c>
      <c r="AV39" s="2">
        <f>SQRT(J39*K39)*POWER((MIN(M39,20)+SQRT(MAX(M39-20,0))),0.9)*Data!$B$1</f>
        <v>81.693055399982839</v>
      </c>
      <c r="AW39" s="2">
        <f>POWER((J39*J39*K39), 0.33)*LOG10(P39)*10*Data!$B$1</f>
        <v>111.95037019981191</v>
      </c>
      <c r="AX39" s="2"/>
      <c r="AY39" s="2"/>
      <c r="AZ39" s="2">
        <f>IFERROR((SQRT($J39*$AG39)*POWER((MIN($M39,20)+SQRT(MAX($M39-20,0))),0.9)*Data!$B$1)*(1 - (R39-1)),AV39)</f>
        <v>0</v>
      </c>
      <c r="BA39" s="2">
        <f>IFERROR(((POWER(($J39*$J39*$AG39), 0.33)*LOG10($AE39)*10*Data!$B$1)*R39),AW39)</f>
        <v>111.95037019981191</v>
      </c>
      <c r="BB39" s="2">
        <f t="shared" si="0"/>
        <v>48.387096774193552</v>
      </c>
      <c r="BC39" s="2">
        <f t="shared" si="1"/>
        <v>0</v>
      </c>
      <c r="BD39" s="2">
        <f t="shared" si="2"/>
        <v>0</v>
      </c>
      <c r="BE39" s="2">
        <f t="shared" si="3"/>
        <v>0</v>
      </c>
      <c r="BF39" s="2">
        <v>1</v>
      </c>
      <c r="BG39" s="2">
        <f t="shared" si="4"/>
        <v>90</v>
      </c>
      <c r="BH39" s="2">
        <f t="shared" si="5"/>
        <v>0</v>
      </c>
      <c r="BI39" s="2">
        <f t="shared" si="6"/>
        <v>89</v>
      </c>
      <c r="BJ39" s="2">
        <f t="shared" si="7"/>
        <v>-1</v>
      </c>
      <c r="BK39" s="3">
        <v>11.4</v>
      </c>
      <c r="BL39" s="3">
        <v>2.5499999999999998</v>
      </c>
      <c r="BM39" s="3">
        <v>4.2</v>
      </c>
      <c r="BN39">
        <f t="shared" si="13"/>
        <v>4</v>
      </c>
      <c r="BO39" s="2" t="str">
        <f>CONCATENATE(
ROUND(BK39*VLOOKUP(I39,'ID Scheme'!$A$2:$E$7,3),0), "x",
ROUND(BL39*VLOOKUP(I39,'ID Scheme'!$A$2:$E$7,5),0), "x",
ROUND(BM39*VLOOKUP(I39,'ID Scheme'!$A$2:$E$7,4),0))</f>
        <v>106x37x41</v>
      </c>
    </row>
    <row r="40" spans="1:68" x14ac:dyDescent="0.25">
      <c r="A40" t="s">
        <v>332</v>
      </c>
      <c r="B40" t="s">
        <v>188</v>
      </c>
      <c r="C40" t="s">
        <v>295</v>
      </c>
      <c r="D40">
        <f>IF(F40 &gt; 2020, ((F40-2020)*4)+1610+H40,IF(F40 &gt; 1900, ((F40-1900)*10)+400+H40, ((F40-1730)*2)+H40))+VLOOKUP(I40,'ID Scheme'!$A$2:$B$7,2, FALSE)</f>
        <v>2112</v>
      </c>
      <c r="F40">
        <v>2011</v>
      </c>
      <c r="G40">
        <v>1</v>
      </c>
      <c r="H40">
        <v>2</v>
      </c>
      <c r="I40" t="s">
        <v>12</v>
      </c>
      <c r="J40">
        <v>50</v>
      </c>
      <c r="K40">
        <v>72</v>
      </c>
      <c r="L40">
        <v>-1</v>
      </c>
      <c r="M40">
        <v>16</v>
      </c>
      <c r="N40">
        <v>6</v>
      </c>
      <c r="O40">
        <v>10</v>
      </c>
      <c r="P40">
        <v>101</v>
      </c>
      <c r="Q40">
        <v>22</v>
      </c>
      <c r="R40">
        <v>1</v>
      </c>
      <c r="S40" t="s">
        <v>333</v>
      </c>
      <c r="T40">
        <v>3</v>
      </c>
      <c r="U40" s="2" t="s">
        <v>334</v>
      </c>
      <c r="V40" s="2"/>
      <c r="W40" s="2"/>
      <c r="X40" s="2"/>
      <c r="Y40" s="2"/>
      <c r="Z40" s="2"/>
      <c r="AA40" s="2"/>
      <c r="AB40" s="2"/>
      <c r="AC40" s="2"/>
      <c r="AD40" s="2"/>
      <c r="AQ40" t="s">
        <v>359</v>
      </c>
      <c r="AV40" s="2">
        <f>SQRT(J40*K40)*POWER((MIN(M40,20)+SQRT(MAX(M40-20,0))),0.9)*Data!$B$1</f>
        <v>54.565796394374324</v>
      </c>
      <c r="AW40" s="2">
        <f>POWER((J40*J40*K40), 0.33)*LOG10(P40)*10*Data!$B$1</f>
        <v>81.520821564001579</v>
      </c>
      <c r="AX40" s="2"/>
      <c r="AY40" s="2"/>
      <c r="AZ40" s="2">
        <f>IFERROR((SQRT($J40*$AG40)*POWER((MIN($M40,20)+SQRT(MAX($M40-20,0))),0.9)*Data!$B$1)*(1 - (R40-1)),AV40)</f>
        <v>0</v>
      </c>
      <c r="BA40" s="2">
        <f>IFERROR(((POWER(($J40*$J40*$AG40), 0.33)*LOG10($AE40)*10*Data!$B$1)*R40),AW40)</f>
        <v>81.520821564001579</v>
      </c>
      <c r="BB40" s="2">
        <f t="shared" si="0"/>
        <v>40.322580645161288</v>
      </c>
      <c r="BC40" s="2">
        <f t="shared" si="1"/>
        <v>0</v>
      </c>
      <c r="BD40" s="2">
        <f t="shared" si="2"/>
        <v>0</v>
      </c>
      <c r="BE40" s="2">
        <f t="shared" si="3"/>
        <v>0</v>
      </c>
      <c r="BF40" s="2">
        <v>1</v>
      </c>
      <c r="BG40" s="2">
        <f t="shared" si="4"/>
        <v>72</v>
      </c>
      <c r="BH40" s="2">
        <f t="shared" si="5"/>
        <v>0</v>
      </c>
      <c r="BI40" s="2">
        <f t="shared" si="6"/>
        <v>71</v>
      </c>
      <c r="BJ40" s="2">
        <f t="shared" si="7"/>
        <v>-1</v>
      </c>
      <c r="BK40" s="3"/>
      <c r="BL40" s="3"/>
      <c r="BM40" s="3"/>
      <c r="BN40">
        <f t="shared" si="13"/>
        <v>6</v>
      </c>
      <c r="BO40" s="2" t="str">
        <f>CONCATENATE(
ROUND(BK40*VLOOKUP(I40,'ID Scheme'!$A$2:$E$7,3),0), "x",
ROUND(BL40*VLOOKUP(I40,'ID Scheme'!$A$2:$E$7,5),0), "x",
ROUND(BM40*VLOOKUP(I40,'ID Scheme'!$A$2:$E$7,4),0))</f>
        <v>0x0x0</v>
      </c>
    </row>
    <row r="41" spans="1:68" x14ac:dyDescent="0.25">
      <c r="A41" t="s">
        <v>66</v>
      </c>
      <c r="B41" t="s">
        <v>189</v>
      </c>
      <c r="C41" t="s">
        <v>295</v>
      </c>
      <c r="D41">
        <f>IF(F41 &gt; 2020, ((F41-2020)*4)+1610+H41,IF(F41 &gt; 1900, ((F41-1900)*10)+400+H41, ((F41-1730)*2)+H41))+VLOOKUP(I41,'ID Scheme'!$A$2:$B$7,2, FALSE)</f>
        <v>2121</v>
      </c>
      <c r="F41">
        <v>2012</v>
      </c>
      <c r="G41">
        <v>1</v>
      </c>
      <c r="H41">
        <v>1</v>
      </c>
      <c r="I41" t="s">
        <v>12</v>
      </c>
      <c r="J41">
        <v>50</v>
      </c>
      <c r="K41">
        <v>87</v>
      </c>
      <c r="L41">
        <v>-1</v>
      </c>
      <c r="M41">
        <v>20</v>
      </c>
      <c r="N41">
        <v>7</v>
      </c>
      <c r="O41">
        <v>12.5</v>
      </c>
      <c r="P41">
        <v>185</v>
      </c>
      <c r="Q41">
        <v>23</v>
      </c>
      <c r="R41">
        <v>1</v>
      </c>
      <c r="S41" t="s">
        <v>311</v>
      </c>
      <c r="T41">
        <v>3</v>
      </c>
      <c r="U41" s="2" t="s">
        <v>335</v>
      </c>
      <c r="V41" s="2"/>
      <c r="W41" s="2"/>
      <c r="X41" s="2"/>
      <c r="Y41" s="2"/>
      <c r="Z41" s="2"/>
      <c r="AA41" s="2"/>
      <c r="AB41" s="2"/>
      <c r="AC41" s="2"/>
      <c r="AD41" s="2"/>
      <c r="AQ41" t="s">
        <v>359</v>
      </c>
      <c r="AV41" s="2">
        <f>SQRT(J41*K41)*POWER((MIN(M41,20)+SQRT(MAX(M41-20,0))),0.9)*Data!$B$1</f>
        <v>73.321761154546138</v>
      </c>
      <c r="AW41" s="2">
        <f>POWER((J41*J41*K41), 0.33)*LOG10(P41)*10*Data!$B$1</f>
        <v>98.153826904979823</v>
      </c>
      <c r="AX41" s="2"/>
      <c r="AY41" s="2"/>
      <c r="AZ41" s="2">
        <f>IFERROR((SQRT($J41*$AG41)*POWER((MIN($M41,20)+SQRT(MAX($M41-20,0))),0.9)*Data!$B$1)*(1 - (R41-1)),AV41)</f>
        <v>0</v>
      </c>
      <c r="BA41" s="2">
        <f>IFERROR(((POWER(($J41*$J41*$AG41), 0.33)*LOG10($AE41)*10*Data!$B$1)*R41),AW41)</f>
        <v>98.153826904979823</v>
      </c>
      <c r="BB41" s="2">
        <f t="shared" si="0"/>
        <v>40.322580645161288</v>
      </c>
      <c r="BC41" s="2">
        <f t="shared" si="1"/>
        <v>0</v>
      </c>
      <c r="BD41" s="2">
        <f t="shared" si="2"/>
        <v>0</v>
      </c>
      <c r="BE41" s="2">
        <f t="shared" si="3"/>
        <v>0</v>
      </c>
      <c r="BF41" s="2">
        <v>1</v>
      </c>
      <c r="BG41" s="2">
        <f t="shared" si="4"/>
        <v>87</v>
      </c>
      <c r="BH41" s="2">
        <f t="shared" si="5"/>
        <v>0</v>
      </c>
      <c r="BI41" s="2">
        <f t="shared" si="6"/>
        <v>86</v>
      </c>
      <c r="BJ41" s="2">
        <f t="shared" si="7"/>
        <v>-1</v>
      </c>
      <c r="BK41" s="3"/>
      <c r="BL41" s="3"/>
      <c r="BM41" s="3"/>
      <c r="BN41">
        <f t="shared" si="13"/>
        <v>1</v>
      </c>
      <c r="BO41" s="2" t="str">
        <f>CONCATENATE(
ROUND(BK41*VLOOKUP(I41,'ID Scheme'!$A$2:$E$7,3),0), "x",
ROUND(BL41*VLOOKUP(I41,'ID Scheme'!$A$2:$E$7,5),0), "x",
ROUND(BM41*VLOOKUP(I41,'ID Scheme'!$A$2:$E$7,4),0))</f>
        <v>0x0x0</v>
      </c>
    </row>
    <row r="42" spans="1:68" x14ac:dyDescent="0.25">
      <c r="A42" t="s">
        <v>65</v>
      </c>
      <c r="B42" t="s">
        <v>190</v>
      </c>
      <c r="C42" t="s">
        <v>295</v>
      </c>
      <c r="D42">
        <f>IF(F42 &gt; 2020, ((F42-2020)*4)+1610+H42,IF(F42 &gt; 1900, ((F42-1900)*10)+400+H42, ((F42-1730)*2)+H42))+VLOOKUP(I42,'ID Scheme'!$A$2:$B$7,2, FALSE)</f>
        <v>2122</v>
      </c>
      <c r="F42">
        <v>2012</v>
      </c>
      <c r="G42">
        <v>1</v>
      </c>
      <c r="H42">
        <v>2</v>
      </c>
      <c r="I42" t="s">
        <v>12</v>
      </c>
      <c r="J42">
        <v>60</v>
      </c>
      <c r="K42">
        <v>35</v>
      </c>
      <c r="L42">
        <v>-1</v>
      </c>
      <c r="M42">
        <v>16</v>
      </c>
      <c r="N42">
        <v>5</v>
      </c>
      <c r="O42">
        <v>7.5</v>
      </c>
      <c r="P42">
        <v>110</v>
      </c>
      <c r="Q42">
        <v>20</v>
      </c>
      <c r="R42">
        <v>0.95</v>
      </c>
      <c r="S42" t="s">
        <v>311</v>
      </c>
      <c r="T42">
        <v>2</v>
      </c>
      <c r="U42" s="2" t="s">
        <v>329</v>
      </c>
      <c r="V42" s="2"/>
      <c r="W42" s="2"/>
      <c r="X42" s="2"/>
      <c r="Y42" s="2"/>
      <c r="Z42" s="2"/>
      <c r="AA42" s="2"/>
      <c r="AB42" s="2"/>
      <c r="AC42" s="2"/>
      <c r="AD42" s="2"/>
      <c r="AQ42" t="s">
        <v>359</v>
      </c>
      <c r="AV42" s="2">
        <f>SQRT(J42*K42)*POWER((MIN(M42,20)+SQRT(MAX(M42-20,0))),0.9)*Data!$B$1</f>
        <v>41.6753153887948</v>
      </c>
      <c r="AW42" s="2">
        <f>POWER((J42*J42*K42), 0.33)*LOG10(P42)*10*Data!$B$1</f>
        <v>73.809131915179265</v>
      </c>
      <c r="AX42" s="2"/>
      <c r="AY42" s="2"/>
      <c r="AZ42" s="2">
        <f>IFERROR((SQRT($J42*$AG42)*POWER((MIN($M42,20)+SQRT(MAX($M42-20,0))),0.9)*Data!$B$1)*(1 - (R42-1)),AV42)</f>
        <v>0</v>
      </c>
      <c r="BA42" s="2">
        <f>IFERROR(((POWER(($J42*$J42*$AG42), 0.33)*LOG10($AE42)*10*Data!$B$1)*R42),AW42)</f>
        <v>73.809131915179265</v>
      </c>
      <c r="BB42" s="2">
        <f t="shared" si="0"/>
        <v>48.387096774193552</v>
      </c>
      <c r="BC42" s="2">
        <f t="shared" si="1"/>
        <v>0</v>
      </c>
      <c r="BD42" s="2">
        <f t="shared" si="2"/>
        <v>0</v>
      </c>
      <c r="BE42" s="2">
        <f t="shared" si="3"/>
        <v>0</v>
      </c>
      <c r="BF42" s="2">
        <v>1</v>
      </c>
      <c r="BG42" s="2">
        <f t="shared" si="4"/>
        <v>35</v>
      </c>
      <c r="BH42" s="2">
        <f t="shared" si="5"/>
        <v>0</v>
      </c>
      <c r="BI42" s="2">
        <f t="shared" si="6"/>
        <v>34</v>
      </c>
      <c r="BJ42" s="2">
        <f t="shared" si="7"/>
        <v>-1</v>
      </c>
      <c r="BK42" s="3">
        <v>10.199999999999999</v>
      </c>
      <c r="BL42" s="3">
        <v>2.2999999999999998</v>
      </c>
      <c r="BM42" s="3">
        <v>2.7</v>
      </c>
      <c r="BN42">
        <f t="shared" si="13"/>
        <v>0</v>
      </c>
      <c r="BO42" s="2" t="str">
        <f>CONCATENATE(
ROUND(BK42*VLOOKUP(I42,'ID Scheme'!$A$2:$E$7,3),0), "x",
ROUND(BL42*VLOOKUP(I42,'ID Scheme'!$A$2:$E$7,5),0), "x",
ROUND(BM42*VLOOKUP(I42,'ID Scheme'!$A$2:$E$7,4),0))</f>
        <v>95x33x26</v>
      </c>
    </row>
    <row r="43" spans="1:68" x14ac:dyDescent="0.25">
      <c r="A43" t="s">
        <v>368</v>
      </c>
      <c r="B43" t="s">
        <v>195</v>
      </c>
      <c r="C43" t="s">
        <v>369</v>
      </c>
      <c r="D43">
        <f>IF(F43 &gt; 2020, ((F43-2020)*4)+1610+H43,IF(F43 &gt; 1900, ((F43-1900)*10)+400+H43, ((F43-1730)*2)+H43))+VLOOKUP(I43,'ID Scheme'!$A$2:$B$7,2, FALSE)</f>
        <v>2741</v>
      </c>
      <c r="F43">
        <v>1800</v>
      </c>
      <c r="G43">
        <v>1</v>
      </c>
      <c r="H43">
        <v>1</v>
      </c>
      <c r="I43" t="s">
        <v>13</v>
      </c>
      <c r="J43">
        <v>16</v>
      </c>
      <c r="K43">
        <v>12</v>
      </c>
      <c r="L43">
        <v>120</v>
      </c>
      <c r="M43">
        <v>12</v>
      </c>
      <c r="N43">
        <v>4</v>
      </c>
      <c r="O43">
        <v>1</v>
      </c>
      <c r="P43">
        <v>15</v>
      </c>
      <c r="Q43">
        <v>20</v>
      </c>
      <c r="R43">
        <v>1</v>
      </c>
      <c r="S43" t="s">
        <v>297</v>
      </c>
      <c r="U43" s="2" t="s">
        <v>366</v>
      </c>
      <c r="V43" s="2"/>
      <c r="W43" s="2"/>
      <c r="X43" s="2"/>
      <c r="Y43" s="2"/>
      <c r="Z43" s="2"/>
      <c r="AA43" s="2" t="s">
        <v>343</v>
      </c>
      <c r="AB43" s="2"/>
      <c r="AC43" s="2" t="s">
        <v>444</v>
      </c>
      <c r="AD43" s="2"/>
      <c r="AE43">
        <v>5</v>
      </c>
      <c r="AF43">
        <v>10</v>
      </c>
      <c r="AG43">
        <v>2</v>
      </c>
      <c r="AO43" t="s">
        <v>433</v>
      </c>
      <c r="AP43" t="s">
        <v>408</v>
      </c>
      <c r="AQ43" t="s">
        <v>360</v>
      </c>
      <c r="AU43" t="s">
        <v>279</v>
      </c>
      <c r="AV43" s="2">
        <f>SQRT(J43*K43)*POWER((MIN(M43,20)+SQRT(MAX(M43-20,0))),0.9)*Data!$B$1</f>
        <v>9.7269122773484167</v>
      </c>
      <c r="AW43" s="2">
        <f>POWER((J43*J43*K43), 0.33)*LOG10(P43)*10*Data!$B$1</f>
        <v>12.483928865764204</v>
      </c>
      <c r="AX43" s="2"/>
      <c r="AY43" s="2"/>
      <c r="AZ43" s="2">
        <f>IFERROR((SQRT($J43*$AG43)*POWER((MIN($M43,20)+SQRT(MAX($M43-20,0))),0.9)*Data!$B$1)*(1 - (R43-1)),AV43)</f>
        <v>3.9709953087194521</v>
      </c>
      <c r="BA43" s="2">
        <f>IFERROR(((POWER(($J43*$J43*$AG43), 0.33)*LOG10($AE43)*10*Data!$B$1)*R43),AW43)</f>
        <v>4.1075124579067142</v>
      </c>
      <c r="BB43" s="2">
        <f t="shared" si="0"/>
        <v>12.903225806451614</v>
      </c>
      <c r="BC43" s="2">
        <f t="shared" si="1"/>
        <v>8.064516129032258</v>
      </c>
      <c r="BD43" s="2">
        <f t="shared" si="2"/>
        <v>0</v>
      </c>
      <c r="BE43" s="2">
        <f t="shared" si="3"/>
        <v>0</v>
      </c>
      <c r="BF43" s="2">
        <v>2</v>
      </c>
      <c r="BG43" s="2">
        <f t="shared" si="4"/>
        <v>6</v>
      </c>
      <c r="BH43" s="2">
        <f t="shared" si="5"/>
        <v>1</v>
      </c>
      <c r="BI43" s="2">
        <f t="shared" si="6"/>
        <v>11</v>
      </c>
      <c r="BJ43" s="2">
        <f t="shared" si="7"/>
        <v>1</v>
      </c>
      <c r="BK43" s="3"/>
      <c r="BL43" s="3"/>
      <c r="BM43" s="3"/>
      <c r="BN43">
        <f t="shared" si="13"/>
        <v>-212</v>
      </c>
      <c r="BO43" s="2" t="str">
        <f>CONCATENATE(
ROUND(BK43*VLOOKUP(I43,'ID Scheme'!$A$2:$E$7,3),0), "x",
ROUND(BL43*VLOOKUP(I43,'ID Scheme'!$A$2:$E$7,5),0), "x",
ROUND(BM43*VLOOKUP(I43,'ID Scheme'!$A$2:$E$7,4),0))</f>
        <v>0x0x0</v>
      </c>
    </row>
    <row r="44" spans="1:68" x14ac:dyDescent="0.25">
      <c r="A44" t="s">
        <v>39</v>
      </c>
      <c r="B44" t="s">
        <v>229</v>
      </c>
      <c r="C44" t="s">
        <v>339</v>
      </c>
      <c r="D44">
        <f>IF(F44 &gt; 2020, ((F44-2020)*4)+1610+H44,IF(F44 &gt; 1900, ((F44-1900)*10)+400+H44, ((F44-1730)*2)+H44))+VLOOKUP(I44,'ID Scheme'!$A$2:$B$7,2, FALSE)</f>
        <v>2935</v>
      </c>
      <c r="F44">
        <v>1897</v>
      </c>
      <c r="G44">
        <v>1</v>
      </c>
      <c r="H44">
        <v>1</v>
      </c>
      <c r="I44" t="s">
        <v>13</v>
      </c>
      <c r="J44">
        <v>18</v>
      </c>
      <c r="K44">
        <v>14</v>
      </c>
      <c r="L44">
        <v>20</v>
      </c>
      <c r="M44">
        <v>15</v>
      </c>
      <c r="N44">
        <v>5</v>
      </c>
      <c r="O44">
        <v>4</v>
      </c>
      <c r="P44">
        <v>20</v>
      </c>
      <c r="Q44">
        <v>20</v>
      </c>
      <c r="R44">
        <v>1</v>
      </c>
      <c r="S44" t="s">
        <v>298</v>
      </c>
      <c r="T44">
        <v>-3</v>
      </c>
      <c r="U44" s="2" t="s">
        <v>341</v>
      </c>
      <c r="V44" s="2"/>
      <c r="W44" s="2"/>
      <c r="X44" s="2"/>
      <c r="Y44" s="2"/>
      <c r="Z44" s="2"/>
      <c r="AA44" s="2" t="s">
        <v>343</v>
      </c>
      <c r="AB44" s="2"/>
      <c r="AC44" s="2"/>
      <c r="AD44" s="2"/>
      <c r="AG44">
        <v>4</v>
      </c>
      <c r="AQ44" t="s">
        <v>360</v>
      </c>
      <c r="AV44" s="2">
        <f>SQRT(J44*K44)*POWER((MIN(M44,20)+SQRT(MAX(M44-20,0))),0.9)*Data!$B$1</f>
        <v>13.622087541829282</v>
      </c>
      <c r="AW44" s="2">
        <f>POWER((J44*J44*K44), 0.33)*LOG10(P44)*10*Data!$B$1</f>
        <v>15.705460613345815</v>
      </c>
      <c r="AX44" s="2"/>
      <c r="AY44" s="2"/>
      <c r="AZ44" s="2">
        <f>IFERROR((SQRT($J44*$AG44)*POWER((MIN($M44,20)+SQRT(MAX($M44-20,0))),0.9)*Data!$B$1)*(1 - (R44-1)),AV44)</f>
        <v>7.2813120677381153</v>
      </c>
      <c r="BA44" s="2">
        <f>IFERROR(((POWER(($J44*$J44*$AG44), 0.33)*LOG10($AE44)*10*Data!$B$1)*R44),AW44)</f>
        <v>15.705460613345815</v>
      </c>
      <c r="BB44" s="2">
        <f t="shared" ref="BB44:BB75" si="14">J44/1.24</f>
        <v>14.516129032258064</v>
      </c>
      <c r="BC44" s="2">
        <f t="shared" si="1"/>
        <v>0</v>
      </c>
      <c r="BD44" s="2">
        <f t="shared" si="2"/>
        <v>0</v>
      </c>
      <c r="BE44" s="2">
        <f t="shared" si="3"/>
        <v>0</v>
      </c>
      <c r="BF44" s="2">
        <v>1</v>
      </c>
      <c r="BG44" s="2">
        <f t="shared" ref="BG44:BG75" si="15">K44/BF44</f>
        <v>14</v>
      </c>
      <c r="BH44" s="2">
        <f t="shared" si="5"/>
        <v>4</v>
      </c>
      <c r="BI44" s="2">
        <f t="shared" ref="BI44:BI75" si="16">(K44-1)/MAX(BF44-1, 1)</f>
        <v>13</v>
      </c>
      <c r="BJ44" s="2">
        <f t="shared" si="7"/>
        <v>3</v>
      </c>
      <c r="BK44" s="3"/>
      <c r="BL44" s="3"/>
      <c r="BM44" s="3"/>
      <c r="BN44">
        <f t="shared" si="13"/>
        <v>97</v>
      </c>
      <c r="BO44" s="2" t="str">
        <f>CONCATENATE(
ROUND(BK44*VLOOKUP(I44,'ID Scheme'!$A$2:$E$7,3),0), "x",
ROUND(BL44*VLOOKUP(I44,'ID Scheme'!$A$2:$E$7,5),0), "x",
ROUND(BM44*VLOOKUP(I44,'ID Scheme'!$A$2:$E$7,4),0))</f>
        <v>0x0x0</v>
      </c>
    </row>
    <row r="45" spans="1:68" x14ac:dyDescent="0.25">
      <c r="A45" t="s">
        <v>8</v>
      </c>
      <c r="B45" t="s">
        <v>198</v>
      </c>
      <c r="C45" t="s">
        <v>339</v>
      </c>
      <c r="D45">
        <f>IF(F45 &gt; 2020, ((F45-2020)*4)+1610+H45,IF(F45 &gt; 1900, ((F45-1900)*10)+400+H45, ((F45-1730)*2)+H45))+VLOOKUP(I45,'ID Scheme'!$A$2:$B$7,2, FALSE)</f>
        <v>3021</v>
      </c>
      <c r="F45">
        <v>1902</v>
      </c>
      <c r="G45">
        <v>1</v>
      </c>
      <c r="H45">
        <v>1</v>
      </c>
      <c r="I45" t="s">
        <v>13</v>
      </c>
      <c r="J45">
        <v>18</v>
      </c>
      <c r="K45">
        <v>16</v>
      </c>
      <c r="L45">
        <v>20</v>
      </c>
      <c r="M45">
        <v>15</v>
      </c>
      <c r="N45">
        <v>5</v>
      </c>
      <c r="O45">
        <v>5</v>
      </c>
      <c r="P45">
        <v>35</v>
      </c>
      <c r="Q45">
        <v>20</v>
      </c>
      <c r="R45">
        <v>1</v>
      </c>
      <c r="S45" t="s">
        <v>298</v>
      </c>
      <c r="T45">
        <v>-3</v>
      </c>
      <c r="U45" s="2" t="s">
        <v>344</v>
      </c>
      <c r="V45" s="2"/>
      <c r="W45" s="2"/>
      <c r="X45" s="2"/>
      <c r="Y45" s="2"/>
      <c r="Z45" s="2"/>
      <c r="AA45" s="2" t="s">
        <v>343</v>
      </c>
      <c r="AB45" s="2"/>
      <c r="AC45" s="2"/>
      <c r="AD45" s="2"/>
      <c r="AG45">
        <v>5</v>
      </c>
      <c r="AQ45" t="s">
        <v>360</v>
      </c>
      <c r="AV45" s="2">
        <f>SQRT(J45*K45)*POWER((MIN(M45,20)+SQRT(MAX(M45-20,0))),0.9)*Data!$B$1</f>
        <v>14.562624135476231</v>
      </c>
      <c r="AW45" s="2">
        <f>POWER((J45*J45*K45), 0.33)*LOG10(P45)*10*Data!$B$1</f>
        <v>19.479021908256488</v>
      </c>
      <c r="AX45" s="2"/>
      <c r="AY45" s="2"/>
      <c r="AZ45" s="2">
        <f>IFERROR((SQRT($J45*$AG45)*POWER((MIN($M45,20)+SQRT(MAX($M45-20,0))),0.9)*Data!$B$1)*(1 - (R45-1)),AV45)</f>
        <v>8.14075437442599</v>
      </c>
      <c r="BA45" s="2">
        <f>IFERROR(((POWER(($J45*$J45*$AG45), 0.33)*LOG10($AE45)*10*Data!$B$1)*R45),AW45)</f>
        <v>19.479021908256488</v>
      </c>
      <c r="BB45" s="2">
        <f t="shared" si="14"/>
        <v>14.516129032258064</v>
      </c>
      <c r="BC45" s="2">
        <f t="shared" ref="BC45:BC76" si="17">AF45/1.24</f>
        <v>0</v>
      </c>
      <c r="BD45" s="2">
        <f t="shared" ref="BD45:BD76" si="18">AI45/1.24</f>
        <v>0</v>
      </c>
      <c r="BE45" s="2">
        <f t="shared" ref="BE45:BE76" si="19">AJ45/1.24</f>
        <v>0</v>
      </c>
      <c r="BF45" s="2">
        <v>1</v>
      </c>
      <c r="BG45" s="2">
        <f t="shared" si="15"/>
        <v>16</v>
      </c>
      <c r="BH45" s="2">
        <f t="shared" ref="BH45:BH76" si="20">AG45/BF45</f>
        <v>5</v>
      </c>
      <c r="BI45" s="2">
        <f t="shared" si="16"/>
        <v>15</v>
      </c>
      <c r="BJ45" s="2">
        <f t="shared" si="7"/>
        <v>4</v>
      </c>
      <c r="BK45" s="3"/>
      <c r="BL45" s="3"/>
      <c r="BM45" s="3"/>
      <c r="BN45">
        <f t="shared" si="13"/>
        <v>5</v>
      </c>
      <c r="BO45" s="2" t="str">
        <f>CONCATENATE(
ROUND(BK45*VLOOKUP(I45,'ID Scheme'!$A$2:$E$7,3),0), "x",
ROUND(BL45*VLOOKUP(I45,'ID Scheme'!$A$2:$E$7,5),0), "x",
ROUND(BM45*VLOOKUP(I45,'ID Scheme'!$A$2:$E$7,4),0))</f>
        <v>0x0x0</v>
      </c>
    </row>
    <row r="46" spans="1:68" x14ac:dyDescent="0.25">
      <c r="A46" t="s">
        <v>22</v>
      </c>
      <c r="B46" t="s">
        <v>230</v>
      </c>
      <c r="C46" t="s">
        <v>339</v>
      </c>
      <c r="D46">
        <f>IF(F46 &gt; 2020, ((F46-2020)*4)+1610+H46,IF(F46 &gt; 1900, ((F46-1900)*10)+400+H46, ((F46-1730)*2)+H46))+VLOOKUP(I46,'ID Scheme'!$A$2:$B$7,2, FALSE)</f>
        <v>3071</v>
      </c>
      <c r="F46">
        <v>1907</v>
      </c>
      <c r="G46">
        <v>1</v>
      </c>
      <c r="H46">
        <v>1</v>
      </c>
      <c r="I46" t="s">
        <v>13</v>
      </c>
      <c r="J46">
        <v>20</v>
      </c>
      <c r="K46">
        <v>18</v>
      </c>
      <c r="L46">
        <v>15</v>
      </c>
      <c r="M46">
        <v>15</v>
      </c>
      <c r="N46">
        <v>5</v>
      </c>
      <c r="O46">
        <v>5.5</v>
      </c>
      <c r="P46">
        <v>35</v>
      </c>
      <c r="Q46">
        <v>20</v>
      </c>
      <c r="R46">
        <v>1</v>
      </c>
      <c r="S46" t="s">
        <v>299</v>
      </c>
      <c r="T46">
        <v>2</v>
      </c>
      <c r="U46" s="2" t="s">
        <v>345</v>
      </c>
      <c r="V46" s="2" t="s">
        <v>343</v>
      </c>
      <c r="W46" s="2"/>
      <c r="X46" s="2"/>
      <c r="Y46" s="2"/>
      <c r="Z46" s="2"/>
      <c r="AA46" s="2" t="s">
        <v>343</v>
      </c>
      <c r="AB46" s="2"/>
      <c r="AC46" s="2"/>
      <c r="AD46" s="2"/>
      <c r="AG46">
        <v>5</v>
      </c>
      <c r="AQ46" t="s">
        <v>360</v>
      </c>
      <c r="AV46" s="2">
        <f>SQRT(J46*K46)*POWER((MIN(M46,20)+SQRT(MAX(M46-20,0))),0.9)*Data!$B$1</f>
        <v>16.28150874885198</v>
      </c>
      <c r="AW46" s="2">
        <f>POWER((J46*J46*K46), 0.33)*LOG10(P46)*10*Data!$B$1</f>
        <v>21.709380082318344</v>
      </c>
      <c r="AX46" s="2"/>
      <c r="AY46" s="2"/>
      <c r="AZ46" s="2">
        <f>IFERROR((SQRT($J46*$AG46)*POWER((MIN($M46,20)+SQRT(MAX($M46-20,0))),0.9)*Data!$B$1)*(1 - (R46-1)),AV46)</f>
        <v>8.5811085650551053</v>
      </c>
      <c r="BA46" s="2">
        <f>IFERROR(((POWER(($J46*$J46*$AG46), 0.33)*LOG10($AE46)*10*Data!$B$1)*R46),AW46)</f>
        <v>21.709380082318344</v>
      </c>
      <c r="BB46" s="2">
        <f t="shared" si="14"/>
        <v>16.129032258064516</v>
      </c>
      <c r="BC46" s="2">
        <f t="shared" si="17"/>
        <v>0</v>
      </c>
      <c r="BD46" s="2">
        <f t="shared" si="18"/>
        <v>0</v>
      </c>
      <c r="BE46" s="2">
        <f t="shared" si="19"/>
        <v>0</v>
      </c>
      <c r="BF46" s="2">
        <v>1</v>
      </c>
      <c r="BG46" s="2">
        <f t="shared" si="15"/>
        <v>18</v>
      </c>
      <c r="BH46" s="2">
        <f t="shared" si="20"/>
        <v>5</v>
      </c>
      <c r="BI46" s="2">
        <f t="shared" si="16"/>
        <v>17</v>
      </c>
      <c r="BJ46" s="2">
        <f t="shared" si="7"/>
        <v>4</v>
      </c>
      <c r="BK46" s="3"/>
      <c r="BL46" s="3"/>
      <c r="BM46" s="3"/>
      <c r="BN46">
        <f t="shared" si="13"/>
        <v>5</v>
      </c>
      <c r="BO46" s="2" t="str">
        <f>CONCATENATE(
ROUND(BK46*VLOOKUP(I46,'ID Scheme'!$A$2:$E$7,3),0), "x",
ROUND(BL46*VLOOKUP(I46,'ID Scheme'!$A$2:$E$7,5),0), "x",
ROUND(BM46*VLOOKUP(I46,'ID Scheme'!$A$2:$E$7,4),0))</f>
        <v>0x0x0</v>
      </c>
    </row>
    <row r="47" spans="1:68" x14ac:dyDescent="0.25">
      <c r="A47" t="s">
        <v>236</v>
      </c>
      <c r="B47" t="s">
        <v>235</v>
      </c>
      <c r="C47" t="s">
        <v>339</v>
      </c>
      <c r="D47">
        <f>IF(F47 &gt; 2020, ((F47-2020)*4)+1610+H47,IF(F47 &gt; 1900, ((F47-1900)*10)+400+H47, ((F47-1730)*2)+H47))+VLOOKUP(I47,'ID Scheme'!$A$2:$B$7,2, FALSE)</f>
        <v>3131</v>
      </c>
      <c r="F47">
        <v>1913</v>
      </c>
      <c r="G47">
        <v>1</v>
      </c>
      <c r="H47">
        <v>1</v>
      </c>
      <c r="I47" t="s">
        <v>13</v>
      </c>
      <c r="J47">
        <v>22</v>
      </c>
      <c r="K47">
        <v>18</v>
      </c>
      <c r="L47">
        <v>20</v>
      </c>
      <c r="M47">
        <v>18</v>
      </c>
      <c r="N47">
        <v>5</v>
      </c>
      <c r="O47">
        <v>4.5</v>
      </c>
      <c r="P47">
        <v>30</v>
      </c>
      <c r="Q47">
        <v>20</v>
      </c>
      <c r="R47">
        <v>1</v>
      </c>
      <c r="S47" t="s">
        <v>299</v>
      </c>
      <c r="T47">
        <v>2</v>
      </c>
      <c r="U47" s="2" t="s">
        <v>517</v>
      </c>
      <c r="V47" s="2" t="s">
        <v>343</v>
      </c>
      <c r="W47" s="2" t="s">
        <v>343</v>
      </c>
      <c r="X47" s="2"/>
      <c r="Y47" s="2"/>
      <c r="Z47" s="2"/>
      <c r="AA47" s="2" t="s">
        <v>343</v>
      </c>
      <c r="AB47" s="2"/>
      <c r="AC47" s="2"/>
      <c r="AD47" s="2"/>
      <c r="AG47">
        <v>5</v>
      </c>
      <c r="AH47">
        <v>12</v>
      </c>
      <c r="AQ47" t="s">
        <v>360</v>
      </c>
      <c r="AV47" s="2">
        <f>SQRT(J47*K47)*POWER((MIN(M47,20)+SQRT(MAX(M47-20,0))),0.9)*Data!$B$1</f>
        <v>20.121210798806025</v>
      </c>
      <c r="AW47" s="2">
        <f>POWER((J47*J47*K47), 0.33)*LOG10(P47)*10*Data!$B$1</f>
        <v>22.116495267895374</v>
      </c>
      <c r="AX47" s="2"/>
      <c r="AY47" s="2"/>
      <c r="AZ47" s="2">
        <f>IFERROR((SQRT($J47*$AG47)*POWER((MIN($M47,20)+SQRT(MAX($M47-20,0))),0.9)*Data!$B$1)*(1 - (R47-1)),AV47)</f>
        <v>10.604809234100509</v>
      </c>
      <c r="BA47" s="2">
        <f>IFERROR(((POWER(($J47*$J47*$AG47), 0.33)*LOG10($AE47)*10*Data!$B$1)*R47),AW47)</f>
        <v>22.116495267895374</v>
      </c>
      <c r="BB47" s="2">
        <f t="shared" si="14"/>
        <v>17.741935483870968</v>
      </c>
      <c r="BC47" s="2">
        <f t="shared" si="17"/>
        <v>0</v>
      </c>
      <c r="BD47" s="2">
        <f t="shared" si="18"/>
        <v>0</v>
      </c>
      <c r="BE47" s="2">
        <f t="shared" si="19"/>
        <v>0</v>
      </c>
      <c r="BF47" s="2">
        <v>1</v>
      </c>
      <c r="BG47" s="2">
        <f t="shared" si="15"/>
        <v>18</v>
      </c>
      <c r="BH47" s="2">
        <f t="shared" si="20"/>
        <v>5</v>
      </c>
      <c r="BI47" s="2">
        <f t="shared" si="16"/>
        <v>17</v>
      </c>
      <c r="BJ47" s="2">
        <f t="shared" si="7"/>
        <v>4</v>
      </c>
      <c r="BK47" s="3"/>
      <c r="BL47" s="3"/>
      <c r="BM47" s="3"/>
      <c r="BN47">
        <f t="shared" si="13"/>
        <v>6</v>
      </c>
      <c r="BO47" s="2" t="str">
        <f>CONCATENATE(
ROUND(BK47*VLOOKUP(I47,'ID Scheme'!$A$2:$E$7,3),0), "x",
ROUND(BL47*VLOOKUP(I47,'ID Scheme'!$A$2:$E$7,5),0), "x",
ROUND(BM47*VLOOKUP(I47,'ID Scheme'!$A$2:$E$7,4),0))</f>
        <v>0x0x0</v>
      </c>
    </row>
    <row r="48" spans="1:68" x14ac:dyDescent="0.25">
      <c r="A48" t="s">
        <v>70</v>
      </c>
      <c r="B48" t="s">
        <v>231</v>
      </c>
      <c r="C48" t="s">
        <v>369</v>
      </c>
      <c r="D48">
        <f>IF(F48 &gt; 2020, ((F48-2020)*4)+1610+H48,IF(F48 &gt; 1900, ((F48-1900)*10)+400+H48, ((F48-1730)*2)+H48))+VLOOKUP(I48,'ID Scheme'!$A$2:$B$7,2, FALSE)</f>
        <v>3201</v>
      </c>
      <c r="F48">
        <v>1920</v>
      </c>
      <c r="G48">
        <v>4</v>
      </c>
      <c r="H48">
        <v>1</v>
      </c>
      <c r="I48" t="s">
        <v>13</v>
      </c>
      <c r="J48">
        <v>18</v>
      </c>
      <c r="K48">
        <v>28</v>
      </c>
      <c r="L48">
        <v>20</v>
      </c>
      <c r="M48">
        <v>18</v>
      </c>
      <c r="N48">
        <v>5</v>
      </c>
      <c r="O48">
        <v>5</v>
      </c>
      <c r="P48">
        <v>80</v>
      </c>
      <c r="Q48">
        <v>20</v>
      </c>
      <c r="R48">
        <v>1</v>
      </c>
      <c r="S48" t="s">
        <v>299</v>
      </c>
      <c r="T48">
        <v>-4</v>
      </c>
      <c r="U48" s="2" t="s">
        <v>518</v>
      </c>
      <c r="V48" s="2"/>
      <c r="W48" s="2"/>
      <c r="X48" s="2"/>
      <c r="Y48" s="2"/>
      <c r="Z48" s="2"/>
      <c r="AA48" s="2"/>
      <c r="AB48" s="2"/>
      <c r="AC48" s="2" t="s">
        <v>371</v>
      </c>
      <c r="AD48" s="2"/>
      <c r="AG48">
        <v>8</v>
      </c>
      <c r="AL48" t="s">
        <v>429</v>
      </c>
      <c r="AO48" t="s">
        <v>433</v>
      </c>
      <c r="AP48" t="s">
        <v>424</v>
      </c>
      <c r="AQ48" t="s">
        <v>360</v>
      </c>
      <c r="AV48" s="2">
        <f>SQRT(J48*K48)*POWER((MIN(M48,20)+SQRT(MAX(M48-20,0))),0.9)*Data!$B$1</f>
        <v>22.69978721594271</v>
      </c>
      <c r="AW48" s="2">
        <f>POWER((J48*J48*K48), 0.33)*LOG10(P48)*10*Data!$B$1</f>
        <v>28.877699401096308</v>
      </c>
      <c r="AX48" s="2"/>
      <c r="AY48" s="2"/>
      <c r="AZ48" s="2">
        <f>IFERROR((SQRT($J48*$AG48)*POWER((MIN($M48,20)+SQRT(MAX($M48-20,0))),0.9)*Data!$B$1)*(1 - (R48-1)),AV48)</f>
        <v>12.133546644961246</v>
      </c>
      <c r="BA48" s="2">
        <f>IFERROR(((POWER(($J48*$J48*$AG48), 0.33)*LOG10($AE48)*10*Data!$B$1)*R48),AW48)</f>
        <v>28.877699401096308</v>
      </c>
      <c r="BB48" s="2">
        <f t="shared" si="14"/>
        <v>14.516129032258064</v>
      </c>
      <c r="BC48" s="2">
        <f t="shared" si="17"/>
        <v>0</v>
      </c>
      <c r="BD48" s="2">
        <f t="shared" si="18"/>
        <v>0</v>
      </c>
      <c r="BE48" s="2">
        <f t="shared" si="19"/>
        <v>0</v>
      </c>
      <c r="BF48" s="2">
        <v>2</v>
      </c>
      <c r="BG48" s="2">
        <f t="shared" si="15"/>
        <v>14</v>
      </c>
      <c r="BH48" s="2">
        <f t="shared" si="20"/>
        <v>4</v>
      </c>
      <c r="BI48" s="2">
        <f t="shared" si="16"/>
        <v>27</v>
      </c>
      <c r="BJ48" s="2">
        <f t="shared" si="7"/>
        <v>7</v>
      </c>
      <c r="BK48" s="3">
        <v>3.4</v>
      </c>
      <c r="BL48" s="3">
        <v>2</v>
      </c>
      <c r="BM48" s="3">
        <v>2.5</v>
      </c>
      <c r="BN48">
        <f t="shared" si="13"/>
        <v>7</v>
      </c>
      <c r="BO48" s="2" t="str">
        <f>CONCATENATE(
ROUND(BK48*VLOOKUP(I48,'ID Scheme'!$A$2:$E$7,3),0), "x",
ROUND(BL48*VLOOKUP(I48,'ID Scheme'!$A$2:$E$7,5),0), "x",
ROUND(BM48*VLOOKUP(I48,'ID Scheme'!$A$2:$E$7,4),0))</f>
        <v>32x29x24</v>
      </c>
    </row>
    <row r="49" spans="1:68" x14ac:dyDescent="0.25">
      <c r="A49" t="s">
        <v>60</v>
      </c>
      <c r="B49" t="s">
        <v>220</v>
      </c>
      <c r="C49" t="s">
        <v>339</v>
      </c>
      <c r="D49">
        <f>IF(F49 &gt; 2020, ((F49-2020)*4)+1610+H49,IF(F49 &gt; 1900, ((F49-1900)*10)+400+H49, ((F49-1730)*2)+H49))+VLOOKUP(I49,'ID Scheme'!$A$2:$B$7,2, FALSE)</f>
        <v>3281</v>
      </c>
      <c r="F49">
        <v>1928</v>
      </c>
      <c r="G49">
        <v>1</v>
      </c>
      <c r="H49">
        <v>1</v>
      </c>
      <c r="I49" t="s">
        <v>13</v>
      </c>
      <c r="J49">
        <v>37</v>
      </c>
      <c r="K49">
        <v>15</v>
      </c>
      <c r="L49">
        <v>20</v>
      </c>
      <c r="M49">
        <v>16</v>
      </c>
      <c r="N49">
        <v>5</v>
      </c>
      <c r="O49">
        <v>6</v>
      </c>
      <c r="P49">
        <v>100</v>
      </c>
      <c r="Q49">
        <v>20</v>
      </c>
      <c r="R49">
        <v>1.05</v>
      </c>
      <c r="S49" t="s">
        <v>298</v>
      </c>
      <c r="T49">
        <v>-3</v>
      </c>
      <c r="U49" s="2" t="s">
        <v>346</v>
      </c>
      <c r="V49" s="2" t="s">
        <v>343</v>
      </c>
      <c r="W49" s="2"/>
      <c r="X49" s="2"/>
      <c r="Y49" s="2"/>
      <c r="Z49" s="2"/>
      <c r="AA49" s="2"/>
      <c r="AB49" s="2"/>
      <c r="AC49" s="2"/>
      <c r="AD49" s="2"/>
      <c r="AG49">
        <v>6</v>
      </c>
      <c r="AQ49" t="s">
        <v>360</v>
      </c>
      <c r="AV49" s="2">
        <f>SQRT(J49*K49)*POWER((MIN(M49,20)+SQRT(MAX(M49-20,0))),0.9)*Data!$B$1</f>
        <v>21.424748835326287</v>
      </c>
      <c r="AW49" s="2">
        <f>POWER((J49*J49*K49), 0.33)*LOG10(P49)*10*Data!$B$1</f>
        <v>39.738778398992444</v>
      </c>
      <c r="AX49" s="2"/>
      <c r="AY49" s="2"/>
      <c r="AZ49" s="2">
        <f>IFERROR((SQRT($J49*$AG49)*POWER((MIN($M49,20)+SQRT(MAX($M49-20,0))),0.9)*Data!$B$1)*(1 - (R49-1)),AV49)</f>
        <v>12.872690877167454</v>
      </c>
      <c r="BA49" s="2">
        <f>IFERROR(((POWER(($J49*$J49*$AG49), 0.33)*LOG10($AE49)*10*Data!$B$1)*R49),AW49)</f>
        <v>39.738778398992444</v>
      </c>
      <c r="BB49" s="2">
        <f t="shared" si="14"/>
        <v>29.838709677419356</v>
      </c>
      <c r="BC49" s="2">
        <f t="shared" si="17"/>
        <v>0</v>
      </c>
      <c r="BD49" s="2">
        <f t="shared" si="18"/>
        <v>0</v>
      </c>
      <c r="BE49" s="2">
        <f t="shared" si="19"/>
        <v>0</v>
      </c>
      <c r="BF49" s="2">
        <v>1</v>
      </c>
      <c r="BG49" s="2">
        <f t="shared" si="15"/>
        <v>15</v>
      </c>
      <c r="BH49" s="2">
        <f t="shared" si="20"/>
        <v>6</v>
      </c>
      <c r="BI49" s="2">
        <f t="shared" si="16"/>
        <v>14</v>
      </c>
      <c r="BJ49" s="2">
        <f t="shared" si="7"/>
        <v>5</v>
      </c>
      <c r="BK49" s="3"/>
      <c r="BL49" s="3"/>
      <c r="BM49" s="3"/>
      <c r="BN49">
        <f t="shared" si="13"/>
        <v>8</v>
      </c>
      <c r="BO49" s="2" t="str">
        <f>CONCATENATE(
ROUND(BK49*VLOOKUP(I49,'ID Scheme'!$A$2:$E$7,3),0), "x",
ROUND(BL49*VLOOKUP(I49,'ID Scheme'!$A$2:$E$7,5),0), "x",
ROUND(BM49*VLOOKUP(I49,'ID Scheme'!$A$2:$E$7,4),0))</f>
        <v>0x0x0</v>
      </c>
    </row>
    <row r="50" spans="1:68" x14ac:dyDescent="0.25">
      <c r="A50" t="s">
        <v>61</v>
      </c>
      <c r="B50" t="s">
        <v>191</v>
      </c>
      <c r="C50" t="s">
        <v>339</v>
      </c>
      <c r="D50">
        <f>IF(F50 &gt; 2020, ((F50-2020)*4)+1610+H50,IF(F50 &gt; 1900, ((F50-1900)*10)+400+H50, ((F50-1730)*2)+H50))+VLOOKUP(I50,'ID Scheme'!$A$2:$B$7,2, FALSE)</f>
        <v>3351</v>
      </c>
      <c r="F50">
        <v>1935</v>
      </c>
      <c r="G50">
        <v>1</v>
      </c>
      <c r="H50">
        <v>1</v>
      </c>
      <c r="I50" t="s">
        <v>13</v>
      </c>
      <c r="J50">
        <v>35</v>
      </c>
      <c r="K50">
        <v>24</v>
      </c>
      <c r="L50">
        <v>25</v>
      </c>
      <c r="M50">
        <v>15</v>
      </c>
      <c r="N50">
        <v>5</v>
      </c>
      <c r="O50">
        <v>7</v>
      </c>
      <c r="P50">
        <v>110</v>
      </c>
      <c r="Q50">
        <v>20</v>
      </c>
      <c r="R50">
        <v>1</v>
      </c>
      <c r="S50" t="s">
        <v>299</v>
      </c>
      <c r="T50">
        <v>3</v>
      </c>
      <c r="U50" s="2" t="s">
        <v>347</v>
      </c>
      <c r="V50" s="2" t="s">
        <v>343</v>
      </c>
      <c r="W50" s="2"/>
      <c r="X50" s="2"/>
      <c r="Y50" s="2" t="s">
        <v>343</v>
      </c>
      <c r="Z50" s="2"/>
      <c r="AA50" s="2"/>
      <c r="AB50" s="2"/>
      <c r="AC50" s="2"/>
      <c r="AD50" s="2"/>
      <c r="AG50">
        <v>15</v>
      </c>
      <c r="AQ50" t="s">
        <v>360</v>
      </c>
      <c r="AV50" s="2">
        <f>SQRT(J50*K50)*POWER((MIN(M50,20)+SQRT(MAX(M50-20,0))),0.9)*Data!$B$1</f>
        <v>24.870415423233315</v>
      </c>
      <c r="AW50" s="2">
        <f>POWER((J50*J50*K50), 0.33)*LOG10(P50)*10*Data!$B$1</f>
        <v>45.660686493105153</v>
      </c>
      <c r="AX50" s="2"/>
      <c r="AY50" s="2"/>
      <c r="AZ50" s="2">
        <f>IFERROR((SQRT($J50*$AG50)*POWER((MIN($M50,20)+SQRT(MAX($M50-20,0))),0.9)*Data!$B$1)*(1 - (R50-1)),AV50)</f>
        <v>19.661789772999459</v>
      </c>
      <c r="BA50" s="2">
        <f>IFERROR(((POWER(($J50*$J50*$AG50), 0.33)*LOG10($AE50)*10*Data!$B$1)*R50),AW50)</f>
        <v>45.660686493105153</v>
      </c>
      <c r="BB50" s="2">
        <f t="shared" si="14"/>
        <v>28.225806451612904</v>
      </c>
      <c r="BC50" s="2">
        <f t="shared" si="17"/>
        <v>0</v>
      </c>
      <c r="BD50" s="2">
        <f t="shared" si="18"/>
        <v>0</v>
      </c>
      <c r="BE50" s="2">
        <f t="shared" si="19"/>
        <v>0</v>
      </c>
      <c r="BF50" s="2">
        <v>1</v>
      </c>
      <c r="BG50" s="2">
        <f t="shared" si="15"/>
        <v>24</v>
      </c>
      <c r="BH50" s="2">
        <f t="shared" si="20"/>
        <v>15</v>
      </c>
      <c r="BI50" s="2">
        <f t="shared" si="16"/>
        <v>23</v>
      </c>
      <c r="BJ50" s="2">
        <f t="shared" si="7"/>
        <v>14</v>
      </c>
      <c r="BK50" s="3"/>
      <c r="BL50" s="3"/>
      <c r="BM50" s="3"/>
      <c r="BN50">
        <f t="shared" si="13"/>
        <v>7</v>
      </c>
      <c r="BO50" s="2" t="str">
        <f>CONCATENATE(
ROUND(BK50*VLOOKUP(I50,'ID Scheme'!$A$2:$E$7,3),0), "x",
ROUND(BL50*VLOOKUP(I50,'ID Scheme'!$A$2:$E$7,5),0), "x",
ROUND(BM50*VLOOKUP(I50,'ID Scheme'!$A$2:$E$7,4),0))</f>
        <v>0x0x0</v>
      </c>
    </row>
    <row r="51" spans="1:68" x14ac:dyDescent="0.25">
      <c r="A51" t="s">
        <v>0</v>
      </c>
      <c r="B51" t="s">
        <v>208</v>
      </c>
      <c r="C51" t="s">
        <v>339</v>
      </c>
      <c r="D51">
        <f>IF(F51 &gt; 2020, ((F51-2020)*4)+1610+H51,IF(F51 &gt; 1900, ((F51-1900)*10)+400+H51, ((F51-1730)*2)+H51))+VLOOKUP(I51,'ID Scheme'!$A$2:$B$7,2, FALSE)</f>
        <v>3361</v>
      </c>
      <c r="F51">
        <v>1936</v>
      </c>
      <c r="G51">
        <v>1</v>
      </c>
      <c r="H51">
        <v>1</v>
      </c>
      <c r="I51" t="s">
        <v>13</v>
      </c>
      <c r="J51">
        <v>30</v>
      </c>
      <c r="K51">
        <v>20</v>
      </c>
      <c r="L51">
        <v>20</v>
      </c>
      <c r="M51">
        <v>15</v>
      </c>
      <c r="N51">
        <v>5</v>
      </c>
      <c r="O51">
        <v>5.5</v>
      </c>
      <c r="P51">
        <v>70</v>
      </c>
      <c r="Q51">
        <v>20</v>
      </c>
      <c r="R51">
        <v>1</v>
      </c>
      <c r="S51" t="s">
        <v>299</v>
      </c>
      <c r="T51">
        <v>2</v>
      </c>
      <c r="U51" s="2" t="s">
        <v>348</v>
      </c>
      <c r="V51" s="2" t="s">
        <v>343</v>
      </c>
      <c r="W51" s="2"/>
      <c r="X51" s="2"/>
      <c r="Y51" s="2"/>
      <c r="Z51" s="2"/>
      <c r="AA51" s="2" t="s">
        <v>343</v>
      </c>
      <c r="AB51" s="2"/>
      <c r="AC51" s="2"/>
      <c r="AD51" s="2"/>
      <c r="AG51">
        <v>12</v>
      </c>
      <c r="AQ51" t="s">
        <v>360</v>
      </c>
      <c r="AV51" s="2">
        <f>SQRT(J51*K51)*POWER((MIN(M51,20)+SQRT(MAX(M51-20,0))),0.9)*Data!$B$1</f>
        <v>21.01933741181136</v>
      </c>
      <c r="AW51" s="2">
        <f>POWER((J51*J51*K51), 0.33)*LOG10(P51)*10*Data!$B$1</f>
        <v>35.101092804477837</v>
      </c>
      <c r="AX51" s="2"/>
      <c r="AY51" s="2"/>
      <c r="AZ51" s="2">
        <f>IFERROR((SQRT($J51*$AG51)*POWER((MIN($M51,20)+SQRT(MAX($M51-20,0))),0.9)*Data!$B$1)*(1 - (R51-1)),AV51)</f>
        <v>16.28150874885198</v>
      </c>
      <c r="BA51" s="2">
        <f>IFERROR(((POWER(($J51*$J51*$AG51), 0.33)*LOG10($AE51)*10*Data!$B$1)*R51),AW51)</f>
        <v>35.101092804477837</v>
      </c>
      <c r="BB51" s="2">
        <f t="shared" si="14"/>
        <v>24.193548387096776</v>
      </c>
      <c r="BC51" s="2">
        <f t="shared" si="17"/>
        <v>0</v>
      </c>
      <c r="BD51" s="2">
        <f t="shared" si="18"/>
        <v>0</v>
      </c>
      <c r="BE51" s="2">
        <f t="shared" si="19"/>
        <v>0</v>
      </c>
      <c r="BF51" s="2">
        <v>1</v>
      </c>
      <c r="BG51" s="2">
        <f t="shared" si="15"/>
        <v>20</v>
      </c>
      <c r="BH51" s="2">
        <f t="shared" si="20"/>
        <v>12</v>
      </c>
      <c r="BI51" s="2">
        <f t="shared" si="16"/>
        <v>19</v>
      </c>
      <c r="BJ51" s="2">
        <f t="shared" si="7"/>
        <v>11</v>
      </c>
      <c r="BK51" s="3"/>
      <c r="BL51" s="3"/>
      <c r="BM51" s="3"/>
      <c r="BN51">
        <f t="shared" si="13"/>
        <v>1</v>
      </c>
      <c r="BO51" s="2" t="str">
        <f>CONCATENATE(
ROUND(BK51*VLOOKUP(I51,'ID Scheme'!$A$2:$E$7,3),0), "x",
ROUND(BL51*VLOOKUP(I51,'ID Scheme'!$A$2:$E$7,5),0), "x",
ROUND(BM51*VLOOKUP(I51,'ID Scheme'!$A$2:$E$7,4),0))</f>
        <v>0x0x0</v>
      </c>
    </row>
    <row r="52" spans="1:68" x14ac:dyDescent="0.25">
      <c r="A52" t="s">
        <v>72</v>
      </c>
      <c r="B52" t="s">
        <v>219</v>
      </c>
      <c r="C52" t="s">
        <v>477</v>
      </c>
      <c r="D52">
        <f>IF(F52 &gt; 2020, ((F52-2020)*4)+1610+H52,IF(F52 &gt; 1900, ((F52-1900)*10)+400+H52, ((F52-1730)*2)+H52))+VLOOKUP(I52,'ID Scheme'!$A$2:$B$7,2, FALSE)</f>
        <v>3481</v>
      </c>
      <c r="F52">
        <v>1948</v>
      </c>
      <c r="G52">
        <v>1</v>
      </c>
      <c r="H52">
        <v>1</v>
      </c>
      <c r="I52" t="s">
        <v>13</v>
      </c>
      <c r="J52">
        <v>43</v>
      </c>
      <c r="K52">
        <v>10</v>
      </c>
      <c r="L52">
        <v>20</v>
      </c>
      <c r="M52">
        <v>25</v>
      </c>
      <c r="N52">
        <v>5</v>
      </c>
      <c r="O52">
        <v>1.5</v>
      </c>
      <c r="P52">
        <v>35</v>
      </c>
      <c r="Q52">
        <v>20</v>
      </c>
      <c r="R52">
        <v>1</v>
      </c>
      <c r="S52" t="s">
        <v>299</v>
      </c>
      <c r="T52">
        <v>-4</v>
      </c>
      <c r="U52" s="2" t="s">
        <v>476</v>
      </c>
      <c r="V52" s="2"/>
      <c r="W52" s="2"/>
      <c r="X52" s="2"/>
      <c r="Y52" s="2"/>
      <c r="Z52" s="2"/>
      <c r="AA52" s="2"/>
      <c r="AB52" s="2"/>
      <c r="AC52" t="s">
        <v>481</v>
      </c>
      <c r="AD52" s="2"/>
      <c r="AG52">
        <v>4</v>
      </c>
      <c r="AH52">
        <v>10</v>
      </c>
      <c r="AL52">
        <v>1</v>
      </c>
      <c r="AO52" t="s">
        <v>433</v>
      </c>
      <c r="AP52" t="s">
        <v>478</v>
      </c>
      <c r="AQ52" t="s">
        <v>360</v>
      </c>
      <c r="AV52" s="2">
        <f>SQRT(J52*K52)*POWER((MIN(M52,20)+SQRT(MAX(M52-20,0))),0.9)*Data!$B$1</f>
        <v>25.359908655720094</v>
      </c>
      <c r="AW52" s="2">
        <f>POWER((J52*J52*K52), 0.33)*LOG10(P52)*10*Data!$B$1</f>
        <v>29.635815274828715</v>
      </c>
      <c r="AX52" s="2"/>
      <c r="AY52" s="2"/>
      <c r="AZ52" s="2">
        <f>IFERROR((SQRT($J52*$AG52)*POWER((MIN($M52,20)+SQRT(MAX($M52-20,0))),0.9)*Data!$B$1)*(1 - (R52-1)),AV52)</f>
        <v>16.039014521178874</v>
      </c>
      <c r="BA52" s="2">
        <f>IFERROR(((POWER(($J52*$J52*$AG52), 0.33)*LOG10($AE52)*10*Data!$B$1)*R52),AW52)</f>
        <v>29.635815274828715</v>
      </c>
      <c r="BB52" s="2">
        <f t="shared" si="14"/>
        <v>34.677419354838712</v>
      </c>
      <c r="BC52" s="2">
        <f t="shared" si="17"/>
        <v>0</v>
      </c>
      <c r="BD52" s="2">
        <f t="shared" si="18"/>
        <v>0</v>
      </c>
      <c r="BE52" s="2">
        <f t="shared" si="19"/>
        <v>0</v>
      </c>
      <c r="BF52" s="2">
        <v>2</v>
      </c>
      <c r="BG52" s="2">
        <f t="shared" si="15"/>
        <v>5</v>
      </c>
      <c r="BH52" s="2">
        <f t="shared" si="20"/>
        <v>2</v>
      </c>
      <c r="BI52" s="2">
        <f t="shared" si="16"/>
        <v>9</v>
      </c>
      <c r="BJ52" s="2">
        <f t="shared" si="7"/>
        <v>3</v>
      </c>
      <c r="BM52" s="3"/>
      <c r="BN52">
        <f t="shared" si="13"/>
        <v>12</v>
      </c>
      <c r="BO52" s="2" t="str">
        <f>CONCATENATE(
ROUND(BK52*VLOOKUP(I52,'ID Scheme'!$A$2:$E$7,3),0), "x",
ROUND(BL52*VLOOKUP(I52,'ID Scheme'!$A$2:$E$7,5),0), "x",
ROUND(BM52*VLOOKUP(I52,'ID Scheme'!$A$2:$E$7,4),0))</f>
        <v>0x0x0</v>
      </c>
    </row>
    <row r="53" spans="1:68" x14ac:dyDescent="0.25">
      <c r="A53" t="s">
        <v>1</v>
      </c>
      <c r="B53" t="s">
        <v>210</v>
      </c>
      <c r="C53" t="s">
        <v>339</v>
      </c>
      <c r="D53">
        <f>IF(F53 &gt; 2020, ((F53-2020)*4)+1610+H53,IF(F53 &gt; 1900, ((F53-1900)*10)+400+H53, ((F53-1730)*2)+H53))+VLOOKUP(I53,'ID Scheme'!$A$2:$B$7,2, FALSE)</f>
        <v>3521</v>
      </c>
      <c r="F53">
        <v>1952</v>
      </c>
      <c r="G53">
        <v>1</v>
      </c>
      <c r="H53">
        <v>1</v>
      </c>
      <c r="I53" t="s">
        <v>13</v>
      </c>
      <c r="J53">
        <v>38</v>
      </c>
      <c r="K53">
        <v>25</v>
      </c>
      <c r="L53">
        <v>25</v>
      </c>
      <c r="M53">
        <v>15</v>
      </c>
      <c r="N53">
        <v>5</v>
      </c>
      <c r="O53">
        <v>7.5</v>
      </c>
      <c r="P53">
        <v>100</v>
      </c>
      <c r="Q53">
        <v>20</v>
      </c>
      <c r="R53">
        <v>1</v>
      </c>
      <c r="S53" t="s">
        <v>299</v>
      </c>
      <c r="T53">
        <v>3</v>
      </c>
      <c r="U53" s="2" t="s">
        <v>349</v>
      </c>
      <c r="V53" s="2" t="s">
        <v>343</v>
      </c>
      <c r="W53" s="2"/>
      <c r="X53" s="2"/>
      <c r="Y53" s="2" t="s">
        <v>343</v>
      </c>
      <c r="Z53" s="2"/>
      <c r="AA53" s="2"/>
      <c r="AB53" s="2"/>
      <c r="AC53" s="2"/>
      <c r="AD53" s="2"/>
      <c r="AG53">
        <v>18</v>
      </c>
      <c r="AQ53" t="s">
        <v>360</v>
      </c>
      <c r="AV53" s="2">
        <f>SQRT(J53*K53)*POWER((MIN(M53,20)+SQRT(MAX(M53-20,0))),0.9)*Data!$B$1</f>
        <v>26.448752899711359</v>
      </c>
      <c r="AW53" s="2">
        <f>POWER((J53*J53*K53), 0.33)*LOG10(P53)*10*Data!$B$1</f>
        <v>47.870574076263431</v>
      </c>
      <c r="AX53" s="2"/>
      <c r="AY53" s="2"/>
      <c r="AZ53" s="2">
        <f>IFERROR((SQRT($J53*$AG53)*POWER((MIN($M53,20)+SQRT(MAX($M53-20,0))),0.9)*Data!$B$1)*(1 - (R53-1)),AV53)</f>
        <v>22.442511035175919</v>
      </c>
      <c r="BA53" s="2">
        <f>IFERROR(((POWER(($J53*$J53*$AG53), 0.33)*LOG10($AE53)*10*Data!$B$1)*R53),AW53)</f>
        <v>47.870574076263431</v>
      </c>
      <c r="BB53" s="2">
        <f t="shared" si="14"/>
        <v>30.64516129032258</v>
      </c>
      <c r="BC53" s="2">
        <f t="shared" si="17"/>
        <v>0</v>
      </c>
      <c r="BD53" s="2">
        <f t="shared" si="18"/>
        <v>0</v>
      </c>
      <c r="BE53" s="2">
        <f t="shared" si="19"/>
        <v>0</v>
      </c>
      <c r="BF53" s="2">
        <v>1</v>
      </c>
      <c r="BG53" s="2">
        <f t="shared" si="15"/>
        <v>25</v>
      </c>
      <c r="BH53" s="2">
        <f t="shared" si="20"/>
        <v>18</v>
      </c>
      <c r="BI53" s="2">
        <f t="shared" si="16"/>
        <v>24</v>
      </c>
      <c r="BJ53" s="2">
        <f t="shared" si="7"/>
        <v>17</v>
      </c>
      <c r="BK53" s="3"/>
      <c r="BL53" s="3"/>
      <c r="BM53" s="3"/>
      <c r="BN53">
        <f t="shared" si="13"/>
        <v>4</v>
      </c>
      <c r="BO53" s="2" t="str">
        <f>CONCATENATE(
ROUND(BK53*VLOOKUP(I53,'ID Scheme'!$A$2:$E$7,3),0), "x",
ROUND(BL53*VLOOKUP(I53,'ID Scheme'!$A$2:$E$7,5),0), "x",
ROUND(BM53*VLOOKUP(I53,'ID Scheme'!$A$2:$E$7,4),0))</f>
        <v>0x0x0</v>
      </c>
    </row>
    <row r="54" spans="1:68" x14ac:dyDescent="0.25">
      <c r="A54" t="s">
        <v>4</v>
      </c>
      <c r="B54" t="s">
        <v>200</v>
      </c>
      <c r="C54" t="s">
        <v>339</v>
      </c>
      <c r="D54">
        <f>IF(F54 &gt; 2020, ((F54-2020)*4)+1610+H54,IF(F54 &gt; 1900, ((F54-1900)*10)+400+H54, ((F54-1730)*2)+H54))+VLOOKUP(I54,'ID Scheme'!$A$2:$B$7,2, FALSE)</f>
        <v>3571</v>
      </c>
      <c r="F54">
        <v>1957</v>
      </c>
      <c r="G54">
        <v>1</v>
      </c>
      <c r="H54">
        <v>1</v>
      </c>
      <c r="I54" t="s">
        <v>13</v>
      </c>
      <c r="J54">
        <v>44</v>
      </c>
      <c r="K54">
        <v>21</v>
      </c>
      <c r="L54">
        <v>20</v>
      </c>
      <c r="M54">
        <v>15</v>
      </c>
      <c r="N54">
        <v>5</v>
      </c>
      <c r="O54">
        <v>6.5</v>
      </c>
      <c r="P54">
        <v>110</v>
      </c>
      <c r="Q54">
        <v>20</v>
      </c>
      <c r="R54">
        <v>1</v>
      </c>
      <c r="S54" t="s">
        <v>299</v>
      </c>
      <c r="T54">
        <v>2</v>
      </c>
      <c r="U54" s="2" t="s">
        <v>350</v>
      </c>
      <c r="V54" s="2" t="s">
        <v>343</v>
      </c>
      <c r="W54" s="2" t="s">
        <v>343</v>
      </c>
      <c r="X54" s="2"/>
      <c r="Y54" s="2" t="s">
        <v>343</v>
      </c>
      <c r="Z54" s="2"/>
      <c r="AA54" s="2"/>
      <c r="AB54" s="2"/>
      <c r="AC54" s="2"/>
      <c r="AD54" s="2"/>
      <c r="AG54">
        <v>16</v>
      </c>
      <c r="AQ54" t="s">
        <v>360</v>
      </c>
      <c r="AV54" s="2">
        <f>SQRT(J54*K54)*POWER((MIN(M54,20)+SQRT(MAX(M54-20,0))),0.9)*Data!$B$1</f>
        <v>26.084311753554509</v>
      </c>
      <c r="AW54" s="2">
        <f>POWER((J54*J54*K54), 0.33)*LOG10(P54)*10*Data!$B$1</f>
        <v>50.815821559497905</v>
      </c>
      <c r="AX54" s="2"/>
      <c r="AY54" s="2"/>
      <c r="AZ54" s="2">
        <f>IFERROR((SQRT($J54*$AG54)*POWER((MIN($M54,20)+SQRT(MAX($M54-20,0))),0.9)*Data!$B$1)*(1 - (R54-1)),AV54)</f>
        <v>22.768253916474254</v>
      </c>
      <c r="BA54" s="2">
        <f>IFERROR(((POWER(($J54*$J54*$AG54), 0.33)*LOG10($AE54)*10*Data!$B$1)*R54),AW54)</f>
        <v>50.815821559497905</v>
      </c>
      <c r="BB54" s="2">
        <f t="shared" si="14"/>
        <v>35.483870967741936</v>
      </c>
      <c r="BC54" s="2">
        <f t="shared" si="17"/>
        <v>0</v>
      </c>
      <c r="BD54" s="2">
        <f t="shared" si="18"/>
        <v>0</v>
      </c>
      <c r="BE54" s="2">
        <f t="shared" si="19"/>
        <v>0</v>
      </c>
      <c r="BF54" s="2">
        <v>1</v>
      </c>
      <c r="BG54" s="2">
        <f t="shared" si="15"/>
        <v>21</v>
      </c>
      <c r="BH54" s="2">
        <f t="shared" si="20"/>
        <v>16</v>
      </c>
      <c r="BI54" s="2">
        <f t="shared" si="16"/>
        <v>20</v>
      </c>
      <c r="BJ54" s="2">
        <f t="shared" si="7"/>
        <v>15</v>
      </c>
      <c r="BK54" s="3"/>
      <c r="BL54" s="3"/>
      <c r="BM54" s="3"/>
      <c r="BN54">
        <f t="shared" si="13"/>
        <v>5</v>
      </c>
      <c r="BO54" s="2" t="str">
        <f>CONCATENATE(
ROUND(BK54*VLOOKUP(I54,'ID Scheme'!$A$2:$E$7,3),0), "x",
ROUND(BL54*VLOOKUP(I54,'ID Scheme'!$A$2:$E$7,5),0), "x",
ROUND(BM54*VLOOKUP(I54,'ID Scheme'!$A$2:$E$7,4),0))</f>
        <v>0x0x0</v>
      </c>
    </row>
    <row r="55" spans="1:68" x14ac:dyDescent="0.25">
      <c r="A55" t="s">
        <v>74</v>
      </c>
      <c r="B55" t="s">
        <v>193</v>
      </c>
      <c r="C55" t="s">
        <v>339</v>
      </c>
      <c r="D55">
        <f>IF(F55 &gt; 2020, ((F55-2020)*4)+1610+H55,IF(F55 &gt; 1900, ((F55-1900)*10)+400+H55, ((F55-1730)*2)+H55))+VLOOKUP(I55,'ID Scheme'!$A$2:$B$7,2, FALSE)</f>
        <v>3591</v>
      </c>
      <c r="F55">
        <v>1959</v>
      </c>
      <c r="G55">
        <v>1</v>
      </c>
      <c r="H55">
        <v>1</v>
      </c>
      <c r="I55" t="s">
        <v>13</v>
      </c>
      <c r="J55">
        <v>58</v>
      </c>
      <c r="K55">
        <v>16</v>
      </c>
      <c r="L55">
        <v>30</v>
      </c>
      <c r="M55">
        <v>20</v>
      </c>
      <c r="N55">
        <v>5</v>
      </c>
      <c r="O55">
        <v>3</v>
      </c>
      <c r="P55">
        <v>72</v>
      </c>
      <c r="Q55">
        <v>20</v>
      </c>
      <c r="R55">
        <v>1</v>
      </c>
      <c r="S55" t="s">
        <v>299</v>
      </c>
      <c r="T55">
        <v>0</v>
      </c>
      <c r="U55" s="2" t="s">
        <v>351</v>
      </c>
      <c r="V55" s="2" t="s">
        <v>343</v>
      </c>
      <c r="W55" s="2" t="s">
        <v>343</v>
      </c>
      <c r="X55" s="2"/>
      <c r="Y55" s="2" t="s">
        <v>343</v>
      </c>
      <c r="Z55" s="2"/>
      <c r="AA55" s="2"/>
      <c r="AB55" s="2"/>
      <c r="AC55" s="2"/>
      <c r="AD55" s="2"/>
      <c r="AG55">
        <v>4</v>
      </c>
      <c r="AQ55" t="s">
        <v>360</v>
      </c>
      <c r="AV55" s="2">
        <f>SQRT(J55*K55)*POWER((MIN(M55,20)+SQRT(MAX(M55-20,0))),0.9)*Data!$B$1</f>
        <v>33.865870832027731</v>
      </c>
      <c r="AW55" s="2">
        <f>POWER((J55*J55*K55), 0.33)*LOG10(P55)*10*Data!$B$1</f>
        <v>50.719269605559212</v>
      </c>
      <c r="AX55" s="2"/>
      <c r="AY55" s="2"/>
      <c r="AZ55" s="2">
        <f>IFERROR((SQRT($J55*$AG55)*POWER((MIN($M55,20)+SQRT(MAX($M55-20,0))),0.9)*Data!$B$1)*(1 - (R55-1)),AV55)</f>
        <v>16.932935416013866</v>
      </c>
      <c r="BA55" s="2">
        <f>IFERROR(((POWER(($J55*$J55*$AG55), 0.33)*LOG10($AE55)*10*Data!$B$1)*R55),AW55)</f>
        <v>50.719269605559212</v>
      </c>
      <c r="BB55" s="2">
        <f t="shared" si="14"/>
        <v>46.774193548387096</v>
      </c>
      <c r="BC55" s="2">
        <f t="shared" si="17"/>
        <v>0</v>
      </c>
      <c r="BD55" s="2">
        <f t="shared" si="18"/>
        <v>0</v>
      </c>
      <c r="BE55" s="2">
        <f t="shared" si="19"/>
        <v>0</v>
      </c>
      <c r="BF55" s="2">
        <v>1</v>
      </c>
      <c r="BG55" s="2">
        <f t="shared" si="15"/>
        <v>16</v>
      </c>
      <c r="BH55" s="2">
        <f t="shared" si="20"/>
        <v>4</v>
      </c>
      <c r="BI55" s="2">
        <f t="shared" si="16"/>
        <v>15</v>
      </c>
      <c r="BJ55" s="2">
        <f t="shared" si="7"/>
        <v>3</v>
      </c>
      <c r="BK55" s="3">
        <v>6.2</v>
      </c>
      <c r="BL55" s="3">
        <v>2.2000000000000002</v>
      </c>
      <c r="BM55" s="3">
        <v>2.6</v>
      </c>
      <c r="BN55">
        <f t="shared" si="13"/>
        <v>2</v>
      </c>
      <c r="BO55" s="2" t="str">
        <f>CONCATENATE(
ROUND(BK55*VLOOKUP(I55,'ID Scheme'!$A$2:$E$7,3),0), "x",
ROUND(BL55*VLOOKUP(I55,'ID Scheme'!$A$2:$E$7,5),0), "x",
ROUND(BM55*VLOOKUP(I55,'ID Scheme'!$A$2:$E$7,4),0))</f>
        <v>58x32x25</v>
      </c>
      <c r="BP55" t="s">
        <v>81</v>
      </c>
    </row>
    <row r="56" spans="1:68" x14ac:dyDescent="0.25">
      <c r="A56" t="s">
        <v>3</v>
      </c>
      <c r="B56" t="s">
        <v>201</v>
      </c>
      <c r="C56" t="s">
        <v>339</v>
      </c>
      <c r="D56">
        <f>IF(F56 &gt; 2020, ((F56-2020)*4)+1610+H56,IF(F56 &gt; 1900, ((F56-1900)*10)+400+H56, ((F56-1730)*2)+H56))+VLOOKUP(I56,'ID Scheme'!$A$2:$B$7,2, FALSE)</f>
        <v>3631</v>
      </c>
      <c r="F56">
        <v>1963</v>
      </c>
      <c r="G56">
        <v>1</v>
      </c>
      <c r="H56">
        <v>1</v>
      </c>
      <c r="I56" t="s">
        <v>13</v>
      </c>
      <c r="J56">
        <v>48</v>
      </c>
      <c r="K56">
        <v>24</v>
      </c>
      <c r="L56">
        <v>20</v>
      </c>
      <c r="M56">
        <v>16</v>
      </c>
      <c r="N56">
        <v>5</v>
      </c>
      <c r="O56">
        <v>7</v>
      </c>
      <c r="P56">
        <v>120</v>
      </c>
      <c r="Q56">
        <v>20</v>
      </c>
      <c r="R56">
        <v>1</v>
      </c>
      <c r="S56" t="s">
        <v>299</v>
      </c>
      <c r="T56">
        <v>3</v>
      </c>
      <c r="U56" s="2" t="s">
        <v>352</v>
      </c>
      <c r="V56" s="2" t="s">
        <v>343</v>
      </c>
      <c r="W56" s="2" t="s">
        <v>343</v>
      </c>
      <c r="X56" s="2"/>
      <c r="Y56" s="2" t="s">
        <v>343</v>
      </c>
      <c r="Z56" s="2"/>
      <c r="AA56" s="2"/>
      <c r="AB56" s="2"/>
      <c r="AC56" s="2"/>
      <c r="AD56" s="2"/>
      <c r="AG56">
        <v>18</v>
      </c>
      <c r="AQ56" t="s">
        <v>360</v>
      </c>
      <c r="AV56" s="2">
        <f>SQRT(J56*K56)*POWER((MIN(M56,20)+SQRT(MAX(M56-20,0))),0.9)*Data!$B$1</f>
        <v>30.867075721045236</v>
      </c>
      <c r="AW56" s="2">
        <f>POWER((J56*J56*K56), 0.33)*LOG10(P56)*10*Data!$B$1</f>
        <v>57.285213898505866</v>
      </c>
      <c r="AX56" s="2"/>
      <c r="AY56" s="2"/>
      <c r="AZ56" s="2">
        <f>IFERROR((SQRT($J56*$AG56)*POWER((MIN($M56,20)+SQRT(MAX($M56-20,0))),0.9)*Data!$B$1)*(1 - (R56-1)),AV56)</f>
        <v>26.731671714963046</v>
      </c>
      <c r="BA56" s="2">
        <f>IFERROR(((POWER(($J56*$J56*$AG56), 0.33)*LOG10($AE56)*10*Data!$B$1)*R56),AW56)</f>
        <v>57.285213898505866</v>
      </c>
      <c r="BB56" s="2">
        <f t="shared" si="14"/>
        <v>38.70967741935484</v>
      </c>
      <c r="BC56" s="2">
        <f t="shared" si="17"/>
        <v>0</v>
      </c>
      <c r="BD56" s="2">
        <f t="shared" si="18"/>
        <v>0</v>
      </c>
      <c r="BE56" s="2">
        <f t="shared" si="19"/>
        <v>0</v>
      </c>
      <c r="BF56" s="2">
        <v>1</v>
      </c>
      <c r="BG56" s="2">
        <f t="shared" si="15"/>
        <v>24</v>
      </c>
      <c r="BH56" s="2">
        <f t="shared" si="20"/>
        <v>18</v>
      </c>
      <c r="BI56" s="2">
        <f t="shared" si="16"/>
        <v>23</v>
      </c>
      <c r="BJ56" s="2">
        <f t="shared" si="7"/>
        <v>17</v>
      </c>
      <c r="BK56" s="3"/>
      <c r="BL56" s="3"/>
      <c r="BM56" s="3"/>
      <c r="BN56">
        <f t="shared" si="13"/>
        <v>4</v>
      </c>
      <c r="BO56" s="2" t="str">
        <f>CONCATENATE(
ROUND(BK56*VLOOKUP(I56,'ID Scheme'!$A$2:$E$7,3),0), "x",
ROUND(BL56*VLOOKUP(I56,'ID Scheme'!$A$2:$E$7,5),0), "x",
ROUND(BM56*VLOOKUP(I56,'ID Scheme'!$A$2:$E$7,4),0))</f>
        <v>0x0x0</v>
      </c>
    </row>
    <row r="57" spans="1:68" x14ac:dyDescent="0.25">
      <c r="A57" t="s">
        <v>19</v>
      </c>
      <c r="B57" t="s">
        <v>227</v>
      </c>
      <c r="C57" t="s">
        <v>369</v>
      </c>
      <c r="D57">
        <f>IF(F57 &gt; 2020, ((F57-2020)*4)+1610+H57,IF(F57 &gt; 1900, ((F57-1900)*10)+400+H57, ((F57-1730)*2)+H57))+VLOOKUP(I57,'ID Scheme'!$A$2:$B$7,2, FALSE)</f>
        <v>3641</v>
      </c>
      <c r="F57">
        <v>1964</v>
      </c>
      <c r="G57">
        <v>9</v>
      </c>
      <c r="H57">
        <v>1</v>
      </c>
      <c r="I57" t="s">
        <v>13</v>
      </c>
      <c r="J57">
        <v>57</v>
      </c>
      <c r="K57">
        <v>36</v>
      </c>
      <c r="L57">
        <v>20</v>
      </c>
      <c r="M57">
        <v>15</v>
      </c>
      <c r="N57">
        <v>5</v>
      </c>
      <c r="O57">
        <v>9.5</v>
      </c>
      <c r="P57">
        <v>192</v>
      </c>
      <c r="Q57">
        <v>20</v>
      </c>
      <c r="R57">
        <v>1</v>
      </c>
      <c r="S57" t="s">
        <v>299</v>
      </c>
      <c r="T57">
        <v>-4</v>
      </c>
      <c r="U57" s="2" t="s">
        <v>354</v>
      </c>
      <c r="V57" s="2"/>
      <c r="W57" s="2" t="s">
        <v>343</v>
      </c>
      <c r="X57" s="2"/>
      <c r="Y57" s="2" t="s">
        <v>343</v>
      </c>
      <c r="Z57" s="2"/>
      <c r="AA57" s="2"/>
      <c r="AB57" s="2"/>
      <c r="AC57" s="2" t="s">
        <v>373</v>
      </c>
      <c r="AD57" s="2"/>
      <c r="AG57">
        <v>30</v>
      </c>
      <c r="AI57">
        <v>56</v>
      </c>
      <c r="AL57">
        <v>1</v>
      </c>
      <c r="AO57" t="s">
        <v>433</v>
      </c>
      <c r="AP57" t="s">
        <v>424</v>
      </c>
      <c r="AQ57" t="s">
        <v>360</v>
      </c>
      <c r="AV57" s="2">
        <f>SQRT(J57*K57)*POWER((MIN(M57,20)+SQRT(MAX(M57-20,0))),0.9)*Data!$B$1</f>
        <v>38.871569362349888</v>
      </c>
      <c r="AW57" s="2">
        <f>POWER((J57*J57*K57), 0.33)*LOG10(P57)*10*Data!$B$1</f>
        <v>80.552997117621018</v>
      </c>
      <c r="AX57" s="2"/>
      <c r="AY57" s="2"/>
      <c r="AZ57" s="2">
        <f>IFERROR((SQRT($J57*$AG57)*POWER((MIN($M57,20)+SQRT(MAX($M57-20,0))),0.9)*Data!$B$1)*(1 - (R57-1)),AV57)</f>
        <v>35.484725642309563</v>
      </c>
      <c r="BA57" s="2">
        <f>IFERROR(((POWER(($J57*$J57*$AG57), 0.33)*LOG10($AE57)*10*Data!$B$1)*R57),AW57)</f>
        <v>80.552997117621018</v>
      </c>
      <c r="BB57" s="2">
        <f t="shared" si="14"/>
        <v>45.967741935483872</v>
      </c>
      <c r="BC57" s="2">
        <f t="shared" si="17"/>
        <v>0</v>
      </c>
      <c r="BD57" s="2">
        <f t="shared" si="18"/>
        <v>45.161290322580648</v>
      </c>
      <c r="BE57" s="2">
        <f t="shared" si="19"/>
        <v>0</v>
      </c>
      <c r="BF57" s="2">
        <v>2</v>
      </c>
      <c r="BG57" s="2">
        <f t="shared" si="15"/>
        <v>18</v>
      </c>
      <c r="BH57" s="2">
        <f t="shared" si="20"/>
        <v>15</v>
      </c>
      <c r="BI57" s="2">
        <f t="shared" si="16"/>
        <v>35</v>
      </c>
      <c r="BJ57" s="2">
        <f t="shared" si="7"/>
        <v>29</v>
      </c>
      <c r="BK57" s="3"/>
      <c r="BL57" s="3"/>
      <c r="BM57" s="3"/>
      <c r="BN57">
        <f t="shared" si="13"/>
        <v>1</v>
      </c>
      <c r="BO57" s="2" t="str">
        <f>CONCATENATE(
ROUND(BK57*VLOOKUP(I57,'ID Scheme'!$A$2:$E$7,3),0), "x",
ROUND(BL57*VLOOKUP(I57,'ID Scheme'!$A$2:$E$7,5),0), "x",
ROUND(BM57*VLOOKUP(I57,'ID Scheme'!$A$2:$E$7,4),0))</f>
        <v>0x0x0</v>
      </c>
    </row>
    <row r="58" spans="1:68" x14ac:dyDescent="0.25">
      <c r="A58" t="s">
        <v>20</v>
      </c>
      <c r="B58" t="s">
        <v>228</v>
      </c>
      <c r="C58" t="s">
        <v>339</v>
      </c>
      <c r="D58">
        <f>IF(F58 &gt; 2020, ((F58-2020)*4)+1610+H58,IF(F58 &gt; 1900, ((F58-1900)*10)+400+H58, ((F58-1730)*2)+H58))+VLOOKUP(I58,'ID Scheme'!$A$2:$B$7,2, FALSE)</f>
        <v>3642</v>
      </c>
      <c r="F58">
        <v>1964</v>
      </c>
      <c r="G58">
        <v>1</v>
      </c>
      <c r="H58">
        <v>2</v>
      </c>
      <c r="I58" t="s">
        <v>13</v>
      </c>
      <c r="J58">
        <v>54</v>
      </c>
      <c r="K58">
        <v>22</v>
      </c>
      <c r="L58">
        <v>20</v>
      </c>
      <c r="M58">
        <v>15</v>
      </c>
      <c r="N58">
        <v>5</v>
      </c>
      <c r="O58">
        <v>7.5</v>
      </c>
      <c r="P58">
        <v>170</v>
      </c>
      <c r="Q58">
        <v>20</v>
      </c>
      <c r="R58">
        <v>1</v>
      </c>
      <c r="S58" t="s">
        <v>299</v>
      </c>
      <c r="T58">
        <v>3</v>
      </c>
      <c r="U58" s="2" t="s">
        <v>353</v>
      </c>
      <c r="V58" s="2" t="s">
        <v>343</v>
      </c>
      <c r="W58" s="2"/>
      <c r="X58" s="2"/>
      <c r="Y58" s="2"/>
      <c r="Z58" s="2"/>
      <c r="AA58" s="2"/>
      <c r="AB58" s="2"/>
      <c r="AC58" s="2"/>
      <c r="AD58" s="2"/>
      <c r="AG58">
        <v>18</v>
      </c>
      <c r="AQ58" t="s">
        <v>360</v>
      </c>
      <c r="AV58" s="2">
        <f>SQRT(J58*K58)*POWER((MIN(M58,20)+SQRT(MAX(M58-20,0))),0.9)*Data!$B$1</f>
        <v>29.576829437221864</v>
      </c>
      <c r="AW58" s="2">
        <f>POWER((J58*J58*K58), 0.33)*LOG10(P58)*10*Data!$B$1</f>
        <v>64.540587091557995</v>
      </c>
      <c r="AX58" s="2"/>
      <c r="AY58" s="2"/>
      <c r="AZ58" s="2">
        <f>IFERROR((SQRT($J58*$AG58)*POWER((MIN($M58,20)+SQRT(MAX($M58-20,0))),0.9)*Data!$B$1)*(1 - (R58-1)),AV58)</f>
        <v>26.753248835891831</v>
      </c>
      <c r="BA58" s="2">
        <f>IFERROR(((POWER(($J58*$J58*$AG58), 0.33)*LOG10($AE58)*10*Data!$B$1)*R58),AW58)</f>
        <v>64.540587091557995</v>
      </c>
      <c r="BB58" s="2">
        <f t="shared" si="14"/>
        <v>43.548387096774192</v>
      </c>
      <c r="BC58" s="2">
        <f t="shared" si="17"/>
        <v>0</v>
      </c>
      <c r="BD58" s="2">
        <f t="shared" si="18"/>
        <v>0</v>
      </c>
      <c r="BE58" s="2">
        <f t="shared" si="19"/>
        <v>0</v>
      </c>
      <c r="BF58" s="2">
        <v>1</v>
      </c>
      <c r="BG58" s="2">
        <f t="shared" si="15"/>
        <v>22</v>
      </c>
      <c r="BH58" s="2">
        <f t="shared" si="20"/>
        <v>18</v>
      </c>
      <c r="BI58" s="2">
        <f t="shared" si="16"/>
        <v>21</v>
      </c>
      <c r="BJ58" s="2">
        <f t="shared" si="7"/>
        <v>17</v>
      </c>
      <c r="BK58" s="3"/>
      <c r="BL58" s="3"/>
      <c r="BM58" s="3"/>
      <c r="BN58">
        <f t="shared" si="13"/>
        <v>0</v>
      </c>
      <c r="BO58" s="2" t="str">
        <f>CONCATENATE(
ROUND(BK58*VLOOKUP(I58,'ID Scheme'!$A$2:$E$7,3),0), "x",
ROUND(BL58*VLOOKUP(I58,'ID Scheme'!$A$2:$E$7,5),0), "x",
ROUND(BM58*VLOOKUP(I58,'ID Scheme'!$A$2:$E$7,4),0))</f>
        <v>0x0x0</v>
      </c>
      <c r="BP58" t="s">
        <v>21</v>
      </c>
    </row>
    <row r="59" spans="1:68" x14ac:dyDescent="0.25">
      <c r="A59" t="s">
        <v>2</v>
      </c>
      <c r="B59" t="s">
        <v>209</v>
      </c>
      <c r="C59" t="s">
        <v>369</v>
      </c>
      <c r="D59">
        <f>IF(F59 &gt; 2020, ((F59-2020)*4)+1610+H59,IF(F59 &gt; 1900, ((F59-1900)*10)+400+H59, ((F59-1730)*2)+H59))+VLOOKUP(I59,'ID Scheme'!$A$2:$B$7,2, FALSE)</f>
        <v>3651</v>
      </c>
      <c r="F59">
        <v>1965</v>
      </c>
      <c r="G59">
        <v>6</v>
      </c>
      <c r="H59">
        <v>1</v>
      </c>
      <c r="I59" t="s">
        <v>13</v>
      </c>
      <c r="J59">
        <v>55</v>
      </c>
      <c r="K59">
        <v>36</v>
      </c>
      <c r="L59">
        <v>20</v>
      </c>
      <c r="M59">
        <v>15</v>
      </c>
      <c r="N59">
        <v>5</v>
      </c>
      <c r="O59">
        <v>9.5</v>
      </c>
      <c r="P59">
        <v>140</v>
      </c>
      <c r="Q59">
        <v>20</v>
      </c>
      <c r="R59">
        <v>1</v>
      </c>
      <c r="S59" t="s">
        <v>299</v>
      </c>
      <c r="T59">
        <v>-4</v>
      </c>
      <c r="U59" s="2" t="s">
        <v>512</v>
      </c>
      <c r="V59" s="2"/>
      <c r="W59" s="2" t="s">
        <v>343</v>
      </c>
      <c r="X59" s="2"/>
      <c r="Y59" s="2" t="s">
        <v>343</v>
      </c>
      <c r="Z59" s="2"/>
      <c r="AA59" s="2"/>
      <c r="AB59" s="2"/>
      <c r="AC59" s="2" t="s">
        <v>373</v>
      </c>
      <c r="AD59" s="2"/>
      <c r="AG59">
        <v>30</v>
      </c>
      <c r="AL59">
        <v>1</v>
      </c>
      <c r="AO59" t="s">
        <v>433</v>
      </c>
      <c r="AP59" t="s">
        <v>424</v>
      </c>
      <c r="AQ59" t="s">
        <v>360</v>
      </c>
      <c r="AV59" s="2">
        <f>SQRT(J59*K59)*POWER((MIN(M59,20)+SQRT(MAX(M59-20,0))),0.9)*Data!$B$1</f>
        <v>38.183522614659189</v>
      </c>
      <c r="AW59" s="2">
        <f>POWER((J59*J59*K59), 0.33)*LOG10(P59)*10*Data!$B$1</f>
        <v>73.949644689024566</v>
      </c>
      <c r="AX59" s="2"/>
      <c r="AY59" s="2"/>
      <c r="AZ59" s="2">
        <f>IFERROR((SQRT($J59*$AG59)*POWER((MIN($M59,20)+SQRT(MAX($M59-20,0))),0.9)*Data!$B$1)*(1 - (R59-1)),AV59)</f>
        <v>34.856627768429135</v>
      </c>
      <c r="BA59" s="2">
        <f>IFERROR(((POWER(($J59*$J59*$AG59), 0.33)*LOG10($AE59)*10*Data!$B$1)*R59),AW59)</f>
        <v>73.949644689024566</v>
      </c>
      <c r="BB59" s="2">
        <f t="shared" si="14"/>
        <v>44.354838709677416</v>
      </c>
      <c r="BC59" s="2">
        <f t="shared" si="17"/>
        <v>0</v>
      </c>
      <c r="BD59" s="2">
        <f t="shared" si="18"/>
        <v>0</v>
      </c>
      <c r="BE59" s="2">
        <f t="shared" si="19"/>
        <v>0</v>
      </c>
      <c r="BF59" s="2">
        <v>2</v>
      </c>
      <c r="BG59" s="2">
        <f t="shared" si="15"/>
        <v>18</v>
      </c>
      <c r="BH59" s="2">
        <f t="shared" si="20"/>
        <v>15</v>
      </c>
      <c r="BI59" s="2">
        <f t="shared" si="16"/>
        <v>35</v>
      </c>
      <c r="BJ59" s="2">
        <f t="shared" si="7"/>
        <v>29</v>
      </c>
      <c r="BK59" s="3"/>
      <c r="BL59" s="3"/>
      <c r="BM59" s="3"/>
      <c r="BN59">
        <f t="shared" si="13"/>
        <v>1</v>
      </c>
      <c r="BO59" s="2" t="str">
        <f>CONCATENATE(
ROUND(BK59*VLOOKUP(I59,'ID Scheme'!$A$2:$E$7,3),0), "x",
ROUND(BL59*VLOOKUP(I59,'ID Scheme'!$A$2:$E$7,5),0), "x",
ROUND(BM59*VLOOKUP(I59,'ID Scheme'!$A$2:$E$7,4),0))</f>
        <v>0x0x0</v>
      </c>
    </row>
    <row r="60" spans="1:68" x14ac:dyDescent="0.25">
      <c r="A60" t="s">
        <v>75</v>
      </c>
      <c r="B60" t="s">
        <v>226</v>
      </c>
      <c r="C60" t="s">
        <v>339</v>
      </c>
      <c r="D60">
        <f>IF(F60 &gt; 2020, ((F60-2020)*4)+1610+H60,IF(F60 &gt; 1900, ((F60-1900)*10)+400+H60, ((F60-1730)*2)+H60))+VLOOKUP(I60,'ID Scheme'!$A$2:$B$7,2, FALSE)</f>
        <v>3652</v>
      </c>
      <c r="F60">
        <v>1965</v>
      </c>
      <c r="G60">
        <v>1</v>
      </c>
      <c r="H60">
        <v>2</v>
      </c>
      <c r="I60" t="s">
        <v>13</v>
      </c>
      <c r="J60">
        <v>60</v>
      </c>
      <c r="K60">
        <v>16</v>
      </c>
      <c r="L60">
        <v>20</v>
      </c>
      <c r="M60">
        <v>17</v>
      </c>
      <c r="N60">
        <v>5</v>
      </c>
      <c r="O60">
        <v>3</v>
      </c>
      <c r="P60">
        <v>82</v>
      </c>
      <c r="Q60">
        <v>20</v>
      </c>
      <c r="R60">
        <v>1</v>
      </c>
      <c r="S60" t="s">
        <v>299</v>
      </c>
      <c r="T60">
        <v>0</v>
      </c>
      <c r="U60" s="2" t="s">
        <v>340</v>
      </c>
      <c r="V60" s="2" t="s">
        <v>343</v>
      </c>
      <c r="W60" s="2"/>
      <c r="X60" s="2"/>
      <c r="Y60" s="2" t="s">
        <v>343</v>
      </c>
      <c r="Z60" s="2"/>
      <c r="AA60" s="2"/>
      <c r="AB60" s="2"/>
      <c r="AC60" s="2"/>
      <c r="AD60" s="2"/>
      <c r="AG60">
        <v>4</v>
      </c>
      <c r="AI60">
        <v>56</v>
      </c>
      <c r="AQ60" t="s">
        <v>360</v>
      </c>
      <c r="AV60" s="2">
        <f>SQRT(J60*K60)*POWER((MIN(M60,20)+SQRT(MAX(M60-20,0))),0.9)*Data!$B$1</f>
        <v>29.757806068644722</v>
      </c>
      <c r="AW60" s="2">
        <f>POWER((J60*J60*K60), 0.33)*LOG10(P60)*10*Data!$B$1</f>
        <v>53.444174907561425</v>
      </c>
      <c r="AX60" s="2"/>
      <c r="AY60" s="2"/>
      <c r="AZ60" s="2">
        <f>IFERROR((SQRT($J60*$AG60)*POWER((MIN($M60,20)+SQRT(MAX($M60-20,0))),0.9)*Data!$B$1)*(1 - (R60-1)),AV60)</f>
        <v>14.878903034322361</v>
      </c>
      <c r="BA60" s="2">
        <f>IFERROR(((POWER(($J60*$J60*$AG60), 0.33)*LOG10($AE60)*10*Data!$B$1)*R60),AW60)</f>
        <v>53.444174907561425</v>
      </c>
      <c r="BB60" s="2">
        <f t="shared" si="14"/>
        <v>48.387096774193552</v>
      </c>
      <c r="BC60" s="2">
        <f t="shared" si="17"/>
        <v>0</v>
      </c>
      <c r="BD60" s="2">
        <f t="shared" si="18"/>
        <v>45.161290322580648</v>
      </c>
      <c r="BE60" s="2">
        <f t="shared" si="19"/>
        <v>0</v>
      </c>
      <c r="BF60" s="2">
        <v>1</v>
      </c>
      <c r="BG60" s="2">
        <f t="shared" si="15"/>
        <v>16</v>
      </c>
      <c r="BH60" s="2">
        <f t="shared" si="20"/>
        <v>4</v>
      </c>
      <c r="BI60" s="2">
        <f t="shared" si="16"/>
        <v>15</v>
      </c>
      <c r="BJ60" s="2">
        <f t="shared" si="7"/>
        <v>3</v>
      </c>
      <c r="BK60" s="3">
        <v>6.2</v>
      </c>
      <c r="BL60" s="3">
        <v>2.2000000000000002</v>
      </c>
      <c r="BM60" s="3">
        <v>2.6</v>
      </c>
      <c r="BN60">
        <f t="shared" si="13"/>
        <v>0</v>
      </c>
      <c r="BO60" s="2" t="str">
        <f>CONCATENATE(
ROUND(BK60*VLOOKUP(I60,'ID Scheme'!$A$2:$E$7,3),0), "x",
ROUND(BL60*VLOOKUP(I60,'ID Scheme'!$A$2:$E$7,5),0), "x",
ROUND(BM60*VLOOKUP(I60,'ID Scheme'!$A$2:$E$7,4),0))</f>
        <v>58x32x25</v>
      </c>
      <c r="BP60" t="s">
        <v>80</v>
      </c>
    </row>
    <row r="61" spans="1:68" x14ac:dyDescent="0.25">
      <c r="A61" t="s">
        <v>83</v>
      </c>
      <c r="B61" t="s">
        <v>218</v>
      </c>
      <c r="C61" t="s">
        <v>339</v>
      </c>
      <c r="D61">
        <f>IF(F61 &gt; 2020, ((F61-2020)*4)+1610+H61,IF(F61 &gt; 1900, ((F61-1900)*10)+400+H61, ((F61-1730)*2)+H61))+VLOOKUP(I61,'ID Scheme'!$A$2:$B$7,2, FALSE)</f>
        <v>3671</v>
      </c>
      <c r="F61">
        <v>1967</v>
      </c>
      <c r="G61">
        <v>1</v>
      </c>
      <c r="H61">
        <v>1</v>
      </c>
      <c r="I61" t="s">
        <v>13</v>
      </c>
      <c r="J61">
        <v>56</v>
      </c>
      <c r="K61">
        <v>22</v>
      </c>
      <c r="L61">
        <v>15</v>
      </c>
      <c r="M61">
        <v>22</v>
      </c>
      <c r="N61">
        <v>5</v>
      </c>
      <c r="O61">
        <v>5</v>
      </c>
      <c r="P61">
        <v>170</v>
      </c>
      <c r="Q61">
        <v>20</v>
      </c>
      <c r="R61">
        <v>1</v>
      </c>
      <c r="S61" t="s">
        <v>299</v>
      </c>
      <c r="T61">
        <v>3</v>
      </c>
      <c r="U61" s="2" t="s">
        <v>357</v>
      </c>
      <c r="V61" s="2" t="s">
        <v>343</v>
      </c>
      <c r="W61" s="2" t="s">
        <v>343</v>
      </c>
      <c r="X61" s="2"/>
      <c r="Y61" s="2" t="s">
        <v>343</v>
      </c>
      <c r="Z61" s="2"/>
      <c r="AA61" s="2"/>
      <c r="AB61" s="2"/>
      <c r="AC61" s="2"/>
      <c r="AD61" s="2"/>
      <c r="AG61">
        <v>10</v>
      </c>
      <c r="AQ61" t="s">
        <v>360</v>
      </c>
      <c r="AV61" s="2">
        <f>SQRT(J61*K61)*POWER((MIN(M61,20)+SQRT(MAX(M61-20,0))),0.9)*Data!$B$1</f>
        <v>41.495264182549853</v>
      </c>
      <c r="AW61" s="2">
        <f>POWER((J61*J61*K61), 0.33)*LOG10(P61)*10*Data!$B$1</f>
        <v>66.108473335639829</v>
      </c>
      <c r="AX61" s="2"/>
      <c r="AY61" s="2"/>
      <c r="AZ61" s="2">
        <f>IFERROR((SQRT($J61*$AG61)*POWER((MIN($M61,20)+SQRT(MAX($M61-20,0))),0.9)*Data!$B$1)*(1 - (R61-1)),AV61)</f>
        <v>27.976101404751009</v>
      </c>
      <c r="BA61" s="2">
        <f>IFERROR(((POWER(($J61*$J61*$AG61), 0.33)*LOG10($AE61)*10*Data!$B$1)*R61),AW61)</f>
        <v>66.108473335639829</v>
      </c>
      <c r="BB61" s="2">
        <f t="shared" si="14"/>
        <v>45.161290322580648</v>
      </c>
      <c r="BC61" s="2">
        <f t="shared" si="17"/>
        <v>0</v>
      </c>
      <c r="BD61" s="2">
        <f t="shared" si="18"/>
        <v>0</v>
      </c>
      <c r="BE61" s="2">
        <f t="shared" si="19"/>
        <v>0</v>
      </c>
      <c r="BF61" s="2">
        <v>1</v>
      </c>
      <c r="BG61" s="2">
        <f t="shared" si="15"/>
        <v>22</v>
      </c>
      <c r="BH61" s="2">
        <f t="shared" si="20"/>
        <v>10</v>
      </c>
      <c r="BI61" s="2">
        <f t="shared" si="16"/>
        <v>21</v>
      </c>
      <c r="BJ61" s="2">
        <f t="shared" si="7"/>
        <v>9</v>
      </c>
      <c r="BK61" s="3">
        <v>8.5</v>
      </c>
      <c r="BL61" s="3">
        <v>2.5</v>
      </c>
      <c r="BM61" s="3">
        <v>2.8</v>
      </c>
      <c r="BN61">
        <f t="shared" si="13"/>
        <v>2</v>
      </c>
      <c r="BO61" s="2" t="str">
        <f>CONCATENATE(
ROUND(BK61*VLOOKUP(I61,'ID Scheme'!$A$2:$E$7,3),0), "x",
ROUND(BL61*VLOOKUP(I61,'ID Scheme'!$A$2:$E$7,5),0), "x",
ROUND(BM61*VLOOKUP(I61,'ID Scheme'!$A$2:$E$7,4),0))</f>
        <v>79x36x27</v>
      </c>
      <c r="BP61" t="s">
        <v>21</v>
      </c>
    </row>
    <row r="62" spans="1:68" x14ac:dyDescent="0.25">
      <c r="A62" t="s">
        <v>5</v>
      </c>
      <c r="B62" t="s">
        <v>192</v>
      </c>
      <c r="C62" t="s">
        <v>369</v>
      </c>
      <c r="D62">
        <f>IF(F62 &gt; 2020, ((F62-2020)*4)+1610+H62,IF(F62 &gt; 1900, ((F62-1900)*10)+400+H62, ((F62-1730)*2)+H62))+VLOOKUP(I62,'ID Scheme'!$A$2:$B$7,2, FALSE)</f>
        <v>3681</v>
      </c>
      <c r="F62">
        <v>1968</v>
      </c>
      <c r="G62">
        <v>1</v>
      </c>
      <c r="H62">
        <v>1</v>
      </c>
      <c r="I62" t="s">
        <v>13</v>
      </c>
      <c r="J62">
        <v>68</v>
      </c>
      <c r="K62">
        <v>36</v>
      </c>
      <c r="L62">
        <v>10</v>
      </c>
      <c r="M62">
        <v>15</v>
      </c>
      <c r="N62">
        <v>5</v>
      </c>
      <c r="O62">
        <v>10</v>
      </c>
      <c r="P62">
        <v>247</v>
      </c>
      <c r="Q62">
        <v>25</v>
      </c>
      <c r="R62">
        <v>1.1000000000000001</v>
      </c>
      <c r="S62" t="s">
        <v>305</v>
      </c>
      <c r="T62">
        <v>-3</v>
      </c>
      <c r="U62" s="2" t="s">
        <v>513</v>
      </c>
      <c r="V62" s="2"/>
      <c r="W62" s="2" t="s">
        <v>343</v>
      </c>
      <c r="X62" s="2"/>
      <c r="Y62" s="2" t="s">
        <v>343</v>
      </c>
      <c r="Z62" s="2"/>
      <c r="AA62" s="2"/>
      <c r="AB62" s="2"/>
      <c r="AC62" s="2" t="s">
        <v>373</v>
      </c>
      <c r="AD62" s="2"/>
      <c r="AG62">
        <v>30</v>
      </c>
      <c r="AI62">
        <v>56</v>
      </c>
      <c r="AJ62">
        <v>60</v>
      </c>
      <c r="AL62">
        <v>1</v>
      </c>
      <c r="AO62" t="s">
        <v>433</v>
      </c>
      <c r="AP62" t="s">
        <v>424</v>
      </c>
      <c r="AQ62" t="s">
        <v>360</v>
      </c>
      <c r="AV62" s="2">
        <f>SQRT(J62*K62)*POWER((MIN(M62,20)+SQRT(MAX(M62-20,0))),0.9)*Data!$B$1</f>
        <v>42.456980398337514</v>
      </c>
      <c r="AW62" s="2">
        <f>POWER((J62*J62*K62), 0.33)*LOG10(P62)*10*Data!$B$1</f>
        <v>94.838498080717855</v>
      </c>
      <c r="AX62" s="2"/>
      <c r="AY62" s="2"/>
      <c r="AZ62" s="2">
        <f>IFERROR((SQRT($J62*$AG62)*POWER((MIN($M62,20)+SQRT(MAX($M62-20,0))),0.9)*Data!$B$1)*(1 - (R62-1)),AV62)</f>
        <v>34.881968831586192</v>
      </c>
      <c r="BA62" s="2">
        <f>IFERROR(((POWER(($J62*$J62*$AG62), 0.33)*LOG10($AE62)*10*Data!$B$1)*R62),AW62)</f>
        <v>94.838498080717855</v>
      </c>
      <c r="BB62" s="2">
        <f t="shared" si="14"/>
        <v>54.838709677419352</v>
      </c>
      <c r="BC62" s="2">
        <f t="shared" si="17"/>
        <v>0</v>
      </c>
      <c r="BD62" s="2">
        <f t="shared" si="18"/>
        <v>45.161290322580648</v>
      </c>
      <c r="BE62" s="2">
        <f t="shared" si="19"/>
        <v>48.387096774193552</v>
      </c>
      <c r="BF62" s="2">
        <v>2</v>
      </c>
      <c r="BG62" s="2">
        <f t="shared" si="15"/>
        <v>18</v>
      </c>
      <c r="BH62" s="2">
        <f t="shared" si="20"/>
        <v>15</v>
      </c>
      <c r="BI62" s="2">
        <f t="shared" si="16"/>
        <v>35</v>
      </c>
      <c r="BJ62" s="2">
        <f t="shared" si="7"/>
        <v>29</v>
      </c>
      <c r="BK62" s="3"/>
      <c r="BL62" s="3"/>
      <c r="BM62" s="3"/>
      <c r="BN62">
        <f t="shared" si="13"/>
        <v>1</v>
      </c>
      <c r="BO62" s="2" t="str">
        <f>CONCATENATE(
ROUND(BK62*VLOOKUP(I62,'ID Scheme'!$A$2:$E$7,3),0), "x",
ROUND(BL62*VLOOKUP(I62,'ID Scheme'!$A$2:$E$7,5),0), "x",
ROUND(BM62*VLOOKUP(I62,'ID Scheme'!$A$2:$E$7,4),0))</f>
        <v>0x0x0</v>
      </c>
    </row>
    <row r="63" spans="1:68" x14ac:dyDescent="0.25">
      <c r="A63" t="s">
        <v>95</v>
      </c>
      <c r="B63" t="s">
        <v>224</v>
      </c>
      <c r="C63" t="s">
        <v>369</v>
      </c>
      <c r="D63">
        <f>IF(F63 &gt; 2020, ((F63-2020)*4)+1610+H63,IF(F63 &gt; 1900, ((F63-1900)*10)+400+H63, ((F63-1730)*2)+H63))+VLOOKUP(I63,'ID Scheme'!$A$2:$B$7,2, FALSE)</f>
        <v>3771</v>
      </c>
      <c r="F63">
        <v>1977</v>
      </c>
      <c r="G63">
        <v>1</v>
      </c>
      <c r="H63">
        <v>1</v>
      </c>
      <c r="I63" t="s">
        <v>13</v>
      </c>
      <c r="J63">
        <v>60</v>
      </c>
      <c r="K63">
        <v>40</v>
      </c>
      <c r="L63">
        <v>16</v>
      </c>
      <c r="M63">
        <v>18</v>
      </c>
      <c r="N63">
        <v>5</v>
      </c>
      <c r="O63">
        <v>9.5</v>
      </c>
      <c r="P63">
        <v>280</v>
      </c>
      <c r="Q63">
        <v>20</v>
      </c>
      <c r="R63">
        <v>1</v>
      </c>
      <c r="S63" t="s">
        <v>299</v>
      </c>
      <c r="T63">
        <v>-3</v>
      </c>
      <c r="U63" s="2" t="s">
        <v>514</v>
      </c>
      <c r="V63" s="2"/>
      <c r="W63" s="2" t="s">
        <v>343</v>
      </c>
      <c r="X63" s="2"/>
      <c r="Y63" s="2" t="s">
        <v>343</v>
      </c>
      <c r="Z63" s="2"/>
      <c r="AA63" s="2"/>
      <c r="AB63" s="2"/>
      <c r="AC63" s="2" t="s">
        <v>373</v>
      </c>
      <c r="AD63" s="2"/>
      <c r="AG63">
        <v>30</v>
      </c>
      <c r="AI63">
        <v>56</v>
      </c>
      <c r="AL63">
        <v>1</v>
      </c>
      <c r="AO63" t="s">
        <v>433</v>
      </c>
      <c r="AP63" t="s">
        <v>424</v>
      </c>
      <c r="AQ63" t="s">
        <v>360</v>
      </c>
      <c r="AV63" s="2">
        <f>SQRT(J63*K63)*POWER((MIN(M63,20)+SQRT(MAX(M63-20,0))),0.9)*Data!$B$1</f>
        <v>49.534996750689693</v>
      </c>
      <c r="AW63" s="2">
        <f>POWER((J63*J63*K63), 0.33)*LOG10(P63)*10*Data!$B$1</f>
        <v>92.466176900072455</v>
      </c>
      <c r="AX63" s="2"/>
      <c r="AY63" s="2"/>
      <c r="AZ63" s="2">
        <f>IFERROR((SQRT($J63*$AG63)*POWER((MIN($M63,20)+SQRT(MAX($M63-20,0))),0.9)*Data!$B$1)*(1 - (R63-1)),AV63)</f>
        <v>42.898565562476904</v>
      </c>
      <c r="BA63" s="2">
        <f>IFERROR(((POWER(($J63*$J63*$AG63), 0.33)*LOG10($AE63)*10*Data!$B$1)*R63),AW63)</f>
        <v>92.466176900072455</v>
      </c>
      <c r="BB63" s="2">
        <f t="shared" si="14"/>
        <v>48.387096774193552</v>
      </c>
      <c r="BC63" s="2">
        <f t="shared" si="17"/>
        <v>0</v>
      </c>
      <c r="BD63" s="2">
        <f t="shared" si="18"/>
        <v>45.161290322580648</v>
      </c>
      <c r="BE63" s="2">
        <f t="shared" si="19"/>
        <v>0</v>
      </c>
      <c r="BF63" s="2">
        <v>2</v>
      </c>
      <c r="BG63" s="2">
        <f t="shared" si="15"/>
        <v>20</v>
      </c>
      <c r="BH63" s="2">
        <f t="shared" si="20"/>
        <v>15</v>
      </c>
      <c r="BI63" s="2">
        <f t="shared" si="16"/>
        <v>39</v>
      </c>
      <c r="BJ63" s="2">
        <f t="shared" si="7"/>
        <v>29</v>
      </c>
      <c r="BK63" s="3"/>
      <c r="BL63" s="3"/>
      <c r="BM63" s="3"/>
      <c r="BN63">
        <f t="shared" si="13"/>
        <v>9</v>
      </c>
      <c r="BO63" s="2" t="str">
        <f>CONCATENATE(
ROUND(BK63*VLOOKUP(I63,'ID Scheme'!$A$2:$E$7,3),0), "x",
ROUND(BL63*VLOOKUP(I63,'ID Scheme'!$A$2:$E$7,5),0), "x",
ROUND(BM63*VLOOKUP(I63,'ID Scheme'!$A$2:$E$7,4),0))</f>
        <v>0x0x0</v>
      </c>
      <c r="BP63" t="s">
        <v>96</v>
      </c>
    </row>
    <row r="64" spans="1:68" x14ac:dyDescent="0.25">
      <c r="A64" t="s">
        <v>6</v>
      </c>
      <c r="B64" t="s">
        <v>212</v>
      </c>
      <c r="C64" t="s">
        <v>369</v>
      </c>
      <c r="D64">
        <f>IF(F64 &gt; 2020, ((F64-2020)*4)+1610+H64,IF(F64 &gt; 1900, ((F64-1900)*10)+400+H64, ((F64-1730)*2)+H64))+VLOOKUP(I64,'ID Scheme'!$A$2:$B$7,2, FALSE)</f>
        <v>3801</v>
      </c>
      <c r="F64">
        <v>1980</v>
      </c>
      <c r="G64">
        <v>1</v>
      </c>
      <c r="H64">
        <v>1</v>
      </c>
      <c r="I64" t="s">
        <v>13</v>
      </c>
      <c r="J64">
        <v>62</v>
      </c>
      <c r="K64">
        <v>42</v>
      </c>
      <c r="L64">
        <v>20</v>
      </c>
      <c r="M64">
        <v>17</v>
      </c>
      <c r="N64">
        <v>5</v>
      </c>
      <c r="O64">
        <v>11.5</v>
      </c>
      <c r="P64">
        <v>350</v>
      </c>
      <c r="Q64">
        <v>20</v>
      </c>
      <c r="R64">
        <v>1</v>
      </c>
      <c r="S64" t="s">
        <v>311</v>
      </c>
      <c r="T64">
        <v>-3</v>
      </c>
      <c r="U64" s="2" t="s">
        <v>515</v>
      </c>
      <c r="V64" s="2"/>
      <c r="W64" s="2" t="s">
        <v>343</v>
      </c>
      <c r="X64" s="2"/>
      <c r="Y64" s="2" t="s">
        <v>343</v>
      </c>
      <c r="Z64" s="2"/>
      <c r="AA64" s="2"/>
      <c r="AB64" s="2"/>
      <c r="AC64" s="2" t="s">
        <v>373</v>
      </c>
      <c r="AD64" s="2"/>
      <c r="AG64">
        <v>30</v>
      </c>
      <c r="AI64">
        <v>56</v>
      </c>
      <c r="AJ64">
        <v>60</v>
      </c>
      <c r="AL64">
        <v>1</v>
      </c>
      <c r="AO64" t="s">
        <v>433</v>
      </c>
      <c r="AP64" t="s">
        <v>424</v>
      </c>
      <c r="AQ64" t="s">
        <v>360</v>
      </c>
      <c r="AV64" s="2">
        <f>SQRT(J64*K64)*POWER((MIN(M64,20)+SQRT(MAX(M64-20,0))),0.9)*Data!$B$1</f>
        <v>49.010121885450587</v>
      </c>
      <c r="AW64" s="2">
        <f>POWER((J64*J64*K64), 0.33)*LOG10(P64)*10*Data!$B$1</f>
        <v>99.825332904493919</v>
      </c>
      <c r="AX64" s="2"/>
      <c r="AY64" s="2"/>
      <c r="AZ64" s="2">
        <f>IFERROR((SQRT($J64*$AG64)*POWER((MIN($M64,20)+SQRT(MAX($M64-20,0))),0.9)*Data!$B$1)*(1 - (R64-1)),AV64)</f>
        <v>41.421113036251761</v>
      </c>
      <c r="BA64" s="2">
        <f>IFERROR(((POWER(($J64*$J64*$AG64), 0.33)*LOG10($AE64)*10*Data!$B$1)*R64),AW64)</f>
        <v>99.825332904493919</v>
      </c>
      <c r="BB64" s="2">
        <f t="shared" si="14"/>
        <v>50</v>
      </c>
      <c r="BC64" s="2">
        <f t="shared" si="17"/>
        <v>0</v>
      </c>
      <c r="BD64" s="2">
        <f t="shared" si="18"/>
        <v>45.161290322580648</v>
      </c>
      <c r="BE64" s="2">
        <f t="shared" si="19"/>
        <v>48.387096774193552</v>
      </c>
      <c r="BF64" s="2">
        <v>2</v>
      </c>
      <c r="BG64" s="2">
        <f t="shared" si="15"/>
        <v>21</v>
      </c>
      <c r="BH64" s="2">
        <f t="shared" si="20"/>
        <v>15</v>
      </c>
      <c r="BI64" s="2">
        <f t="shared" si="16"/>
        <v>41</v>
      </c>
      <c r="BJ64" s="2">
        <f t="shared" si="7"/>
        <v>29</v>
      </c>
      <c r="BK64" s="3"/>
      <c r="BL64" s="3"/>
      <c r="BM64" s="3"/>
      <c r="BN64">
        <f t="shared" si="13"/>
        <v>3</v>
      </c>
      <c r="BO64" s="2" t="str">
        <f>CONCATENATE(
ROUND(BK64*VLOOKUP(I64,'ID Scheme'!$A$2:$E$7,3),0), "x",
ROUND(BL64*VLOOKUP(I64,'ID Scheme'!$A$2:$E$7,5),0), "x",
ROUND(BM64*VLOOKUP(I64,'ID Scheme'!$A$2:$E$7,4),0))</f>
        <v>0x0x0</v>
      </c>
    </row>
    <row r="65" spans="1:68" x14ac:dyDescent="0.25">
      <c r="A65" t="s">
        <v>73</v>
      </c>
      <c r="B65" t="s">
        <v>202</v>
      </c>
      <c r="C65" t="s">
        <v>339</v>
      </c>
      <c r="D65">
        <f>IF(F65 &gt; 2020, ((F65-2020)*4)+1610+H65,IF(F65 &gt; 1900, ((F65-1900)*10)+400+H65, ((F65-1730)*2)+H65))+VLOOKUP(I65,'ID Scheme'!$A$2:$B$7,2, FALSE)</f>
        <v>3811</v>
      </c>
      <c r="F65">
        <v>1981</v>
      </c>
      <c r="G65">
        <v>1</v>
      </c>
      <c r="H65">
        <v>1</v>
      </c>
      <c r="I65" t="s">
        <v>13</v>
      </c>
      <c r="J65">
        <v>68</v>
      </c>
      <c r="K65">
        <v>18</v>
      </c>
      <c r="L65">
        <v>16</v>
      </c>
      <c r="M65">
        <v>18</v>
      </c>
      <c r="N65">
        <v>5</v>
      </c>
      <c r="O65">
        <v>3</v>
      </c>
      <c r="P65">
        <v>90</v>
      </c>
      <c r="Q65">
        <v>20</v>
      </c>
      <c r="R65">
        <v>1</v>
      </c>
      <c r="S65" t="s">
        <v>299</v>
      </c>
      <c r="T65">
        <v>0</v>
      </c>
      <c r="U65" s="2" t="s">
        <v>516</v>
      </c>
      <c r="V65" s="2" t="s">
        <v>343</v>
      </c>
      <c r="W65" s="2" t="s">
        <v>343</v>
      </c>
      <c r="X65" s="2"/>
      <c r="Y65" s="2"/>
      <c r="Z65" s="2"/>
      <c r="AA65" s="2"/>
      <c r="AB65" s="2"/>
      <c r="AC65" s="2"/>
      <c r="AD65" s="2"/>
      <c r="AG65">
        <v>5</v>
      </c>
      <c r="AI65">
        <v>56</v>
      </c>
      <c r="AJ65">
        <v>60</v>
      </c>
      <c r="AQ65" t="s">
        <v>360</v>
      </c>
      <c r="AV65" s="2">
        <f>SQRT(J65*K65)*POWER((MIN(M65,20)+SQRT(MAX(M65-20,0))),0.9)*Data!$B$1</f>
        <v>35.375063400315305</v>
      </c>
      <c r="AW65" s="2">
        <f>POWER((J65*J65*K65), 0.33)*LOG10(P65)*10*Data!$B$1</f>
        <v>61.621962939651276</v>
      </c>
      <c r="AX65" s="2"/>
      <c r="AY65" s="2"/>
      <c r="AZ65" s="2">
        <f>IFERROR((SQRT($J65*$AG65)*POWER((MIN($M65,20)+SQRT(MAX($M65-20,0))),0.9)*Data!$B$1)*(1 - (R65-1)),AV65)</f>
        <v>18.644295452976195</v>
      </c>
      <c r="BA65" s="2">
        <f>IFERROR(((POWER(($J65*$J65*$AG65), 0.33)*LOG10($AE65)*10*Data!$B$1)*R65),AW65)</f>
        <v>61.621962939651276</v>
      </c>
      <c r="BB65" s="2">
        <f t="shared" si="14"/>
        <v>54.838709677419352</v>
      </c>
      <c r="BC65" s="2">
        <f t="shared" si="17"/>
        <v>0</v>
      </c>
      <c r="BD65" s="2">
        <f t="shared" si="18"/>
        <v>45.161290322580648</v>
      </c>
      <c r="BE65" s="2">
        <f t="shared" si="19"/>
        <v>48.387096774193552</v>
      </c>
      <c r="BF65" s="2">
        <v>1</v>
      </c>
      <c r="BG65" s="2">
        <f t="shared" si="15"/>
        <v>18</v>
      </c>
      <c r="BH65" s="2">
        <f t="shared" si="20"/>
        <v>5</v>
      </c>
      <c r="BI65" s="2">
        <f t="shared" si="16"/>
        <v>17</v>
      </c>
      <c r="BJ65" s="2">
        <f t="shared" si="7"/>
        <v>4</v>
      </c>
      <c r="BK65" s="3">
        <v>6.2</v>
      </c>
      <c r="BL65" s="3">
        <v>2.2000000000000002</v>
      </c>
      <c r="BM65" s="3">
        <v>2.6</v>
      </c>
      <c r="BN65">
        <f t="shared" si="13"/>
        <v>1</v>
      </c>
      <c r="BO65" s="2" t="str">
        <f>CONCATENATE(
ROUND(BK65*VLOOKUP(I65,'ID Scheme'!$A$2:$E$7,3),0), "x",
ROUND(BL65*VLOOKUP(I65,'ID Scheme'!$A$2:$E$7,5),0), "x",
ROUND(BM65*VLOOKUP(I65,'ID Scheme'!$A$2:$E$7,4),0))</f>
        <v>58x32x25</v>
      </c>
      <c r="BP65" t="s">
        <v>79</v>
      </c>
    </row>
    <row r="66" spans="1:68" x14ac:dyDescent="0.25">
      <c r="A66" t="s">
        <v>30</v>
      </c>
      <c r="B66" t="s">
        <v>196</v>
      </c>
      <c r="C66" t="s">
        <v>339</v>
      </c>
      <c r="D66">
        <f>IF(F66 &gt; 2020, ((F66-2020)*4)+1610+H66,IF(F66 &gt; 1900, ((F66-1900)*10)+400+H66, ((F66-1730)*2)+H66))+VLOOKUP(I66,'ID Scheme'!$A$2:$B$7,2, FALSE)</f>
        <v>3821</v>
      </c>
      <c r="F66">
        <v>1982</v>
      </c>
      <c r="G66">
        <v>1</v>
      </c>
      <c r="H66">
        <v>1</v>
      </c>
      <c r="I66" t="s">
        <v>13</v>
      </c>
      <c r="J66">
        <v>60</v>
      </c>
      <c r="K66">
        <v>28</v>
      </c>
      <c r="L66">
        <v>20</v>
      </c>
      <c r="M66">
        <v>20</v>
      </c>
      <c r="N66">
        <v>5</v>
      </c>
      <c r="O66">
        <v>9</v>
      </c>
      <c r="P66">
        <v>315</v>
      </c>
      <c r="Q66">
        <v>20</v>
      </c>
      <c r="R66">
        <v>1</v>
      </c>
      <c r="S66" t="s">
        <v>311</v>
      </c>
      <c r="T66">
        <v>3</v>
      </c>
      <c r="U66" s="2" t="s">
        <v>511</v>
      </c>
      <c r="V66" s="2" t="s">
        <v>343</v>
      </c>
      <c r="W66" s="2" t="s">
        <v>343</v>
      </c>
      <c r="X66" s="2"/>
      <c r="Y66" s="2"/>
      <c r="Z66" s="2"/>
      <c r="AA66" s="2"/>
      <c r="AB66" s="2"/>
      <c r="AC66" s="2"/>
      <c r="AD66" s="2"/>
      <c r="AG66">
        <v>19</v>
      </c>
      <c r="AI66">
        <v>56</v>
      </c>
      <c r="AQ66" t="s">
        <v>360</v>
      </c>
      <c r="AV66" s="2">
        <f>SQRT(J66*K66)*POWER((MIN(M66,20)+SQRT(MAX(M66-20,0))),0.9)*Data!$B$1</f>
        <v>45.566209265732887</v>
      </c>
      <c r="AW66" s="2">
        <f>POWER((J66*J66*K66), 0.33)*LOG10(P66)*10*Data!$B$1</f>
        <v>83.916944346608517</v>
      </c>
      <c r="AX66" s="2"/>
      <c r="AY66" s="2"/>
      <c r="AZ66" s="2">
        <f>IFERROR((SQRT($J66*$AG66)*POWER((MIN($M66,20)+SQRT(MAX($M66-20,0))),0.9)*Data!$B$1)*(1 - (R66-1)),AV66)</f>
        <v>37.535368611352354</v>
      </c>
      <c r="BA66" s="2">
        <f>IFERROR(((POWER(($J66*$J66*$AG66), 0.33)*LOG10($AE66)*10*Data!$B$1)*R66),AW66)</f>
        <v>83.916944346608517</v>
      </c>
      <c r="BB66" s="2">
        <f t="shared" si="14"/>
        <v>48.387096774193552</v>
      </c>
      <c r="BC66" s="2">
        <f t="shared" si="17"/>
        <v>0</v>
      </c>
      <c r="BD66" s="2">
        <f t="shared" si="18"/>
        <v>45.161290322580648</v>
      </c>
      <c r="BE66" s="2">
        <f t="shared" si="19"/>
        <v>0</v>
      </c>
      <c r="BF66" s="2">
        <v>1</v>
      </c>
      <c r="BG66" s="2">
        <f t="shared" si="15"/>
        <v>28</v>
      </c>
      <c r="BH66" s="2">
        <f t="shared" si="20"/>
        <v>19</v>
      </c>
      <c r="BI66" s="2">
        <f t="shared" si="16"/>
        <v>27</v>
      </c>
      <c r="BJ66" s="2">
        <f t="shared" si="7"/>
        <v>18</v>
      </c>
      <c r="BK66" s="3"/>
      <c r="BL66" s="3"/>
      <c r="BM66" s="3"/>
      <c r="BN66">
        <f t="shared" si="13"/>
        <v>1</v>
      </c>
      <c r="BO66" s="2" t="str">
        <f>CONCATENATE(
ROUND(BK66*VLOOKUP(I66,'ID Scheme'!$A$2:$E$7,3),0), "x",
ROUND(BL66*VLOOKUP(I66,'ID Scheme'!$A$2:$E$7,5),0), "x",
ROUND(BM66*VLOOKUP(I66,'ID Scheme'!$A$2:$E$7,4),0))</f>
        <v>0x0x0</v>
      </c>
    </row>
    <row r="67" spans="1:68" x14ac:dyDescent="0.25">
      <c r="A67" t="s">
        <v>88</v>
      </c>
      <c r="B67" t="s">
        <v>214</v>
      </c>
      <c r="C67" t="s">
        <v>339</v>
      </c>
      <c r="D67">
        <f>IF(F67 &gt; 2020, ((F67-2020)*4)+1610+H67,IF(F67 &gt; 1900, ((F67-1900)*10)+400+H67, ((F67-1730)*2)+H67))+VLOOKUP(I67,'ID Scheme'!$A$2:$B$7,2, FALSE)</f>
        <v>3831</v>
      </c>
      <c r="F67">
        <v>1983</v>
      </c>
      <c r="G67">
        <v>1</v>
      </c>
      <c r="H67">
        <v>1</v>
      </c>
      <c r="I67" t="s">
        <v>13</v>
      </c>
      <c r="J67">
        <v>64</v>
      </c>
      <c r="K67">
        <v>22</v>
      </c>
      <c r="L67">
        <v>18</v>
      </c>
      <c r="M67">
        <v>19</v>
      </c>
      <c r="N67">
        <v>5</v>
      </c>
      <c r="O67">
        <v>9</v>
      </c>
      <c r="P67">
        <v>136</v>
      </c>
      <c r="Q67">
        <v>20</v>
      </c>
      <c r="R67">
        <v>1</v>
      </c>
      <c r="S67" t="s">
        <v>299</v>
      </c>
      <c r="T67">
        <v>0</v>
      </c>
      <c r="U67" s="2" t="s">
        <v>510</v>
      </c>
      <c r="V67" s="2" t="s">
        <v>343</v>
      </c>
      <c r="W67" s="2" t="s">
        <v>343</v>
      </c>
      <c r="X67" s="2"/>
      <c r="Y67" s="2"/>
      <c r="Z67" s="2"/>
      <c r="AA67" s="2"/>
      <c r="AB67" s="2"/>
      <c r="AC67" s="2"/>
      <c r="AD67" s="2"/>
      <c r="AG67">
        <v>8</v>
      </c>
      <c r="AI67">
        <v>56</v>
      </c>
      <c r="AJ67">
        <v>60</v>
      </c>
      <c r="AQ67" t="s">
        <v>360</v>
      </c>
      <c r="AV67" s="2">
        <f>SQRT(J67*K67)*POWER((MIN(M67,20)+SQRT(MAX(M67-20,0))),0.9)*Data!$B$1</f>
        <v>39.832799628379171</v>
      </c>
      <c r="AW67" s="2">
        <f>POWER((J67*J67*K67), 0.33)*LOG10(P67)*10*Data!$B$1</f>
        <v>69.06215060093264</v>
      </c>
      <c r="AX67" s="2"/>
      <c r="AY67" s="2"/>
      <c r="AZ67" s="2">
        <f>IFERROR((SQRT($J67*$AG67)*POWER((MIN($M67,20)+SQRT(MAX($M67-20,0))),0.9)*Data!$B$1)*(1 - (R67-1)),AV67)</f>
        <v>24.020081948498497</v>
      </c>
      <c r="BA67" s="2">
        <f>IFERROR(((POWER(($J67*$J67*$AG67), 0.33)*LOG10($AE67)*10*Data!$B$1)*R67),AW67)</f>
        <v>69.06215060093264</v>
      </c>
      <c r="BB67" s="2">
        <f t="shared" si="14"/>
        <v>51.612903225806456</v>
      </c>
      <c r="BC67" s="2">
        <f t="shared" si="17"/>
        <v>0</v>
      </c>
      <c r="BD67" s="2">
        <f t="shared" si="18"/>
        <v>45.161290322580648</v>
      </c>
      <c r="BE67" s="2">
        <f t="shared" si="19"/>
        <v>48.387096774193552</v>
      </c>
      <c r="BF67" s="2">
        <v>1</v>
      </c>
      <c r="BG67" s="2">
        <f t="shared" si="15"/>
        <v>22</v>
      </c>
      <c r="BH67" s="2">
        <f t="shared" si="20"/>
        <v>8</v>
      </c>
      <c r="BI67" s="2">
        <f t="shared" si="16"/>
        <v>21</v>
      </c>
      <c r="BJ67" s="2">
        <f t="shared" si="7"/>
        <v>7</v>
      </c>
      <c r="BK67" s="3">
        <v>7.7</v>
      </c>
      <c r="BL67" s="3">
        <v>2.2000000000000002</v>
      </c>
      <c r="BM67" s="3">
        <v>2.6</v>
      </c>
      <c r="BN67">
        <f t="shared" si="13"/>
        <v>1</v>
      </c>
      <c r="BO67" s="2" t="str">
        <f>CONCATENATE(
ROUND(BK67*VLOOKUP(I67,'ID Scheme'!$A$2:$E$7,3),0), "x",
ROUND(BL67*VLOOKUP(I67,'ID Scheme'!$A$2:$E$7,5),0), "x",
ROUND(BM67*VLOOKUP(I67,'ID Scheme'!$A$2:$E$7,4),0))</f>
        <v>72x32x25</v>
      </c>
      <c r="BP67" t="s">
        <v>89</v>
      </c>
    </row>
    <row r="68" spans="1:68" x14ac:dyDescent="0.25">
      <c r="A68" t="s">
        <v>31</v>
      </c>
      <c r="B68" t="s">
        <v>197</v>
      </c>
      <c r="C68" t="s">
        <v>339</v>
      </c>
      <c r="D68">
        <f>IF(F68 &gt; 2020, ((F68-2020)*4)+1610+H68,IF(F68 &gt; 1900, ((F68-1900)*10)+400+H68, ((F68-1730)*2)+H68))+VLOOKUP(I68,'ID Scheme'!$A$2:$B$7,2, FALSE)</f>
        <v>3861</v>
      </c>
      <c r="F68">
        <v>1986</v>
      </c>
      <c r="G68">
        <v>1</v>
      </c>
      <c r="H68">
        <v>1</v>
      </c>
      <c r="I68" t="s">
        <v>13</v>
      </c>
      <c r="J68">
        <v>62</v>
      </c>
      <c r="K68">
        <v>30</v>
      </c>
      <c r="L68">
        <v>20</v>
      </c>
      <c r="M68">
        <v>20</v>
      </c>
      <c r="N68">
        <v>5</v>
      </c>
      <c r="O68">
        <v>9</v>
      </c>
      <c r="P68">
        <v>315</v>
      </c>
      <c r="Q68">
        <v>20</v>
      </c>
      <c r="R68">
        <v>1</v>
      </c>
      <c r="S68" t="s">
        <v>311</v>
      </c>
      <c r="T68">
        <v>3</v>
      </c>
      <c r="U68" s="2" t="s">
        <v>509</v>
      </c>
      <c r="V68" s="2" t="s">
        <v>343</v>
      </c>
      <c r="W68" s="2" t="s">
        <v>343</v>
      </c>
      <c r="X68" s="2"/>
      <c r="Y68" s="2"/>
      <c r="Z68" s="2"/>
      <c r="AA68" s="2"/>
      <c r="AB68" s="2"/>
      <c r="AC68" s="2"/>
      <c r="AD68" s="2"/>
      <c r="AG68">
        <v>20</v>
      </c>
      <c r="AI68">
        <v>56</v>
      </c>
      <c r="AJ68">
        <v>60</v>
      </c>
      <c r="AQ68" t="s">
        <v>360</v>
      </c>
      <c r="AV68" s="2">
        <f>SQRT(J68*K68)*POWER((MIN(M68,20)+SQRT(MAX(M68-20,0))),0.9)*Data!$B$1</f>
        <v>47.945155509895372</v>
      </c>
      <c r="AW68" s="2">
        <f>POWER((J68*J68*K68), 0.33)*LOG10(P68)*10*Data!$B$1</f>
        <v>87.727593286354292</v>
      </c>
      <c r="AX68" s="2"/>
      <c r="AY68" s="2"/>
      <c r="AZ68" s="2">
        <f>IFERROR((SQRT($J68*$AG68)*POWER((MIN($M68,20)+SQRT(MAX($M68-20,0))),0.9)*Data!$B$1)*(1 - (R68-1)),AV68)</f>
        <v>39.147055545877699</v>
      </c>
      <c r="BA68" s="2">
        <f>IFERROR(((POWER(($J68*$J68*$AG68), 0.33)*LOG10($AE68)*10*Data!$B$1)*R68),AW68)</f>
        <v>87.727593286354292</v>
      </c>
      <c r="BB68" s="2">
        <f t="shared" si="14"/>
        <v>50</v>
      </c>
      <c r="BC68" s="2">
        <f t="shared" si="17"/>
        <v>0</v>
      </c>
      <c r="BD68" s="2">
        <f t="shared" si="18"/>
        <v>45.161290322580648</v>
      </c>
      <c r="BE68" s="2">
        <f t="shared" si="19"/>
        <v>48.387096774193552</v>
      </c>
      <c r="BF68" s="2">
        <v>1</v>
      </c>
      <c r="BG68" s="2">
        <f t="shared" si="15"/>
        <v>30</v>
      </c>
      <c r="BH68" s="2">
        <f t="shared" si="20"/>
        <v>20</v>
      </c>
      <c r="BI68" s="2">
        <f t="shared" si="16"/>
        <v>29</v>
      </c>
      <c r="BJ68" s="2">
        <f t="shared" si="7"/>
        <v>19</v>
      </c>
      <c r="BK68" s="3"/>
      <c r="BL68" s="3"/>
      <c r="BM68" s="3"/>
      <c r="BN68">
        <f t="shared" si="13"/>
        <v>3</v>
      </c>
      <c r="BO68" s="2" t="str">
        <f>CONCATENATE(
ROUND(BK68*VLOOKUP(I68,'ID Scheme'!$A$2:$E$7,3),0), "x",
ROUND(BL68*VLOOKUP(I68,'ID Scheme'!$A$2:$E$7,5),0), "x",
ROUND(BM68*VLOOKUP(I68,'ID Scheme'!$A$2:$E$7,4),0))</f>
        <v>0x0x0</v>
      </c>
    </row>
    <row r="69" spans="1:68" x14ac:dyDescent="0.25">
      <c r="A69" t="s">
        <v>16</v>
      </c>
      <c r="B69" t="s">
        <v>232</v>
      </c>
      <c r="C69" t="s">
        <v>369</v>
      </c>
      <c r="D69">
        <f>IF(F69 &gt; 2020, ((F69-2020)*4)+1610+H69,IF(F69 &gt; 1900, ((F69-1900)*10)+400+H69, ((F69-1730)*2)+H69))+VLOOKUP(I69,'ID Scheme'!$A$2:$B$7,2, FALSE)</f>
        <v>3871</v>
      </c>
      <c r="F69">
        <v>1987</v>
      </c>
      <c r="G69">
        <v>1</v>
      </c>
      <c r="H69">
        <v>1</v>
      </c>
      <c r="I69" t="s">
        <v>13</v>
      </c>
      <c r="J69">
        <v>65</v>
      </c>
      <c r="K69">
        <v>44</v>
      </c>
      <c r="L69">
        <v>14</v>
      </c>
      <c r="M69">
        <v>15</v>
      </c>
      <c r="N69">
        <v>5</v>
      </c>
      <c r="O69">
        <v>12</v>
      </c>
      <c r="P69">
        <v>420</v>
      </c>
      <c r="Q69">
        <v>18</v>
      </c>
      <c r="R69">
        <v>1</v>
      </c>
      <c r="S69" t="s">
        <v>311</v>
      </c>
      <c r="T69">
        <v>-3</v>
      </c>
      <c r="U69" s="2" t="s">
        <v>506</v>
      </c>
      <c r="V69" s="2"/>
      <c r="W69" s="2" t="s">
        <v>343</v>
      </c>
      <c r="X69" s="2"/>
      <c r="Y69" s="2" t="s">
        <v>343</v>
      </c>
      <c r="Z69" s="2"/>
      <c r="AA69" s="2"/>
      <c r="AB69" s="2"/>
      <c r="AC69" s="2" t="s">
        <v>374</v>
      </c>
      <c r="AD69" s="2"/>
      <c r="AG69">
        <v>30</v>
      </c>
      <c r="AI69">
        <v>56</v>
      </c>
      <c r="AJ69">
        <v>60</v>
      </c>
      <c r="AL69">
        <v>1</v>
      </c>
      <c r="AO69" t="s">
        <v>433</v>
      </c>
      <c r="AP69" t="s">
        <v>424</v>
      </c>
      <c r="AQ69" t="s">
        <v>360</v>
      </c>
      <c r="AV69" s="2">
        <f>SQRT(J69*K69)*POWER((MIN(M69,20)+SQRT(MAX(M69-20,0))),0.9)*Data!$B$1</f>
        <v>45.890882888330843</v>
      </c>
      <c r="AW69" s="2">
        <f>POWER((J69*J69*K69), 0.33)*LOG10(P69)*10*Data!$B$1</f>
        <v>107.83581527011596</v>
      </c>
      <c r="AX69" s="2"/>
      <c r="AY69" s="2"/>
      <c r="AZ69" s="2">
        <f>IFERROR((SQRT($J69*$AG69)*POWER((MIN($M69,20)+SQRT(MAX($M69-20,0))),0.9)*Data!$B$1)*(1 - (R69-1)),AV69)</f>
        <v>37.893149407282195</v>
      </c>
      <c r="BA69" s="2">
        <f>IFERROR(((POWER(($J69*$J69*$AG69), 0.33)*LOG10($AE69)*10*Data!$B$1)*R69),AW69)</f>
        <v>107.83581527011596</v>
      </c>
      <c r="BB69" s="2">
        <f t="shared" si="14"/>
        <v>52.41935483870968</v>
      </c>
      <c r="BC69" s="2">
        <f t="shared" si="17"/>
        <v>0</v>
      </c>
      <c r="BD69" s="2">
        <f t="shared" si="18"/>
        <v>45.161290322580648</v>
      </c>
      <c r="BE69" s="2">
        <f t="shared" si="19"/>
        <v>48.387096774193552</v>
      </c>
      <c r="BF69" s="2">
        <v>2</v>
      </c>
      <c r="BG69" s="2">
        <f t="shared" si="15"/>
        <v>22</v>
      </c>
      <c r="BH69" s="2">
        <f t="shared" si="20"/>
        <v>15</v>
      </c>
      <c r="BI69" s="2">
        <f t="shared" si="16"/>
        <v>43</v>
      </c>
      <c r="BJ69" s="2">
        <f t="shared" si="7"/>
        <v>29</v>
      </c>
      <c r="BK69" s="3"/>
      <c r="BL69" s="3"/>
      <c r="BM69" s="3"/>
      <c r="BN69">
        <f t="shared" si="13"/>
        <v>1</v>
      </c>
      <c r="BO69" s="2" t="str">
        <f>CONCATENATE(
ROUND(BK69*VLOOKUP(I69,'ID Scheme'!$A$2:$E$7,3),0), "x",
ROUND(BL69*VLOOKUP(I69,'ID Scheme'!$A$2:$E$7,5),0), "x",
ROUND(BM69*VLOOKUP(I69,'ID Scheme'!$A$2:$E$7,4),0))</f>
        <v>0x0x0</v>
      </c>
    </row>
    <row r="70" spans="1:68" x14ac:dyDescent="0.25">
      <c r="A70" t="s">
        <v>76</v>
      </c>
      <c r="B70" t="s">
        <v>206</v>
      </c>
      <c r="C70" t="s">
        <v>339</v>
      </c>
      <c r="D70">
        <f>IF(F70 &gt; 2020, ((F70-2020)*4)+1610+H70,IF(F70 &gt; 1900, ((F70-1900)*10)+400+H70, ((F70-1730)*2)+H70))+VLOOKUP(I70,'ID Scheme'!$A$2:$B$7,2, FALSE)</f>
        <v>3931</v>
      </c>
      <c r="F70">
        <v>1993</v>
      </c>
      <c r="G70">
        <v>1</v>
      </c>
      <c r="H70">
        <v>1</v>
      </c>
      <c r="I70" t="s">
        <v>13</v>
      </c>
      <c r="J70">
        <v>72</v>
      </c>
      <c r="K70">
        <v>18</v>
      </c>
      <c r="L70">
        <v>-1</v>
      </c>
      <c r="M70">
        <v>18</v>
      </c>
      <c r="N70">
        <v>5</v>
      </c>
      <c r="O70">
        <v>3</v>
      </c>
      <c r="P70">
        <v>105</v>
      </c>
      <c r="Q70">
        <v>20</v>
      </c>
      <c r="R70">
        <v>1</v>
      </c>
      <c r="S70" t="s">
        <v>299</v>
      </c>
      <c r="T70">
        <v>0</v>
      </c>
      <c r="U70" s="2" t="s">
        <v>508</v>
      </c>
      <c r="V70" s="2" t="s">
        <v>343</v>
      </c>
      <c r="W70" s="2" t="s">
        <v>343</v>
      </c>
      <c r="X70" s="2"/>
      <c r="Y70" s="2"/>
      <c r="Z70" s="2"/>
      <c r="AA70" s="2"/>
      <c r="AB70" s="2"/>
      <c r="AC70" s="2"/>
      <c r="AD70" s="2"/>
      <c r="AG70">
        <v>5</v>
      </c>
      <c r="AI70">
        <v>56</v>
      </c>
      <c r="AJ70">
        <v>60</v>
      </c>
      <c r="AQ70" t="s">
        <v>360</v>
      </c>
      <c r="AV70" s="2">
        <f>SQRT(J70*K70)*POWER((MIN(M70,20)+SQRT(MAX(M70-20,0))),0.9)*Data!$B$1</f>
        <v>36.400639934883735</v>
      </c>
      <c r="AW70" s="2">
        <f>POWER((J70*J70*K70), 0.33)*LOG10(P70)*10*Data!$B$1</f>
        <v>66.183179614250491</v>
      </c>
      <c r="AX70" s="2"/>
      <c r="AY70" s="2"/>
      <c r="AZ70" s="2">
        <f>IFERROR((SQRT($J70*$AG70)*POWER((MIN($M70,20)+SQRT(MAX($M70-20,0))),0.9)*Data!$B$1)*(1 - (R70-1)),AV70)</f>
        <v>19.184821746985971</v>
      </c>
      <c r="BA70" s="2">
        <f>IFERROR(((POWER(($J70*$J70*$AG70), 0.33)*LOG10($AE70)*10*Data!$B$1)*R70),AW70)</f>
        <v>66.183179614250491</v>
      </c>
      <c r="BB70" s="2">
        <f t="shared" si="14"/>
        <v>58.064516129032256</v>
      </c>
      <c r="BC70" s="2">
        <f t="shared" si="17"/>
        <v>0</v>
      </c>
      <c r="BD70" s="2">
        <f t="shared" si="18"/>
        <v>45.161290322580648</v>
      </c>
      <c r="BE70" s="2">
        <f t="shared" si="19"/>
        <v>48.387096774193552</v>
      </c>
      <c r="BF70" s="2">
        <v>1</v>
      </c>
      <c r="BG70" s="2">
        <f t="shared" si="15"/>
        <v>18</v>
      </c>
      <c r="BH70" s="2">
        <f t="shared" si="20"/>
        <v>5</v>
      </c>
      <c r="BI70" s="2">
        <f t="shared" si="16"/>
        <v>17</v>
      </c>
      <c r="BJ70" s="2">
        <f t="shared" si="7"/>
        <v>4</v>
      </c>
      <c r="BK70" s="3">
        <v>6.2</v>
      </c>
      <c r="BL70" s="3">
        <v>2.2000000000000002</v>
      </c>
      <c r="BM70" s="3">
        <v>2.6</v>
      </c>
      <c r="BN70">
        <f t="shared" ref="BN70:BN101" si="21">F70-F69</f>
        <v>6</v>
      </c>
      <c r="BO70" s="2" t="str">
        <f>CONCATENATE(
ROUND(BK70*VLOOKUP(I70,'ID Scheme'!$A$2:$E$7,3),0), "x",
ROUND(BL70*VLOOKUP(I70,'ID Scheme'!$A$2:$E$7,5),0), "x",
ROUND(BM70*VLOOKUP(I70,'ID Scheme'!$A$2:$E$7,4),0))</f>
        <v>58x32x25</v>
      </c>
      <c r="BP70" t="s">
        <v>82</v>
      </c>
    </row>
    <row r="71" spans="1:68" x14ac:dyDescent="0.25">
      <c r="A71" t="s">
        <v>17</v>
      </c>
      <c r="B71" t="s">
        <v>233</v>
      </c>
      <c r="C71" t="s">
        <v>369</v>
      </c>
      <c r="D71">
        <f>IF(F71 &gt; 2020, ((F71-2020)*4)+1610+H71,IF(F71 &gt; 1900, ((F71-1900)*10)+400+H71, ((F71-1730)*2)+H71))+VLOOKUP(I71,'ID Scheme'!$A$2:$B$7,2, FALSE)</f>
        <v>3951</v>
      </c>
      <c r="F71">
        <v>1995</v>
      </c>
      <c r="G71">
        <v>6</v>
      </c>
      <c r="H71">
        <v>1</v>
      </c>
      <c r="I71" t="s">
        <v>13</v>
      </c>
      <c r="J71">
        <v>68</v>
      </c>
      <c r="K71">
        <v>48</v>
      </c>
      <c r="L71">
        <v>12</v>
      </c>
      <c r="M71">
        <v>15</v>
      </c>
      <c r="N71">
        <v>5</v>
      </c>
      <c r="O71">
        <v>12.5</v>
      </c>
      <c r="P71">
        <v>420</v>
      </c>
      <c r="Q71">
        <v>20</v>
      </c>
      <c r="R71">
        <v>1</v>
      </c>
      <c r="S71" t="s">
        <v>311</v>
      </c>
      <c r="T71">
        <v>-3</v>
      </c>
      <c r="U71" s="2" t="s">
        <v>507</v>
      </c>
      <c r="V71" s="2"/>
      <c r="W71" s="2" t="s">
        <v>343</v>
      </c>
      <c r="X71" s="2"/>
      <c r="Y71" s="2" t="s">
        <v>343</v>
      </c>
      <c r="Z71" s="2"/>
      <c r="AA71" s="2"/>
      <c r="AB71" s="2"/>
      <c r="AC71" s="2" t="s">
        <v>374</v>
      </c>
      <c r="AD71" s="2"/>
      <c r="AG71">
        <v>30</v>
      </c>
      <c r="AI71">
        <v>56</v>
      </c>
      <c r="AJ71">
        <v>60</v>
      </c>
      <c r="AL71">
        <v>1</v>
      </c>
      <c r="AO71" t="s">
        <v>433</v>
      </c>
      <c r="AP71" t="s">
        <v>424</v>
      </c>
      <c r="AQ71" t="s">
        <v>360</v>
      </c>
      <c r="AV71" s="2">
        <f>SQRT(J71*K71)*POWER((MIN(M71,20)+SQRT(MAX(M71-20,0))),0.9)*Data!$B$1</f>
        <v>49.025098123917665</v>
      </c>
      <c r="AW71" s="2">
        <f>POWER((J71*J71*K71), 0.33)*LOG10(P71)*10*Data!$B$1</f>
        <v>114.33160972754995</v>
      </c>
      <c r="AX71" s="2"/>
      <c r="AY71" s="2"/>
      <c r="AZ71" s="2">
        <f>IFERROR((SQRT($J71*$AG71)*POWER((MIN($M71,20)+SQRT(MAX($M71-20,0))),0.9)*Data!$B$1)*(1 - (R71-1)),AV71)</f>
        <v>38.757743146206884</v>
      </c>
      <c r="BA71" s="2">
        <f>IFERROR(((POWER(($J71*$J71*$AG71), 0.33)*LOG10($AE71)*10*Data!$B$1)*R71),AW71)</f>
        <v>114.33160972754995</v>
      </c>
      <c r="BB71" s="2">
        <f t="shared" si="14"/>
        <v>54.838709677419352</v>
      </c>
      <c r="BC71" s="2">
        <f t="shared" si="17"/>
        <v>0</v>
      </c>
      <c r="BD71" s="2">
        <f t="shared" si="18"/>
        <v>45.161290322580648</v>
      </c>
      <c r="BE71" s="2">
        <f t="shared" si="19"/>
        <v>48.387096774193552</v>
      </c>
      <c r="BF71" s="2">
        <v>2</v>
      </c>
      <c r="BG71" s="2">
        <f t="shared" si="15"/>
        <v>24</v>
      </c>
      <c r="BH71" s="2">
        <f t="shared" si="20"/>
        <v>15</v>
      </c>
      <c r="BI71" s="2">
        <f t="shared" si="16"/>
        <v>47</v>
      </c>
      <c r="BJ71" s="2">
        <f t="shared" si="7"/>
        <v>29</v>
      </c>
      <c r="BK71" s="3"/>
      <c r="BL71" s="3"/>
      <c r="BM71" s="3"/>
      <c r="BN71">
        <f t="shared" si="21"/>
        <v>2</v>
      </c>
      <c r="BO71" s="2" t="str">
        <f>CONCATENATE(
ROUND(BK71*VLOOKUP(I71,'ID Scheme'!$A$2:$E$7,3),0), "x",
ROUND(BL71*VLOOKUP(I71,'ID Scheme'!$A$2:$E$7,5),0), "x",
ROUND(BM71*VLOOKUP(I71,'ID Scheme'!$A$2:$E$7,4),0))</f>
        <v>0x0x0</v>
      </c>
    </row>
    <row r="72" spans="1:68" x14ac:dyDescent="0.25">
      <c r="A72" t="s">
        <v>15</v>
      </c>
      <c r="B72" t="s">
        <v>199</v>
      </c>
      <c r="C72" t="s">
        <v>339</v>
      </c>
      <c r="D72">
        <f>IF(F72 &gt; 2020, ((F72-2020)*4)+1610+H72,IF(F72 &gt; 1900, ((F72-1900)*10)+400+H72, ((F72-1730)*2)+H72))+VLOOKUP(I72,'ID Scheme'!$A$2:$B$7,2, FALSE)</f>
        <v>3971</v>
      </c>
      <c r="F72">
        <v>1997</v>
      </c>
      <c r="G72">
        <v>1</v>
      </c>
      <c r="H72">
        <v>1</v>
      </c>
      <c r="I72" t="s">
        <v>13</v>
      </c>
      <c r="J72">
        <v>70</v>
      </c>
      <c r="K72">
        <v>32</v>
      </c>
      <c r="L72">
        <v>-1</v>
      </c>
      <c r="M72">
        <v>15</v>
      </c>
      <c r="N72">
        <v>5</v>
      </c>
      <c r="O72">
        <v>9</v>
      </c>
      <c r="P72">
        <v>405</v>
      </c>
      <c r="Q72">
        <v>20</v>
      </c>
      <c r="R72">
        <v>1</v>
      </c>
      <c r="S72" t="s">
        <v>311</v>
      </c>
      <c r="T72">
        <v>3</v>
      </c>
      <c r="U72" s="2" t="s">
        <v>505</v>
      </c>
      <c r="V72" s="2" t="s">
        <v>343</v>
      </c>
      <c r="W72" s="2" t="s">
        <v>343</v>
      </c>
      <c r="X72" s="2"/>
      <c r="Y72" s="2"/>
      <c r="Z72" s="2"/>
      <c r="AA72" s="2"/>
      <c r="AB72" s="2"/>
      <c r="AC72" s="2"/>
      <c r="AD72" s="2"/>
      <c r="AG72">
        <v>23</v>
      </c>
      <c r="AI72">
        <v>56</v>
      </c>
      <c r="AJ72">
        <v>60</v>
      </c>
      <c r="AQ72" t="s">
        <v>360</v>
      </c>
      <c r="AV72" s="2">
        <f>SQRT(J72*K72)*POWER((MIN(M72,20)+SQRT(MAX(M72-20,0))),0.9)*Data!$B$1</f>
        <v>40.613218318644378</v>
      </c>
      <c r="AW72" s="2">
        <f>POWER((J72*J72*K72), 0.33)*LOG10(P72)*10*Data!$B$1</f>
        <v>101.33099065775636</v>
      </c>
      <c r="AX72" s="2"/>
      <c r="AY72" s="2"/>
      <c r="AZ72" s="2">
        <f>IFERROR((SQRT($J72*$AG72)*POWER((MIN($M72,20)+SQRT(MAX($M72-20,0))),0.9)*Data!$B$1)*(1 - (R72-1)),AV72)</f>
        <v>34.431531039219266</v>
      </c>
      <c r="BA72" s="2">
        <f>IFERROR(((POWER(($J72*$J72*$AG72), 0.33)*LOG10($AE72)*10*Data!$B$1)*R72),AW72)</f>
        <v>101.33099065775636</v>
      </c>
      <c r="BB72" s="2">
        <f t="shared" si="14"/>
        <v>56.451612903225808</v>
      </c>
      <c r="BC72" s="2">
        <f t="shared" si="17"/>
        <v>0</v>
      </c>
      <c r="BD72" s="2">
        <f t="shared" si="18"/>
        <v>45.161290322580648</v>
      </c>
      <c r="BE72" s="2">
        <f t="shared" si="19"/>
        <v>48.387096774193552</v>
      </c>
      <c r="BF72" s="2">
        <v>1</v>
      </c>
      <c r="BG72" s="2">
        <f t="shared" si="15"/>
        <v>32</v>
      </c>
      <c r="BH72" s="2">
        <f t="shared" si="20"/>
        <v>23</v>
      </c>
      <c r="BI72" s="2">
        <f t="shared" si="16"/>
        <v>31</v>
      </c>
      <c r="BJ72" s="2">
        <f t="shared" si="7"/>
        <v>22</v>
      </c>
      <c r="BK72" s="3"/>
      <c r="BL72" s="3"/>
      <c r="BM72" s="3"/>
      <c r="BN72">
        <f t="shared" si="21"/>
        <v>2</v>
      </c>
      <c r="BO72" s="2" t="str">
        <f>CONCATENATE(
ROUND(BK72*VLOOKUP(I72,'ID Scheme'!$A$2:$E$7,3),0), "x",
ROUND(BL72*VLOOKUP(I72,'ID Scheme'!$A$2:$E$7,5),0), "x",
ROUND(BM72*VLOOKUP(I72,'ID Scheme'!$A$2:$E$7,4),0))</f>
        <v>0x0x0</v>
      </c>
    </row>
    <row r="73" spans="1:68" x14ac:dyDescent="0.25">
      <c r="A73" t="s">
        <v>84</v>
      </c>
      <c r="B73" t="s">
        <v>217</v>
      </c>
      <c r="C73" t="s">
        <v>369</v>
      </c>
      <c r="D73">
        <f>IF(F73 &gt; 2020, ((F73-2020)*4)+1610+H73,IF(F73 &gt; 1900, ((F73-1900)*10)+400+H73, ((F73-1730)*2)+H73))+VLOOKUP(I73,'ID Scheme'!$A$2:$B$7,2, FALSE)</f>
        <v>4011</v>
      </c>
      <c r="F73">
        <v>2001</v>
      </c>
      <c r="G73">
        <v>1</v>
      </c>
      <c r="H73">
        <v>1</v>
      </c>
      <c r="I73" t="s">
        <v>13</v>
      </c>
      <c r="J73">
        <v>70</v>
      </c>
      <c r="K73">
        <v>50</v>
      </c>
      <c r="L73">
        <v>14</v>
      </c>
      <c r="M73">
        <v>14</v>
      </c>
      <c r="N73">
        <v>5</v>
      </c>
      <c r="O73">
        <v>12.5</v>
      </c>
      <c r="P73">
        <v>440</v>
      </c>
      <c r="Q73">
        <v>20</v>
      </c>
      <c r="R73">
        <v>0.97</v>
      </c>
      <c r="S73" t="s">
        <v>299</v>
      </c>
      <c r="T73">
        <v>-3</v>
      </c>
      <c r="U73" s="2" t="s">
        <v>504</v>
      </c>
      <c r="V73" s="2"/>
      <c r="W73" s="2" t="s">
        <v>343</v>
      </c>
      <c r="X73" s="2"/>
      <c r="Y73" s="2" t="s">
        <v>343</v>
      </c>
      <c r="Z73" s="2"/>
      <c r="AA73" s="2"/>
      <c r="AB73" s="2"/>
      <c r="AC73" s="2" t="s">
        <v>374</v>
      </c>
      <c r="AD73" s="2"/>
      <c r="AG73">
        <v>30</v>
      </c>
      <c r="AI73">
        <v>56</v>
      </c>
      <c r="AJ73">
        <v>60</v>
      </c>
      <c r="AL73">
        <v>1</v>
      </c>
      <c r="AO73" t="s">
        <v>433</v>
      </c>
      <c r="AP73" t="s">
        <v>424</v>
      </c>
      <c r="AQ73" t="s">
        <v>360</v>
      </c>
      <c r="AV73" s="2">
        <f>SQRT(J73*K73)*POWER((MIN(M73,20)+SQRT(MAX(M73-20,0))),0.9)*Data!$B$1</f>
        <v>47.710120964976788</v>
      </c>
      <c r="AW73" s="2">
        <f>POWER((J73*J73*K73), 0.33)*LOG10(P73)*10*Data!$B$1</f>
        <v>119.03032276284144</v>
      </c>
      <c r="AX73" s="2"/>
      <c r="AY73" s="2"/>
      <c r="AZ73" s="2">
        <f>IFERROR((SQRT($J73*$AG73)*POWER((MIN($M73,20)+SQRT(MAX($M73-20,0))),0.9)*Data!$B$1)*(1 - (R73-1)),AV73)</f>
        <v>38.064783812236662</v>
      </c>
      <c r="BA73" s="2">
        <f>IFERROR(((POWER(($J73*$J73*$AG73), 0.33)*LOG10($AE73)*10*Data!$B$1)*R73),AW73)</f>
        <v>119.03032276284144</v>
      </c>
      <c r="BB73" s="2">
        <f t="shared" si="14"/>
        <v>56.451612903225808</v>
      </c>
      <c r="BC73" s="2">
        <f t="shared" si="17"/>
        <v>0</v>
      </c>
      <c r="BD73" s="2">
        <f t="shared" si="18"/>
        <v>45.161290322580648</v>
      </c>
      <c r="BE73" s="2">
        <f t="shared" si="19"/>
        <v>48.387096774193552</v>
      </c>
      <c r="BF73" s="2">
        <v>2</v>
      </c>
      <c r="BG73" s="2">
        <f t="shared" si="15"/>
        <v>25</v>
      </c>
      <c r="BH73" s="2">
        <f t="shared" si="20"/>
        <v>15</v>
      </c>
      <c r="BI73" s="2">
        <f t="shared" si="16"/>
        <v>49</v>
      </c>
      <c r="BJ73" s="2">
        <f t="shared" si="7"/>
        <v>29</v>
      </c>
      <c r="BK73" s="3"/>
      <c r="BL73" s="3"/>
      <c r="BM73" s="3"/>
      <c r="BN73">
        <f t="shared" si="21"/>
        <v>4</v>
      </c>
      <c r="BO73" s="2" t="str">
        <f>CONCATENATE(
ROUND(BK73*VLOOKUP(I73,'ID Scheme'!$A$2:$E$7,3),0), "x",
ROUND(BL73*VLOOKUP(I73,'ID Scheme'!$A$2:$E$7,5),0), "x",
ROUND(BM73*VLOOKUP(I73,'ID Scheme'!$A$2:$E$7,4),0))</f>
        <v>0x0x0</v>
      </c>
    </row>
    <row r="74" spans="1:68" x14ac:dyDescent="0.25">
      <c r="A74" t="s">
        <v>90</v>
      </c>
      <c r="B74" t="s">
        <v>194</v>
      </c>
      <c r="C74" t="s">
        <v>339</v>
      </c>
      <c r="D74">
        <f>IF(F74 &gt; 2020, ((F74-2020)*4)+1610+H74,IF(F74 &gt; 1900, ((F74-1900)*10)+400+H74, ((F74-1730)*2)+H74))+VLOOKUP(I74,'ID Scheme'!$A$2:$B$7,2, FALSE)</f>
        <v>4012</v>
      </c>
      <c r="F74">
        <v>2001</v>
      </c>
      <c r="G74">
        <v>1</v>
      </c>
      <c r="H74">
        <v>2</v>
      </c>
      <c r="I74" t="s">
        <v>13</v>
      </c>
      <c r="J74">
        <v>75</v>
      </c>
      <c r="K74">
        <v>24</v>
      </c>
      <c r="L74">
        <v>-1</v>
      </c>
      <c r="M74">
        <v>18</v>
      </c>
      <c r="N74">
        <v>5</v>
      </c>
      <c r="O74">
        <v>9</v>
      </c>
      <c r="P74">
        <v>207</v>
      </c>
      <c r="Q74">
        <v>20</v>
      </c>
      <c r="R74">
        <v>1</v>
      </c>
      <c r="S74" t="s">
        <v>299</v>
      </c>
      <c r="T74">
        <v>0</v>
      </c>
      <c r="U74" s="2" t="s">
        <v>503</v>
      </c>
      <c r="V74" s="2" t="s">
        <v>343</v>
      </c>
      <c r="W74" s="2" t="s">
        <v>343</v>
      </c>
      <c r="X74" s="2"/>
      <c r="Y74" s="2"/>
      <c r="Z74" s="2"/>
      <c r="AA74" s="2"/>
      <c r="AB74" s="2"/>
      <c r="AC74" s="2"/>
      <c r="AD74" s="2"/>
      <c r="AG74">
        <v>8</v>
      </c>
      <c r="AI74">
        <v>56</v>
      </c>
      <c r="AJ74">
        <v>60</v>
      </c>
      <c r="AQ74" t="s">
        <v>360</v>
      </c>
      <c r="AV74" s="2">
        <f>SQRT(J74*K74)*POWER((MIN(M74,20)+SQRT(MAX(M74-20,0))),0.9)*Data!$B$1</f>
        <v>42.898565562476904</v>
      </c>
      <c r="AW74" s="2">
        <f>POWER((J74*J74*K74), 0.33)*LOG10(P74)*10*Data!$B$1</f>
        <v>85.665193700262009</v>
      </c>
      <c r="AX74" s="2"/>
      <c r="AY74" s="2"/>
      <c r="AZ74" s="2">
        <f>IFERROR((SQRT($J74*$AG74)*POWER((MIN($M74,20)+SQRT(MAX($M74-20,0))),0.9)*Data!$B$1)*(1 - (R74-1)),AV74)</f>
        <v>24.767498375344847</v>
      </c>
      <c r="BA74" s="2">
        <f>IFERROR(((POWER(($J74*$J74*$AG74), 0.33)*LOG10($AE74)*10*Data!$B$1)*R74),AW74)</f>
        <v>85.665193700262009</v>
      </c>
      <c r="BB74" s="2">
        <f t="shared" si="14"/>
        <v>60.483870967741936</v>
      </c>
      <c r="BC74" s="2">
        <f t="shared" si="17"/>
        <v>0</v>
      </c>
      <c r="BD74" s="2">
        <f t="shared" si="18"/>
        <v>45.161290322580648</v>
      </c>
      <c r="BE74" s="2">
        <f t="shared" si="19"/>
        <v>48.387096774193552</v>
      </c>
      <c r="BF74" s="2">
        <v>1</v>
      </c>
      <c r="BG74" s="2">
        <f t="shared" si="15"/>
        <v>24</v>
      </c>
      <c r="BH74" s="2">
        <f t="shared" si="20"/>
        <v>8</v>
      </c>
      <c r="BI74" s="2">
        <f t="shared" si="16"/>
        <v>23</v>
      </c>
      <c r="BJ74" s="2">
        <f t="shared" si="7"/>
        <v>7</v>
      </c>
      <c r="BK74" s="3">
        <v>8.5</v>
      </c>
      <c r="BL74" s="3">
        <v>2.2000000000000002</v>
      </c>
      <c r="BM74" s="3">
        <v>2.6</v>
      </c>
      <c r="BN74">
        <f t="shared" si="21"/>
        <v>0</v>
      </c>
      <c r="BO74" s="2" t="str">
        <f>CONCATENATE(
ROUND(BK74*VLOOKUP(I74,'ID Scheme'!$A$2:$E$7,3),0), "x",
ROUND(BL74*VLOOKUP(I74,'ID Scheme'!$A$2:$E$7,5),0), "x",
ROUND(BM74*VLOOKUP(I74,'ID Scheme'!$A$2:$E$7,4),0))</f>
        <v>79x32x25</v>
      </c>
      <c r="BP74" t="s">
        <v>91</v>
      </c>
    </row>
    <row r="75" spans="1:68" x14ac:dyDescent="0.25">
      <c r="A75" t="s">
        <v>18</v>
      </c>
      <c r="B75" t="s">
        <v>234</v>
      </c>
      <c r="C75" t="s">
        <v>369</v>
      </c>
      <c r="D75">
        <f>IF(F75 &gt; 2020, ((F75-2020)*4)+1610+H75,IF(F75 &gt; 1900, ((F75-1900)*10)+400+H75, ((F75-1730)*2)+H75))+VLOOKUP(I75,'ID Scheme'!$A$2:$B$7,2, FALSE)</f>
        <v>4041</v>
      </c>
      <c r="F75">
        <v>2004</v>
      </c>
      <c r="G75">
        <v>6</v>
      </c>
      <c r="H75">
        <v>1</v>
      </c>
      <c r="I75" t="s">
        <v>13</v>
      </c>
      <c r="J75">
        <v>72</v>
      </c>
      <c r="K75">
        <v>54</v>
      </c>
      <c r="L75">
        <v>-1</v>
      </c>
      <c r="M75">
        <v>15</v>
      </c>
      <c r="N75">
        <v>5</v>
      </c>
      <c r="O75">
        <v>12.5</v>
      </c>
      <c r="P75">
        <v>580</v>
      </c>
      <c r="Q75">
        <v>20</v>
      </c>
      <c r="R75">
        <v>1</v>
      </c>
      <c r="S75" t="s">
        <v>311</v>
      </c>
      <c r="T75">
        <v>-3</v>
      </c>
      <c r="U75" s="2" t="s">
        <v>502</v>
      </c>
      <c r="V75" s="2"/>
      <c r="W75" s="2" t="s">
        <v>343</v>
      </c>
      <c r="X75" s="2"/>
      <c r="Y75" s="2" t="s">
        <v>343</v>
      </c>
      <c r="Z75" s="2"/>
      <c r="AA75" s="2"/>
      <c r="AB75" s="2"/>
      <c r="AC75" s="2" t="s">
        <v>374</v>
      </c>
      <c r="AD75" s="2"/>
      <c r="AG75">
        <v>30</v>
      </c>
      <c r="AI75">
        <v>56</v>
      </c>
      <c r="AJ75">
        <v>60</v>
      </c>
      <c r="AL75">
        <v>1</v>
      </c>
      <c r="AO75" t="s">
        <v>433</v>
      </c>
      <c r="AP75" t="s">
        <v>424</v>
      </c>
      <c r="AQ75" t="s">
        <v>360</v>
      </c>
      <c r="AV75" s="2">
        <f>SQRT(J75*K75)*POWER((MIN(M75,20)+SQRT(MAX(M75-20,0))),0.9)*Data!$B$1</f>
        <v>53.506497671783663</v>
      </c>
      <c r="AW75" s="2">
        <f>POWER((J75*J75*K75), 0.33)*LOG10(P75)*10*Data!$B$1</f>
        <v>130.02857541304473</v>
      </c>
      <c r="AX75" s="2"/>
      <c r="AY75" s="2"/>
      <c r="AZ75" s="2">
        <f>IFERROR((SQRT($J75*$AG75)*POWER((MIN($M75,20)+SQRT(MAX($M75-20,0))),0.9)*Data!$B$1)*(1 - (R75-1)),AV75)</f>
        <v>39.881388677347502</v>
      </c>
      <c r="BA75" s="2">
        <f>IFERROR(((POWER(($J75*$J75*$AG75), 0.33)*LOG10($AE75)*10*Data!$B$1)*R75),AW75)</f>
        <v>130.02857541304473</v>
      </c>
      <c r="BB75" s="2">
        <f t="shared" si="14"/>
        <v>58.064516129032256</v>
      </c>
      <c r="BC75" s="2">
        <f t="shared" si="17"/>
        <v>0</v>
      </c>
      <c r="BD75" s="2">
        <f t="shared" si="18"/>
        <v>45.161290322580648</v>
      </c>
      <c r="BE75" s="2">
        <f t="shared" si="19"/>
        <v>48.387096774193552</v>
      </c>
      <c r="BF75" s="2">
        <v>2</v>
      </c>
      <c r="BG75" s="2">
        <f t="shared" si="15"/>
        <v>27</v>
      </c>
      <c r="BH75" s="2">
        <f t="shared" si="20"/>
        <v>15</v>
      </c>
      <c r="BI75" s="2">
        <f t="shared" si="16"/>
        <v>53</v>
      </c>
      <c r="BJ75" s="2">
        <f t="shared" si="7"/>
        <v>29</v>
      </c>
      <c r="BK75" s="3"/>
      <c r="BL75" s="3"/>
      <c r="BM75" s="3"/>
      <c r="BN75">
        <f t="shared" si="21"/>
        <v>3</v>
      </c>
      <c r="BO75" s="2" t="str">
        <f>CONCATENATE(
ROUND(BK75*VLOOKUP(I75,'ID Scheme'!$A$2:$E$7,3),0), "x",
ROUND(BL75*VLOOKUP(I75,'ID Scheme'!$A$2:$E$7,5),0), "x",
ROUND(BM75*VLOOKUP(I75,'ID Scheme'!$A$2:$E$7,4),0))</f>
        <v>0x0x0</v>
      </c>
    </row>
    <row r="76" spans="1:68" x14ac:dyDescent="0.25">
      <c r="A76" t="s">
        <v>77</v>
      </c>
      <c r="B76" t="s">
        <v>216</v>
      </c>
      <c r="C76" t="s">
        <v>339</v>
      </c>
      <c r="D76">
        <f>IF(F76 &gt; 2020, ((F76-2020)*4)+1610+H76,IF(F76 &gt; 1900, ((F76-1900)*10)+400+H76, ((F76-1730)*2)+H76))+VLOOKUP(I76,'ID Scheme'!$A$2:$B$7,2, FALSE)</f>
        <v>4051</v>
      </c>
      <c r="F76">
        <v>2005</v>
      </c>
      <c r="G76">
        <v>1</v>
      </c>
      <c r="H76">
        <v>1</v>
      </c>
      <c r="I76" t="s">
        <v>13</v>
      </c>
      <c r="J76">
        <v>80</v>
      </c>
      <c r="K76">
        <v>18</v>
      </c>
      <c r="L76">
        <v>-1</v>
      </c>
      <c r="M76">
        <v>19</v>
      </c>
      <c r="N76">
        <v>5</v>
      </c>
      <c r="O76">
        <v>3</v>
      </c>
      <c r="P76">
        <v>175</v>
      </c>
      <c r="Q76">
        <v>20</v>
      </c>
      <c r="R76">
        <v>1</v>
      </c>
      <c r="S76" t="s">
        <v>299</v>
      </c>
      <c r="T76">
        <v>0</v>
      </c>
      <c r="U76" s="2" t="s">
        <v>501</v>
      </c>
      <c r="V76" s="2" t="s">
        <v>343</v>
      </c>
      <c r="W76" s="2" t="s">
        <v>343</v>
      </c>
      <c r="X76" s="2"/>
      <c r="Y76" s="2"/>
      <c r="Z76" s="2"/>
      <c r="AA76" s="2"/>
      <c r="AB76" s="2"/>
      <c r="AC76" s="2"/>
      <c r="AD76" s="2"/>
      <c r="AG76">
        <v>4</v>
      </c>
      <c r="AJ76">
        <v>60</v>
      </c>
      <c r="AQ76" t="s">
        <v>360</v>
      </c>
      <c r="AV76" s="2">
        <f>SQRT(J76*K76)*POWER((MIN(M76,20)+SQRT(MAX(M76-20,0))),0.9)*Data!$B$1</f>
        <v>40.282902046468678</v>
      </c>
      <c r="AW76" s="2">
        <f>POWER((J76*J76*K76), 0.33)*LOG10(P76)*10*Data!$B$1</f>
        <v>78.736702415748411</v>
      </c>
      <c r="AX76" s="2"/>
      <c r="AY76" s="2"/>
      <c r="AZ76" s="2">
        <f>IFERROR((SQRT($J76*$AG76)*POWER((MIN($M76,20)+SQRT(MAX($M76-20,0))),0.9)*Data!$B$1)*(1 - (R76-1)),AV76)</f>
        <v>18.989542135287639</v>
      </c>
      <c r="BA76" s="2">
        <f>IFERROR(((POWER(($J76*$J76*$AG76), 0.33)*LOG10($AE76)*10*Data!$B$1)*R76),AW76)</f>
        <v>78.736702415748411</v>
      </c>
      <c r="BB76" s="2">
        <f t="shared" ref="BB76:BB107" si="22">J76/1.24</f>
        <v>64.516129032258064</v>
      </c>
      <c r="BC76" s="2">
        <f t="shared" si="17"/>
        <v>0</v>
      </c>
      <c r="BD76" s="2">
        <f t="shared" si="18"/>
        <v>0</v>
      </c>
      <c r="BE76" s="2">
        <f t="shared" si="19"/>
        <v>48.387096774193552</v>
      </c>
      <c r="BF76" s="2">
        <v>1</v>
      </c>
      <c r="BG76" s="2">
        <f t="shared" ref="BG76:BG107" si="23">K76/BF76</f>
        <v>18</v>
      </c>
      <c r="BH76" s="2">
        <f t="shared" si="20"/>
        <v>4</v>
      </c>
      <c r="BI76" s="2">
        <f t="shared" ref="BI76:BI107" si="24">(K76-1)/MAX(BF76-1, 1)</f>
        <v>17</v>
      </c>
      <c r="BJ76" s="2">
        <f t="shared" si="7"/>
        <v>3</v>
      </c>
      <c r="BK76" s="3">
        <v>6.2</v>
      </c>
      <c r="BL76" s="3">
        <v>2.2000000000000002</v>
      </c>
      <c r="BM76" s="3">
        <v>2.6</v>
      </c>
      <c r="BN76">
        <f t="shared" si="21"/>
        <v>1</v>
      </c>
      <c r="BO76" s="2" t="str">
        <f>CONCATENATE(
ROUND(BK76*VLOOKUP(I76,'ID Scheme'!$A$2:$E$7,3),0), "x",
ROUND(BL76*VLOOKUP(I76,'ID Scheme'!$A$2:$E$7,5),0), "x",
ROUND(BM76*VLOOKUP(I76,'ID Scheme'!$A$2:$E$7,4),0))</f>
        <v>58x32x25</v>
      </c>
      <c r="BP76" t="s">
        <v>78</v>
      </c>
    </row>
    <row r="77" spans="1:68" x14ac:dyDescent="0.25">
      <c r="A77" t="s">
        <v>102</v>
      </c>
      <c r="B77" t="s">
        <v>225</v>
      </c>
      <c r="C77" t="s">
        <v>369</v>
      </c>
      <c r="D77">
        <f>IF(F77 &gt; 2020, ((F77-2020)*4)+1610+H77,IF(F77 &gt; 1900, ((F77-1900)*10)+400+H77, ((F77-1730)*2)+H77))+VLOOKUP(I77,'ID Scheme'!$A$2:$B$7,2, FALSE)</f>
        <v>4052</v>
      </c>
      <c r="F77">
        <v>2005</v>
      </c>
      <c r="G77">
        <v>6</v>
      </c>
      <c r="H77">
        <v>2</v>
      </c>
      <c r="I77" t="s">
        <v>13</v>
      </c>
      <c r="J77">
        <v>70</v>
      </c>
      <c r="K77">
        <v>54</v>
      </c>
      <c r="L77">
        <v>-1</v>
      </c>
      <c r="M77">
        <v>18</v>
      </c>
      <c r="N77">
        <v>5</v>
      </c>
      <c r="O77">
        <v>12</v>
      </c>
      <c r="P77">
        <v>380</v>
      </c>
      <c r="Q77">
        <v>20</v>
      </c>
      <c r="R77">
        <v>1</v>
      </c>
      <c r="S77" t="s">
        <v>305</v>
      </c>
      <c r="T77">
        <v>-3</v>
      </c>
      <c r="U77" s="2" t="s">
        <v>500</v>
      </c>
      <c r="V77" s="2"/>
      <c r="W77" s="2" t="s">
        <v>343</v>
      </c>
      <c r="X77" s="2"/>
      <c r="Y77" s="2" t="s">
        <v>343</v>
      </c>
      <c r="Z77" s="2"/>
      <c r="AA77" s="2"/>
      <c r="AB77" s="2"/>
      <c r="AC77" s="2" t="s">
        <v>374</v>
      </c>
      <c r="AD77" s="2"/>
      <c r="AG77">
        <v>30</v>
      </c>
      <c r="AI77">
        <v>56</v>
      </c>
      <c r="AJ77">
        <v>60</v>
      </c>
      <c r="AL77">
        <v>1</v>
      </c>
      <c r="AO77" t="s">
        <v>433</v>
      </c>
      <c r="AP77" t="s">
        <v>424</v>
      </c>
      <c r="AQ77" t="s">
        <v>360</v>
      </c>
      <c r="AV77" s="2">
        <f>SQRT(J77*K77)*POWER((MIN(M77,20)+SQRT(MAX(M77-20,0))),0.9)*Data!$B$1</f>
        <v>62.165927543696078</v>
      </c>
      <c r="AW77" s="2">
        <f>POWER((J77*J77*K77), 0.33)*LOG10(P77)*10*Data!$B$1</f>
        <v>119.15141041758832</v>
      </c>
      <c r="AX77" s="2"/>
      <c r="AY77" s="2"/>
      <c r="AZ77" s="2">
        <f>IFERROR((SQRT($J77*$AG77)*POWER((MIN($M77,20)+SQRT(MAX($M77-20,0))),0.9)*Data!$B$1)*(1 - (R77-1)),AV77)</f>
        <v>46.335746624010312</v>
      </c>
      <c r="BA77" s="2">
        <f>IFERROR(((POWER(($J77*$J77*$AG77), 0.33)*LOG10($AE77)*10*Data!$B$1)*R77),AW77)</f>
        <v>119.15141041758832</v>
      </c>
      <c r="BB77" s="2">
        <f t="shared" si="22"/>
        <v>56.451612903225808</v>
      </c>
      <c r="BC77" s="2">
        <f t="shared" ref="BC77:BC108" si="25">AF77/1.24</f>
        <v>0</v>
      </c>
      <c r="BD77" s="2">
        <f t="shared" ref="BD77:BD108" si="26">AI77/1.24</f>
        <v>45.161290322580648</v>
      </c>
      <c r="BE77" s="2">
        <f t="shared" ref="BE77:BE108" si="27">AJ77/1.24</f>
        <v>48.387096774193552</v>
      </c>
      <c r="BF77" s="2">
        <v>2</v>
      </c>
      <c r="BG77" s="2">
        <f t="shared" si="23"/>
        <v>27</v>
      </c>
      <c r="BH77" s="2">
        <f t="shared" ref="BH77:BH108" si="28">AG77/BF77</f>
        <v>15</v>
      </c>
      <c r="BI77" s="2">
        <f t="shared" si="24"/>
        <v>53</v>
      </c>
      <c r="BJ77" s="2">
        <f t="shared" si="7"/>
        <v>29</v>
      </c>
      <c r="BM77" s="3"/>
      <c r="BN77">
        <f t="shared" si="21"/>
        <v>0</v>
      </c>
      <c r="BO77" s="2" t="str">
        <f>CONCATENATE(
ROUND(BK77*VLOOKUP(I77,'ID Scheme'!$A$2:$E$7,3),0), "x",
ROUND(BL77*VLOOKUP(I77,'ID Scheme'!$A$2:$E$7,5),0), "x",
ROUND(BM77*VLOOKUP(I77,'ID Scheme'!$A$2:$E$7,4),0))</f>
        <v>0x0x0</v>
      </c>
      <c r="BP77" t="s">
        <v>103</v>
      </c>
    </row>
    <row r="78" spans="1:68" x14ac:dyDescent="0.25">
      <c r="A78" t="s">
        <v>57</v>
      </c>
      <c r="B78" t="s">
        <v>264</v>
      </c>
      <c r="C78" t="s">
        <v>382</v>
      </c>
      <c r="D78">
        <f>IF(F78 &gt; 2020, ((F78-2020)*4)+1610+H78,IF(F78 &gt; 1900, ((F78-1900)*10)+400+H78, ((F78-1730)*2)+H78))+VLOOKUP(I78,'ID Scheme'!$A$2:$B$7,2, FALSE)</f>
        <v>5121</v>
      </c>
      <c r="F78">
        <v>1912</v>
      </c>
      <c r="G78">
        <v>1</v>
      </c>
      <c r="H78">
        <v>1</v>
      </c>
      <c r="I78" t="s">
        <v>14</v>
      </c>
      <c r="J78">
        <v>40</v>
      </c>
      <c r="K78">
        <v>4</v>
      </c>
      <c r="L78">
        <v>28</v>
      </c>
      <c r="M78">
        <v>12</v>
      </c>
      <c r="N78">
        <v>5</v>
      </c>
      <c r="O78">
        <v>1</v>
      </c>
      <c r="P78">
        <v>20</v>
      </c>
      <c r="Q78">
        <v>20</v>
      </c>
      <c r="R78">
        <v>1</v>
      </c>
      <c r="S78" t="s">
        <v>377</v>
      </c>
      <c r="T78">
        <v>-3</v>
      </c>
      <c r="U78" s="2" t="s">
        <v>499</v>
      </c>
      <c r="V78" s="2"/>
      <c r="W78" s="2"/>
      <c r="X78" s="2"/>
      <c r="Y78" s="2"/>
      <c r="Z78" s="2"/>
      <c r="AA78" s="2"/>
      <c r="AB78" s="2"/>
      <c r="AC78" s="2"/>
      <c r="AD78" s="2"/>
      <c r="AG78">
        <v>1</v>
      </c>
      <c r="AH78">
        <v>3</v>
      </c>
      <c r="AQ78" t="s">
        <v>361</v>
      </c>
      <c r="AV78" s="2">
        <f>SQRT(J78*K78)*POWER((MIN(M78,20)+SQRT(MAX(M78-20,0))),0.9)*Data!$B$1</f>
        <v>8.8794154486294588</v>
      </c>
      <c r="AW78" s="2">
        <f>POWER((J78*J78*K78), 0.33)*LOG10(P78)*10*Data!$B$1</f>
        <v>17.594947052790868</v>
      </c>
      <c r="AX78" s="2"/>
      <c r="AY78" s="2"/>
      <c r="AZ78" s="2">
        <f>IFERROR((SQRT($J78*$AG78)*POWER((MIN($M78,20)+SQRT(MAX($M78-20,0))),0.9)*Data!$B$1)*(1 - (R78-1)),AV78)</f>
        <v>4.4397077243147294</v>
      </c>
      <c r="BA78" s="2">
        <f>IFERROR(((POWER(($J78*$J78*$AG78), 0.33)*LOG10($AE78)*10*Data!$B$1)*R78),AW78)</f>
        <v>17.594947052790868</v>
      </c>
      <c r="BB78" s="2">
        <f t="shared" si="22"/>
        <v>32.258064516129032</v>
      </c>
      <c r="BC78" s="2">
        <f t="shared" si="25"/>
        <v>0</v>
      </c>
      <c r="BD78" s="2">
        <f t="shared" si="26"/>
        <v>0</v>
      </c>
      <c r="BE78" s="2">
        <f t="shared" si="27"/>
        <v>0</v>
      </c>
      <c r="BF78" s="2">
        <v>1</v>
      </c>
      <c r="BG78" s="2">
        <f t="shared" si="23"/>
        <v>4</v>
      </c>
      <c r="BH78" s="2">
        <f t="shared" si="28"/>
        <v>1</v>
      </c>
      <c r="BI78" s="2">
        <f t="shared" si="24"/>
        <v>3</v>
      </c>
      <c r="BJ78" s="2">
        <f t="shared" ref="BJ78:BJ122" si="29">(AG78-1)/MAX(BF78-1, 1)</f>
        <v>0</v>
      </c>
      <c r="BK78" s="3"/>
      <c r="BL78" s="3"/>
      <c r="BM78" s="3"/>
      <c r="BN78">
        <f t="shared" si="21"/>
        <v>-93</v>
      </c>
      <c r="BO78" s="2" t="str">
        <f>CONCATENATE(
ROUND(BK78*VLOOKUP(I78,'ID Scheme'!$A$2:$E$7,3),0), "x",
ROUND(BL78*VLOOKUP(I78,'ID Scheme'!$A$2:$E$7,5),0), "x",
ROUND(BM78*VLOOKUP(I78,'ID Scheme'!$A$2:$E$7,4),0))</f>
        <v>0x0x0</v>
      </c>
    </row>
    <row r="79" spans="1:68" x14ac:dyDescent="0.25">
      <c r="A79" t="s">
        <v>63</v>
      </c>
      <c r="B79" t="s">
        <v>259</v>
      </c>
      <c r="C79" t="s">
        <v>382</v>
      </c>
      <c r="D79">
        <f>IF(F79 &gt; 2020, ((F79-2020)*4)+1610+H79,IF(F79 &gt; 1900, ((F79-1900)*10)+400+H79, ((F79-1730)*2)+H79))+VLOOKUP(I79,'ID Scheme'!$A$2:$B$7,2, FALSE)</f>
        <v>5381</v>
      </c>
      <c r="F79">
        <v>1938</v>
      </c>
      <c r="G79">
        <v>6</v>
      </c>
      <c r="H79">
        <v>1</v>
      </c>
      <c r="I79" t="s">
        <v>14</v>
      </c>
      <c r="J79">
        <v>45</v>
      </c>
      <c r="K79">
        <v>5</v>
      </c>
      <c r="L79">
        <v>20</v>
      </c>
      <c r="M79">
        <v>14</v>
      </c>
      <c r="N79">
        <v>5</v>
      </c>
      <c r="O79">
        <v>1</v>
      </c>
      <c r="P79">
        <v>32</v>
      </c>
      <c r="Q79">
        <v>20</v>
      </c>
      <c r="R79">
        <v>1</v>
      </c>
      <c r="S79" t="s">
        <v>377</v>
      </c>
      <c r="T79">
        <v>-3</v>
      </c>
      <c r="U79" s="2" t="s">
        <v>498</v>
      </c>
      <c r="V79" s="2"/>
      <c r="W79" s="2"/>
      <c r="X79" s="2"/>
      <c r="Y79" s="2"/>
      <c r="Z79" s="2"/>
      <c r="AA79" s="2"/>
      <c r="AB79" s="2"/>
      <c r="AC79" s="2"/>
      <c r="AD79" s="2"/>
      <c r="AG79">
        <v>1</v>
      </c>
      <c r="AH79">
        <v>3</v>
      </c>
      <c r="AQ79" t="s">
        <v>361</v>
      </c>
      <c r="AV79" s="2">
        <f>SQRT(J79*K79)*POWER((MIN(M79,20)+SQRT(MAX(M79-20,0))),0.9)*Data!$B$1</f>
        <v>12.0967235181487</v>
      </c>
      <c r="AW79" s="2">
        <f>POWER((J79*J79*K79), 0.33)*LOG10(P79)*10*Data!$B$1</f>
        <v>23.682164888763008</v>
      </c>
      <c r="AX79" s="2"/>
      <c r="AY79" s="2"/>
      <c r="AZ79" s="2">
        <f>IFERROR((SQRT($J79*$AG79)*POWER((MIN($M79,20)+SQRT(MAX($M79-20,0))),0.9)*Data!$B$1)*(1 - (R79-1)),AV79)</f>
        <v>5.4098192183201812</v>
      </c>
      <c r="BA79" s="2">
        <f>IFERROR(((POWER(($J79*$J79*$AG79), 0.33)*LOG10($AE79)*10*Data!$B$1)*R79),AW79)</f>
        <v>23.682164888763008</v>
      </c>
      <c r="BB79" s="2">
        <f t="shared" si="22"/>
        <v>36.29032258064516</v>
      </c>
      <c r="BC79" s="2">
        <f t="shared" si="25"/>
        <v>0</v>
      </c>
      <c r="BD79" s="2">
        <f t="shared" si="26"/>
        <v>0</v>
      </c>
      <c r="BE79" s="2">
        <f t="shared" si="27"/>
        <v>0</v>
      </c>
      <c r="BF79" s="2">
        <v>1</v>
      </c>
      <c r="BG79" s="2">
        <f t="shared" si="23"/>
        <v>5</v>
      </c>
      <c r="BH79" s="2">
        <f t="shared" si="28"/>
        <v>1</v>
      </c>
      <c r="BI79" s="2">
        <f t="shared" si="24"/>
        <v>4</v>
      </c>
      <c r="BJ79" s="2">
        <f t="shared" si="29"/>
        <v>0</v>
      </c>
      <c r="BK79" s="3"/>
      <c r="BL79" s="3"/>
      <c r="BM79" s="3"/>
      <c r="BN79">
        <f t="shared" si="21"/>
        <v>26</v>
      </c>
      <c r="BO79" s="2" t="str">
        <f>CONCATENATE(
ROUND(BK79*VLOOKUP(I79,'ID Scheme'!$A$2:$E$7,3),0), "x",
ROUND(BL79*VLOOKUP(I79,'ID Scheme'!$A$2:$E$7,5),0), "x",
ROUND(BM79*VLOOKUP(I79,'ID Scheme'!$A$2:$E$7,4),0))</f>
        <v>0x0x0</v>
      </c>
    </row>
    <row r="80" spans="1:68" x14ac:dyDescent="0.25">
      <c r="A80" t="s">
        <v>266</v>
      </c>
      <c r="B80" t="s">
        <v>265</v>
      </c>
      <c r="C80" t="s">
        <v>382</v>
      </c>
      <c r="D80">
        <f>IF(F80 &gt; 2020, ((F80-2020)*4)+1610+H80,IF(F80 &gt; 1900, ((F80-1900)*10)+400+H80, ((F80-1730)*2)+H80))+VLOOKUP(I80,'ID Scheme'!$A$2:$B$7,2, FALSE)</f>
        <v>5571</v>
      </c>
      <c r="F80">
        <v>1957</v>
      </c>
      <c r="G80">
        <v>1</v>
      </c>
      <c r="H80">
        <v>1</v>
      </c>
      <c r="I80" t="s">
        <v>14</v>
      </c>
      <c r="J80">
        <v>60</v>
      </c>
      <c r="K80">
        <v>6</v>
      </c>
      <c r="L80">
        <v>16</v>
      </c>
      <c r="M80">
        <v>12</v>
      </c>
      <c r="N80">
        <v>5</v>
      </c>
      <c r="O80">
        <v>1</v>
      </c>
      <c r="P80">
        <v>53</v>
      </c>
      <c r="Q80">
        <v>20</v>
      </c>
      <c r="R80">
        <v>1</v>
      </c>
      <c r="S80" t="s">
        <v>377</v>
      </c>
      <c r="T80">
        <v>-3</v>
      </c>
      <c r="U80" s="2" t="s">
        <v>497</v>
      </c>
      <c r="V80" s="2"/>
      <c r="W80" s="2"/>
      <c r="X80" s="2"/>
      <c r="Y80" s="2"/>
      <c r="Z80" s="2"/>
      <c r="AA80" s="2"/>
      <c r="AB80" s="2"/>
      <c r="AC80" s="2"/>
      <c r="AD80" s="2"/>
      <c r="AG80">
        <v>1</v>
      </c>
      <c r="AH80">
        <v>4</v>
      </c>
      <c r="AQ80" t="s">
        <v>361</v>
      </c>
      <c r="AV80" s="2">
        <f>SQRT(J80*K80)*POWER((MIN(M80,20)+SQRT(MAX(M80-20,0))),0.9)*Data!$B$1</f>
        <v>13.319123172944188</v>
      </c>
      <c r="AW80" s="2">
        <f>POWER((J80*J80*K80), 0.33)*LOG10(P80)*10*Data!$B$1</f>
        <v>34.83675961560575</v>
      </c>
      <c r="AX80" s="2"/>
      <c r="AY80" s="2"/>
      <c r="AZ80" s="2">
        <f>IFERROR((SQRT($J80*$AG80)*POWER((MIN($M80,20)+SQRT(MAX($M80-20,0))),0.9)*Data!$B$1)*(1 - (R80-1)),AV80)</f>
        <v>5.4375092658320874</v>
      </c>
      <c r="BA80" s="2">
        <f>IFERROR(((POWER(($J80*$J80*$AG80), 0.33)*LOG10($AE80)*10*Data!$B$1)*R80),AW80)</f>
        <v>34.83675961560575</v>
      </c>
      <c r="BB80" s="2">
        <f t="shared" si="22"/>
        <v>48.387096774193552</v>
      </c>
      <c r="BC80" s="2">
        <f t="shared" si="25"/>
        <v>0</v>
      </c>
      <c r="BD80" s="2">
        <f t="shared" si="26"/>
        <v>0</v>
      </c>
      <c r="BE80" s="2">
        <f t="shared" si="27"/>
        <v>0</v>
      </c>
      <c r="BF80" s="2">
        <v>1</v>
      </c>
      <c r="BG80" s="2">
        <f t="shared" si="23"/>
        <v>6</v>
      </c>
      <c r="BH80" s="2">
        <f t="shared" si="28"/>
        <v>1</v>
      </c>
      <c r="BI80" s="2">
        <f t="shared" si="24"/>
        <v>5</v>
      </c>
      <c r="BJ80" s="2">
        <f t="shared" si="29"/>
        <v>0</v>
      </c>
      <c r="BK80" s="3"/>
      <c r="BL80" s="3"/>
      <c r="BM80" s="3"/>
      <c r="BN80">
        <f t="shared" si="21"/>
        <v>19</v>
      </c>
      <c r="BO80" s="2" t="str">
        <f>CONCATENATE(
ROUND(BK80*VLOOKUP(I80,'ID Scheme'!$A$2:$E$7,3),0), "x",
ROUND(BL80*VLOOKUP(I80,'ID Scheme'!$A$2:$E$7,5),0), "x",
ROUND(BM80*VLOOKUP(I80,'ID Scheme'!$A$2:$E$7,4),0))</f>
        <v>0x0x0</v>
      </c>
    </row>
    <row r="81" spans="1:68" x14ac:dyDescent="0.25">
      <c r="A81" t="s">
        <v>62</v>
      </c>
      <c r="B81" t="s">
        <v>263</v>
      </c>
      <c r="C81" t="s">
        <v>382</v>
      </c>
      <c r="D81">
        <f>IF(F81 &gt; 2020, ((F81-2020)*4)+1610+H81,IF(F81 &gt; 1900, ((F81-1900)*10)+400+H81, ((F81-1730)*2)+H81))+VLOOKUP(I81,'ID Scheme'!$A$2:$B$7,2, FALSE)</f>
        <v>5601</v>
      </c>
      <c r="F81">
        <v>1960</v>
      </c>
      <c r="G81">
        <v>1</v>
      </c>
      <c r="H81">
        <v>1</v>
      </c>
      <c r="I81" t="s">
        <v>14</v>
      </c>
      <c r="J81">
        <v>60</v>
      </c>
      <c r="K81">
        <v>8</v>
      </c>
      <c r="L81">
        <v>22</v>
      </c>
      <c r="M81">
        <v>15</v>
      </c>
      <c r="N81">
        <v>5</v>
      </c>
      <c r="O81">
        <v>1</v>
      </c>
      <c r="P81">
        <v>58</v>
      </c>
      <c r="Q81">
        <v>20</v>
      </c>
      <c r="R81">
        <v>1.1000000000000001</v>
      </c>
      <c r="S81" t="s">
        <v>377</v>
      </c>
      <c r="T81">
        <v>-3</v>
      </c>
      <c r="U81" s="2" t="s">
        <v>519</v>
      </c>
      <c r="V81" s="2"/>
      <c r="W81" s="2"/>
      <c r="X81" s="2"/>
      <c r="Y81" s="2"/>
      <c r="Z81" s="2"/>
      <c r="AA81" s="2"/>
      <c r="AB81" s="2"/>
      <c r="AC81" s="2"/>
      <c r="AD81" s="2"/>
      <c r="AG81">
        <v>1</v>
      </c>
      <c r="AH81">
        <v>4</v>
      </c>
      <c r="AQ81" t="s">
        <v>361</v>
      </c>
      <c r="AV81" s="2">
        <f>SQRT(J81*K81)*POWER((MIN(M81,20)+SQRT(MAX(M81-20,0))),0.9)*Data!$B$1</f>
        <v>18.800266917925878</v>
      </c>
      <c r="AW81" s="2">
        <f>POWER((J81*J81*K81), 0.33)*LOG10(P81)*10*Data!$B$1</f>
        <v>39.175857841532874</v>
      </c>
      <c r="AX81" s="2"/>
      <c r="AY81" s="2"/>
      <c r="AZ81" s="2">
        <f>IFERROR((SQRT($J81*$AG81)*POWER((MIN($M81,20)+SQRT(MAX($M81-20,0))),0.9)*Data!$B$1)*(1 - (R81-1)),AV81)</f>
        <v>5.9822083016021255</v>
      </c>
      <c r="BA81" s="2">
        <f>IFERROR(((POWER(($J81*$J81*$AG81), 0.33)*LOG10($AE81)*10*Data!$B$1)*R81),AW81)</f>
        <v>39.175857841532874</v>
      </c>
      <c r="BB81" s="2">
        <f t="shared" si="22"/>
        <v>48.387096774193552</v>
      </c>
      <c r="BC81" s="2">
        <f t="shared" si="25"/>
        <v>0</v>
      </c>
      <c r="BD81" s="2">
        <f t="shared" si="26"/>
        <v>0</v>
      </c>
      <c r="BE81" s="2">
        <f t="shared" si="27"/>
        <v>0</v>
      </c>
      <c r="BF81" s="2">
        <v>1</v>
      </c>
      <c r="BG81" s="2">
        <f t="shared" si="23"/>
        <v>8</v>
      </c>
      <c r="BH81" s="2">
        <f t="shared" si="28"/>
        <v>1</v>
      </c>
      <c r="BI81" s="2">
        <f t="shared" si="24"/>
        <v>7</v>
      </c>
      <c r="BJ81" s="2">
        <f t="shared" si="29"/>
        <v>0</v>
      </c>
      <c r="BK81" s="3"/>
      <c r="BL81" s="3"/>
      <c r="BM81" s="3"/>
      <c r="BN81">
        <f t="shared" si="21"/>
        <v>3</v>
      </c>
      <c r="BO81" s="2" t="str">
        <f>CONCATENATE(
ROUND(BK81*VLOOKUP(I81,'ID Scheme'!$A$2:$E$7,3),0), "x",
ROUND(BL81*VLOOKUP(I81,'ID Scheme'!$A$2:$E$7,5),0), "x",
ROUND(BM81*VLOOKUP(I81,'ID Scheme'!$A$2:$E$7,4),0))</f>
        <v>0x0x0</v>
      </c>
    </row>
    <row r="82" spans="1:68" x14ac:dyDescent="0.25">
      <c r="A82" t="s">
        <v>37</v>
      </c>
      <c r="B82" t="s">
        <v>268</v>
      </c>
      <c r="C82" t="s">
        <v>382</v>
      </c>
      <c r="D82">
        <f>IF(F82 &gt; 2020, ((F82-2020)*4)+1610+H82,IF(F82 &gt; 1900, ((F82-1900)*10)+400+H82, ((F82-1730)*2)+H82))+VLOOKUP(I82,'ID Scheme'!$A$2:$B$7,2, FALSE)</f>
        <v>5651</v>
      </c>
      <c r="F82">
        <v>1965</v>
      </c>
      <c r="G82">
        <v>10</v>
      </c>
      <c r="H82">
        <v>1</v>
      </c>
      <c r="I82" t="s">
        <v>14</v>
      </c>
      <c r="J82">
        <v>65</v>
      </c>
      <c r="K82">
        <v>8</v>
      </c>
      <c r="L82">
        <v>18</v>
      </c>
      <c r="M82">
        <v>14</v>
      </c>
      <c r="N82">
        <v>5</v>
      </c>
      <c r="O82">
        <v>1.5</v>
      </c>
      <c r="P82">
        <v>90</v>
      </c>
      <c r="Q82">
        <v>20</v>
      </c>
      <c r="R82">
        <v>1</v>
      </c>
      <c r="S82" t="s">
        <v>377</v>
      </c>
      <c r="T82">
        <v>-3</v>
      </c>
      <c r="U82" s="2" t="s">
        <v>496</v>
      </c>
      <c r="V82" s="2"/>
      <c r="W82" s="2"/>
      <c r="X82" s="2"/>
      <c r="Y82" s="2"/>
      <c r="Z82" s="2"/>
      <c r="AA82" s="2"/>
      <c r="AB82" s="2"/>
      <c r="AC82" s="2"/>
      <c r="AD82" s="2"/>
      <c r="AG82">
        <v>2</v>
      </c>
      <c r="AH82">
        <v>6</v>
      </c>
      <c r="AQ82" t="s">
        <v>361</v>
      </c>
      <c r="AV82" s="2">
        <f>SQRT(J82*K82)*POWER((MIN(M82,20)+SQRT(MAX(M82-20,0))),0.9)*Data!$B$1</f>
        <v>18.389849172815911</v>
      </c>
      <c r="AW82" s="2">
        <f>POWER((J82*J82*K82), 0.33)*LOG10(P82)*10*Data!$B$1</f>
        <v>45.77013890849053</v>
      </c>
      <c r="AX82" s="2"/>
      <c r="AY82" s="2"/>
      <c r="AZ82" s="2">
        <f>IFERROR((SQRT($J82*$AG82)*POWER((MIN($M82,20)+SQRT(MAX($M82-20,0))),0.9)*Data!$B$1)*(1 - (R82-1)),AV82)</f>
        <v>9.1949245864079554</v>
      </c>
      <c r="BA82" s="2">
        <f>IFERROR(((POWER(($J82*$J82*$AG82), 0.33)*LOG10($AE82)*10*Data!$B$1)*R82),AW82)</f>
        <v>45.77013890849053</v>
      </c>
      <c r="BB82" s="2">
        <f t="shared" si="22"/>
        <v>52.41935483870968</v>
      </c>
      <c r="BC82" s="2">
        <f t="shared" si="25"/>
        <v>0</v>
      </c>
      <c r="BD82" s="2">
        <f t="shared" si="26"/>
        <v>0</v>
      </c>
      <c r="BE82" s="2">
        <f t="shared" si="27"/>
        <v>0</v>
      </c>
      <c r="BF82" s="2">
        <v>1</v>
      </c>
      <c r="BG82" s="2">
        <f t="shared" si="23"/>
        <v>8</v>
      </c>
      <c r="BH82" s="2">
        <f t="shared" si="28"/>
        <v>2</v>
      </c>
      <c r="BI82" s="2">
        <f t="shared" si="24"/>
        <v>7</v>
      </c>
      <c r="BJ82" s="2">
        <f t="shared" si="29"/>
        <v>1</v>
      </c>
      <c r="BK82" s="3"/>
      <c r="BL82" s="3"/>
      <c r="BM82" s="3"/>
      <c r="BN82">
        <f t="shared" si="21"/>
        <v>5</v>
      </c>
      <c r="BO82" s="2" t="str">
        <f>CONCATENATE(
ROUND(BK82*VLOOKUP(I82,'ID Scheme'!$A$2:$E$7,3),0), "x",
ROUND(BL82*VLOOKUP(I82,'ID Scheme'!$A$2:$E$7,5),0), "x",
ROUND(BM82*VLOOKUP(I82,'ID Scheme'!$A$2:$E$7,4),0))</f>
        <v>0x0x0</v>
      </c>
    </row>
    <row r="83" spans="1:68" x14ac:dyDescent="0.25">
      <c r="A83" t="s">
        <v>38</v>
      </c>
      <c r="B83" t="s">
        <v>269</v>
      </c>
      <c r="C83" t="s">
        <v>382</v>
      </c>
      <c r="D83">
        <f>IF(F83 &gt; 2020, ((F83-2020)*4)+1610+H83,IF(F83 &gt; 1900, ((F83-1900)*10)+400+H83, ((F83-1730)*2)+H83))+VLOOKUP(I83,'ID Scheme'!$A$2:$B$7,2, FALSE)</f>
        <v>5861</v>
      </c>
      <c r="F83">
        <v>1986</v>
      </c>
      <c r="G83">
        <v>1</v>
      </c>
      <c r="H83">
        <v>1</v>
      </c>
      <c r="I83" t="s">
        <v>14</v>
      </c>
      <c r="J83">
        <v>80</v>
      </c>
      <c r="K83">
        <v>10</v>
      </c>
      <c r="L83">
        <v>20</v>
      </c>
      <c r="M83">
        <v>14</v>
      </c>
      <c r="N83">
        <v>5</v>
      </c>
      <c r="O83">
        <v>1.5</v>
      </c>
      <c r="P83">
        <v>100</v>
      </c>
      <c r="Q83">
        <v>20</v>
      </c>
      <c r="R83">
        <v>1</v>
      </c>
      <c r="S83" t="s">
        <v>377</v>
      </c>
      <c r="T83">
        <v>-3</v>
      </c>
      <c r="U83" s="2" t="s">
        <v>488</v>
      </c>
      <c r="V83" s="2"/>
      <c r="W83" s="2"/>
      <c r="X83" s="2"/>
      <c r="Y83" s="2"/>
      <c r="Z83" s="2"/>
      <c r="AA83" s="2"/>
      <c r="AB83" s="2"/>
      <c r="AC83" s="2"/>
      <c r="AD83" s="2"/>
      <c r="AG83">
        <v>3</v>
      </c>
      <c r="AH83">
        <v>7</v>
      </c>
      <c r="AJ83">
        <v>70</v>
      </c>
      <c r="AQ83" t="s">
        <v>361</v>
      </c>
      <c r="AV83" s="2">
        <f>SQRT(J83*K83)*POWER((MIN(M83,20)+SQRT(MAX(M83-20,0))),0.9)*Data!$B$1</f>
        <v>22.809800612857963</v>
      </c>
      <c r="AW83" s="2">
        <f>POWER((J83*J83*K83), 0.33)*LOG10(P83)*10*Data!$B$1</f>
        <v>57.826998441289433</v>
      </c>
      <c r="AX83" s="2"/>
      <c r="AY83" s="2"/>
      <c r="AZ83" s="2">
        <f>IFERROR((SQRT($J83*$AG83)*POWER((MIN($M83,20)+SQRT(MAX($M83-20,0))),0.9)*Data!$B$1)*(1 - (R83-1)),AV83)</f>
        <v>12.493442327857467</v>
      </c>
      <c r="BA83" s="2">
        <f>IFERROR(((POWER(($J83*$J83*$AG83), 0.33)*LOG10($AE83)*10*Data!$B$1)*R83),AW83)</f>
        <v>57.826998441289433</v>
      </c>
      <c r="BB83" s="2">
        <f t="shared" si="22"/>
        <v>64.516129032258064</v>
      </c>
      <c r="BC83" s="2">
        <f t="shared" si="25"/>
        <v>0</v>
      </c>
      <c r="BD83" s="2">
        <f t="shared" si="26"/>
        <v>0</v>
      </c>
      <c r="BE83" s="2">
        <f t="shared" si="27"/>
        <v>56.451612903225808</v>
      </c>
      <c r="BF83" s="2">
        <v>1</v>
      </c>
      <c r="BG83" s="2">
        <f t="shared" si="23"/>
        <v>10</v>
      </c>
      <c r="BH83" s="2">
        <f t="shared" si="28"/>
        <v>3</v>
      </c>
      <c r="BI83" s="2">
        <f t="shared" si="24"/>
        <v>9</v>
      </c>
      <c r="BJ83" s="2">
        <f t="shared" si="29"/>
        <v>2</v>
      </c>
      <c r="BK83" s="3"/>
      <c r="BL83" s="3"/>
      <c r="BM83" s="3"/>
      <c r="BN83">
        <f t="shared" si="21"/>
        <v>21</v>
      </c>
      <c r="BO83" s="2" t="str">
        <f>CONCATENATE(
ROUND(BK83*VLOOKUP(I83,'ID Scheme'!$A$2:$E$7,3),0), "x",
ROUND(BL83*VLOOKUP(I83,'ID Scheme'!$A$2:$E$7,5),0), "x",
ROUND(BM83*VLOOKUP(I83,'ID Scheme'!$A$2:$E$7,4),0))</f>
        <v>0x0x0</v>
      </c>
    </row>
    <row r="84" spans="1:68" x14ac:dyDescent="0.25">
      <c r="A84" t="s">
        <v>40</v>
      </c>
      <c r="B84" t="s">
        <v>261</v>
      </c>
      <c r="C84" t="s">
        <v>382</v>
      </c>
      <c r="D84">
        <f>IF(F84 &gt; 2020, ((F84-2020)*4)+1610+H84,IF(F84 &gt; 1900, ((F84-1900)*10)+400+H84, ((F84-1730)*2)+H84))+VLOOKUP(I84,'ID Scheme'!$A$2:$B$7,2, FALSE)</f>
        <v>5862</v>
      </c>
      <c r="F84">
        <v>1986</v>
      </c>
      <c r="G84">
        <v>1</v>
      </c>
      <c r="H84">
        <v>2</v>
      </c>
      <c r="I84" t="s">
        <v>14</v>
      </c>
      <c r="J84">
        <v>65</v>
      </c>
      <c r="K84">
        <v>4</v>
      </c>
      <c r="L84">
        <v>20</v>
      </c>
      <c r="M84">
        <v>14</v>
      </c>
      <c r="N84">
        <v>5</v>
      </c>
      <c r="O84">
        <v>1</v>
      </c>
      <c r="P84">
        <v>44</v>
      </c>
      <c r="Q84">
        <v>20</v>
      </c>
      <c r="R84">
        <v>1</v>
      </c>
      <c r="S84" t="s">
        <v>377</v>
      </c>
      <c r="T84">
        <v>-4</v>
      </c>
      <c r="U84" s="2" t="s">
        <v>494</v>
      </c>
      <c r="V84" s="2"/>
      <c r="W84" s="2"/>
      <c r="X84" s="2"/>
      <c r="Y84" s="2"/>
      <c r="Z84" s="2"/>
      <c r="AA84" s="2"/>
      <c r="AB84" s="2"/>
      <c r="AC84" s="2"/>
      <c r="AD84" s="2"/>
      <c r="AG84">
        <v>1</v>
      </c>
      <c r="AH84">
        <v>3</v>
      </c>
      <c r="AQ84" t="s">
        <v>361</v>
      </c>
      <c r="AV84" s="2">
        <f>SQRT(J84*K84)*POWER((MIN(M84,20)+SQRT(MAX(M84-20,0))),0.9)*Data!$B$1</f>
        <v>13.003587055095952</v>
      </c>
      <c r="AW84" s="2">
        <f>POWER((J84*J84*K84), 0.33)*LOG10(P84)*10*Data!$B$1</f>
        <v>30.621120528083672</v>
      </c>
      <c r="AX84" s="2"/>
      <c r="AY84" s="2"/>
      <c r="AZ84" s="2">
        <f>IFERROR((SQRT($J84*$AG84)*POWER((MIN($M84,20)+SQRT(MAX($M84-20,0))),0.9)*Data!$B$1)*(1 - (R84-1)),AV84)</f>
        <v>6.5017935275479761</v>
      </c>
      <c r="BA84" s="2">
        <f>IFERROR(((POWER(($J84*$J84*$AG84), 0.33)*LOG10($AE84)*10*Data!$B$1)*R84),AW84)</f>
        <v>30.621120528083672</v>
      </c>
      <c r="BB84" s="2">
        <f t="shared" si="22"/>
        <v>52.41935483870968</v>
      </c>
      <c r="BC84" s="2">
        <f t="shared" si="25"/>
        <v>0</v>
      </c>
      <c r="BD84" s="2">
        <f t="shared" si="26"/>
        <v>0</v>
      </c>
      <c r="BE84" s="2">
        <f t="shared" si="27"/>
        <v>0</v>
      </c>
      <c r="BF84" s="2">
        <v>1</v>
      </c>
      <c r="BG84" s="2">
        <f t="shared" si="23"/>
        <v>4</v>
      </c>
      <c r="BH84" s="2">
        <f t="shared" si="28"/>
        <v>1</v>
      </c>
      <c r="BI84" s="2">
        <f t="shared" si="24"/>
        <v>3</v>
      </c>
      <c r="BJ84" s="2">
        <f t="shared" si="29"/>
        <v>0</v>
      </c>
      <c r="BK84" s="3"/>
      <c r="BL84" s="3"/>
      <c r="BM84" s="3"/>
      <c r="BN84">
        <f t="shared" si="21"/>
        <v>0</v>
      </c>
      <c r="BO84" s="2" t="str">
        <f>CONCATENATE(
ROUND(BK84*VLOOKUP(I84,'ID Scheme'!$A$2:$E$7,3),0), "x",
ROUND(BL84*VLOOKUP(I84,'ID Scheme'!$A$2:$E$7,5),0), "x",
ROUND(BM84*VLOOKUP(I84,'ID Scheme'!$A$2:$E$7,4),0))</f>
        <v>0x0x0</v>
      </c>
    </row>
    <row r="85" spans="1:68" x14ac:dyDescent="0.25">
      <c r="A85" t="s">
        <v>42</v>
      </c>
      <c r="B85" t="s">
        <v>215</v>
      </c>
      <c r="C85" t="s">
        <v>382</v>
      </c>
      <c r="D85">
        <f>IF(F85 &gt; 2020, ((F85-2020)*4)+1610+H85,IF(F85 &gt; 1900, ((F85-1900)*10)+400+H85, ((F85-1730)*2)+H85))+VLOOKUP(I85,'ID Scheme'!$A$2:$B$7,2, FALSE)</f>
        <v>6061</v>
      </c>
      <c r="F85">
        <v>2006</v>
      </c>
      <c r="G85">
        <v>1</v>
      </c>
      <c r="H85">
        <v>1</v>
      </c>
      <c r="I85" t="s">
        <v>14</v>
      </c>
      <c r="J85">
        <v>85</v>
      </c>
      <c r="K85">
        <v>12</v>
      </c>
      <c r="L85">
        <v>-1</v>
      </c>
      <c r="M85">
        <v>15</v>
      </c>
      <c r="N85">
        <v>5</v>
      </c>
      <c r="O85">
        <v>2</v>
      </c>
      <c r="P85">
        <v>160</v>
      </c>
      <c r="Q85">
        <v>20</v>
      </c>
      <c r="R85">
        <v>1</v>
      </c>
      <c r="S85" t="s">
        <v>377</v>
      </c>
      <c r="T85">
        <v>-4</v>
      </c>
      <c r="U85" s="2" t="s">
        <v>493</v>
      </c>
      <c r="V85" s="2"/>
      <c r="W85" s="2"/>
      <c r="X85" s="2"/>
      <c r="Y85" s="2"/>
      <c r="Z85" s="2"/>
      <c r="AA85" s="2"/>
      <c r="AB85" s="2"/>
      <c r="AC85" s="2"/>
      <c r="AD85" s="2"/>
      <c r="AG85">
        <v>3</v>
      </c>
      <c r="AH85">
        <v>9</v>
      </c>
      <c r="AJ85">
        <v>70</v>
      </c>
      <c r="AQ85" t="s">
        <v>361</v>
      </c>
      <c r="AV85" s="2">
        <f>SQRT(J85*K85)*POWER((MIN(M85,20)+SQRT(MAX(M85-20,0))),0.9)*Data!$B$1</f>
        <v>27.405863002169326</v>
      </c>
      <c r="AW85" s="2">
        <f>POWER((J85*J85*K85), 0.33)*LOG10(P85)*10*Data!$B$1</f>
        <v>70.44380358335296</v>
      </c>
      <c r="AX85" s="2"/>
      <c r="AY85" s="2"/>
      <c r="AZ85" s="2">
        <f>IFERROR((SQRT($J85*$AG85)*POWER((MIN($M85,20)+SQRT(MAX($M85-20,0))),0.9)*Data!$B$1)*(1 - (R85-1)),AV85)</f>
        <v>13.702931501084663</v>
      </c>
      <c r="BA85" s="2">
        <f>IFERROR(((POWER(($J85*$J85*$AG85), 0.33)*LOG10($AE85)*10*Data!$B$1)*R85),AW85)</f>
        <v>70.44380358335296</v>
      </c>
      <c r="BB85" s="2">
        <f t="shared" si="22"/>
        <v>68.548387096774192</v>
      </c>
      <c r="BC85" s="2">
        <f t="shared" si="25"/>
        <v>0</v>
      </c>
      <c r="BD85" s="2">
        <f t="shared" si="26"/>
        <v>0</v>
      </c>
      <c r="BE85" s="2">
        <f t="shared" si="27"/>
        <v>56.451612903225808</v>
      </c>
      <c r="BF85" s="2">
        <v>1</v>
      </c>
      <c r="BG85" s="2">
        <f t="shared" si="23"/>
        <v>12</v>
      </c>
      <c r="BH85" s="2">
        <f t="shared" si="28"/>
        <v>3</v>
      </c>
      <c r="BI85" s="2">
        <f t="shared" si="24"/>
        <v>11</v>
      </c>
      <c r="BJ85" s="2">
        <f t="shared" si="29"/>
        <v>2</v>
      </c>
      <c r="BK85" s="3"/>
      <c r="BL85" s="3"/>
      <c r="BM85" s="3"/>
      <c r="BN85">
        <f t="shared" si="21"/>
        <v>20</v>
      </c>
      <c r="BO85" s="2" t="str">
        <f>CONCATENATE(
ROUND(BK85*VLOOKUP(I85,'ID Scheme'!$A$2:$E$7,3),0), "x",
ROUND(BL85*VLOOKUP(I85,'ID Scheme'!$A$2:$E$7,5),0), "x",
ROUND(BM85*VLOOKUP(I85,'ID Scheme'!$A$2:$E$7,4),0))</f>
        <v>0x0x0</v>
      </c>
    </row>
    <row r="86" spans="1:68" x14ac:dyDescent="0.25">
      <c r="A86" t="s">
        <v>41</v>
      </c>
      <c r="B86" t="s">
        <v>267</v>
      </c>
      <c r="C86" t="s">
        <v>382</v>
      </c>
      <c r="D86">
        <f>IF(F86 &gt; 2020, ((F86-2020)*4)+1610+H86,IF(F86 &gt; 1900, ((F86-1900)*10)+400+H86, ((F86-1730)*2)+H86))+VLOOKUP(I86,'ID Scheme'!$A$2:$B$7,2, FALSE)</f>
        <v>6121</v>
      </c>
      <c r="F86">
        <v>2012</v>
      </c>
      <c r="G86">
        <v>1</v>
      </c>
      <c r="H86">
        <v>1</v>
      </c>
      <c r="I86" t="s">
        <v>14</v>
      </c>
      <c r="J86">
        <v>92</v>
      </c>
      <c r="K86">
        <v>10</v>
      </c>
      <c r="L86">
        <v>-1</v>
      </c>
      <c r="M86">
        <v>14</v>
      </c>
      <c r="N86">
        <v>5</v>
      </c>
      <c r="O86">
        <v>1.5</v>
      </c>
      <c r="P86">
        <v>125</v>
      </c>
      <c r="Q86">
        <v>20</v>
      </c>
      <c r="R86">
        <v>1</v>
      </c>
      <c r="S86" t="s">
        <v>377</v>
      </c>
      <c r="T86">
        <v>-4</v>
      </c>
      <c r="U86" s="2" t="s">
        <v>492</v>
      </c>
      <c r="V86" s="2"/>
      <c r="W86" s="2"/>
      <c r="X86" s="2"/>
      <c r="Y86" s="2"/>
      <c r="Z86" s="2"/>
      <c r="AA86" s="2"/>
      <c r="AB86" s="2"/>
      <c r="AC86" s="2"/>
      <c r="AD86" s="2"/>
      <c r="AG86">
        <v>3</v>
      </c>
      <c r="AH86">
        <v>8</v>
      </c>
      <c r="AJ86">
        <v>70</v>
      </c>
      <c r="AQ86" t="s">
        <v>361</v>
      </c>
      <c r="AV86" s="2">
        <f>SQRT(J86*K86)*POWER((MIN(M86,20)+SQRT(MAX(M86-20,0))),0.9)*Data!$B$1</f>
        <v>24.460786058466841</v>
      </c>
      <c r="AW86" s="2">
        <f>POWER((J86*J86*K86), 0.33)*LOG10(P86)*10*Data!$B$1</f>
        <v>66.487656097371513</v>
      </c>
      <c r="AX86" s="2"/>
      <c r="AY86" s="2"/>
      <c r="AZ86" s="2">
        <f>IFERROR((SQRT($J86*$AG86)*POWER((MIN($M86,20)+SQRT(MAX($M86-20,0))),0.9)*Data!$B$1)*(1 - (R86-1)),AV86)</f>
        <v>13.39772429853017</v>
      </c>
      <c r="BA86" s="2">
        <f>IFERROR(((POWER(($J86*$J86*$AG86), 0.33)*LOG10($AE86)*10*Data!$B$1)*R86),AW86)</f>
        <v>66.487656097371513</v>
      </c>
      <c r="BB86" s="2">
        <f t="shared" si="22"/>
        <v>74.193548387096769</v>
      </c>
      <c r="BC86" s="2">
        <f t="shared" si="25"/>
        <v>0</v>
      </c>
      <c r="BD86" s="2">
        <f t="shared" si="26"/>
        <v>0</v>
      </c>
      <c r="BE86" s="2">
        <f t="shared" si="27"/>
        <v>56.451612903225808</v>
      </c>
      <c r="BF86" s="2">
        <v>1</v>
      </c>
      <c r="BG86" s="2">
        <f t="shared" si="23"/>
        <v>10</v>
      </c>
      <c r="BH86" s="2">
        <f t="shared" si="28"/>
        <v>3</v>
      </c>
      <c r="BI86" s="2">
        <f t="shared" si="24"/>
        <v>9</v>
      </c>
      <c r="BJ86" s="2">
        <f t="shared" si="29"/>
        <v>2</v>
      </c>
      <c r="BK86" s="3"/>
      <c r="BL86" s="3"/>
      <c r="BM86" s="3"/>
      <c r="BN86">
        <f t="shared" si="21"/>
        <v>6</v>
      </c>
      <c r="BO86" s="2" t="str">
        <f>CONCATENATE(
ROUND(BK86*VLOOKUP(I86,'ID Scheme'!$A$2:$E$7,3),0), "x",
ROUND(BL86*VLOOKUP(I86,'ID Scheme'!$A$2:$E$7,5),0), "x",
ROUND(BM86*VLOOKUP(I86,'ID Scheme'!$A$2:$E$7,4),0))</f>
        <v>0x0x0</v>
      </c>
    </row>
    <row r="87" spans="1:68" x14ac:dyDescent="0.25">
      <c r="A87" t="s">
        <v>49</v>
      </c>
      <c r="B87" t="s">
        <v>260</v>
      </c>
      <c r="C87" t="s">
        <v>383</v>
      </c>
      <c r="D87">
        <f>IF(F87 &gt; 2020, ((F87-2020)*4)+1610+H87,IF(F87 &gt; 1900, ((F87-1900)*10)+400+H87, ((F87-1730)*2)+H87))+VLOOKUP(I87,'ID Scheme'!$A$2:$B$7,2, FALSE)</f>
        <v>7581</v>
      </c>
      <c r="F87">
        <v>1958</v>
      </c>
      <c r="G87">
        <v>1</v>
      </c>
      <c r="H87">
        <v>1</v>
      </c>
      <c r="I87" t="s">
        <v>48</v>
      </c>
      <c r="J87">
        <v>75</v>
      </c>
      <c r="K87">
        <v>4</v>
      </c>
      <c r="L87">
        <v>50</v>
      </c>
      <c r="M87">
        <v>15</v>
      </c>
      <c r="N87">
        <v>5</v>
      </c>
      <c r="O87">
        <v>1.6</v>
      </c>
      <c r="P87">
        <v>68</v>
      </c>
      <c r="Q87">
        <v>10</v>
      </c>
      <c r="R87">
        <v>0.95</v>
      </c>
      <c r="S87" t="s">
        <v>377</v>
      </c>
      <c r="T87">
        <v>-4</v>
      </c>
      <c r="U87" s="2" t="s">
        <v>491</v>
      </c>
      <c r="V87" s="2"/>
      <c r="W87" s="2"/>
      <c r="X87" s="2"/>
      <c r="Y87" s="2"/>
      <c r="Z87" s="2"/>
      <c r="AA87" s="2"/>
      <c r="AB87" s="2"/>
      <c r="AC87" s="2"/>
      <c r="AD87" s="2">
        <v>230</v>
      </c>
      <c r="AJ87">
        <v>70</v>
      </c>
      <c r="AQ87" t="s">
        <v>362</v>
      </c>
      <c r="AV87" s="2">
        <f>SQRT(J87*K87)*POWER((MIN(M87,20)+SQRT(MAX(M87-20,0))),0.9)*Data!$B$1</f>
        <v>14.862916019939908</v>
      </c>
      <c r="AW87" s="2">
        <f>POWER((J87*J87*K87), 0.33)*LOG10(P87)*10*Data!$B$1</f>
        <v>37.525595248259215</v>
      </c>
      <c r="AX87" s="2"/>
      <c r="AY87" s="2"/>
      <c r="AZ87" s="2">
        <f>IFERROR((SQRT($J87*$AG87)*POWER((MIN($M87,20)+SQRT(MAX($M87-20,0))),0.9)*Data!$B$1)*(1 - (R87-1)),AV87)</f>
        <v>0</v>
      </c>
      <c r="BA87" s="2">
        <f>IFERROR(((POWER(($J87*$J87*$AG87), 0.33)*LOG10($AE87)*10*Data!$B$1)*R87),AW87)</f>
        <v>37.525595248259215</v>
      </c>
      <c r="BB87" s="2">
        <f t="shared" si="22"/>
        <v>60.483870967741936</v>
      </c>
      <c r="BC87" s="2">
        <f t="shared" si="25"/>
        <v>0</v>
      </c>
      <c r="BD87" s="2">
        <f t="shared" si="26"/>
        <v>0</v>
      </c>
      <c r="BE87" s="2">
        <f t="shared" si="27"/>
        <v>56.451612903225808</v>
      </c>
      <c r="BF87" s="2">
        <v>1</v>
      </c>
      <c r="BG87" s="2">
        <f t="shared" si="23"/>
        <v>4</v>
      </c>
      <c r="BH87" s="2">
        <f t="shared" si="28"/>
        <v>0</v>
      </c>
      <c r="BI87" s="2">
        <f t="shared" si="24"/>
        <v>3</v>
      </c>
      <c r="BJ87" s="2">
        <f t="shared" si="29"/>
        <v>-1</v>
      </c>
      <c r="BK87" s="3"/>
      <c r="BL87" s="3"/>
      <c r="BM87" s="3"/>
      <c r="BN87">
        <f t="shared" si="21"/>
        <v>-54</v>
      </c>
      <c r="BO87" s="2" t="str">
        <f>CONCATENATE(
ROUND(BK87*VLOOKUP(I87,'ID Scheme'!$A$2:$E$7,3),0), "x",
ROUND(BL87*VLOOKUP(I87,'ID Scheme'!$A$2:$E$7,5),0), "x",
ROUND(BM87*VLOOKUP(I87,'ID Scheme'!$A$2:$E$7,4),0))</f>
        <v>0x0x0</v>
      </c>
      <c r="BP87" t="s">
        <v>55</v>
      </c>
    </row>
    <row r="88" spans="1:68" x14ac:dyDescent="0.25">
      <c r="A88" t="s">
        <v>71</v>
      </c>
      <c r="B88" t="s">
        <v>211</v>
      </c>
      <c r="C88" t="s">
        <v>295</v>
      </c>
      <c r="D88">
        <f>IF(F88 &gt; 2020, ((F88-2020)*4)+1610+H88,IF(F88 &gt; 1900, ((F88-1900)*10)+400+H88, ((F88-1730)*2)+H88))+VLOOKUP(I88,'ID Scheme'!$A$2:$B$7,2, FALSE)</f>
        <v>7741</v>
      </c>
      <c r="F88">
        <v>1974</v>
      </c>
      <c r="G88">
        <v>6</v>
      </c>
      <c r="H88">
        <v>1</v>
      </c>
      <c r="I88" t="s">
        <v>48</v>
      </c>
      <c r="J88">
        <v>63</v>
      </c>
      <c r="K88">
        <v>8</v>
      </c>
      <c r="L88">
        <v>22</v>
      </c>
      <c r="M88">
        <v>12</v>
      </c>
      <c r="N88">
        <v>5</v>
      </c>
      <c r="O88">
        <v>1.5</v>
      </c>
      <c r="P88">
        <v>55</v>
      </c>
      <c r="Q88">
        <v>20</v>
      </c>
      <c r="R88">
        <v>1</v>
      </c>
      <c r="S88" t="s">
        <v>377</v>
      </c>
      <c r="T88">
        <v>-4</v>
      </c>
      <c r="U88" s="2" t="s">
        <v>490</v>
      </c>
      <c r="V88" s="2"/>
      <c r="W88" s="2"/>
      <c r="X88" s="2"/>
      <c r="Y88" s="2"/>
      <c r="Z88" s="2"/>
      <c r="AA88" s="2"/>
      <c r="AB88" s="2"/>
      <c r="AC88" s="2"/>
      <c r="AD88" s="2"/>
      <c r="AQ88" t="s">
        <v>361</v>
      </c>
      <c r="AV88" s="2">
        <f>SQRT(J88*K88)*POWER((MIN(M88,20)+SQRT(MAX(M88-20,0))),0.9)*Data!$B$1</f>
        <v>15.759399066413742</v>
      </c>
      <c r="AW88" s="2">
        <f>POWER((J88*J88*K88), 0.33)*LOG10(P88)*10*Data!$B$1</f>
        <v>39.928728984013709</v>
      </c>
      <c r="AX88" s="2"/>
      <c r="AY88" s="2"/>
      <c r="AZ88" s="2">
        <f>IFERROR((SQRT($J88*$AG88)*POWER((MIN($M88,20)+SQRT(MAX($M88-20,0))),0.9)*Data!$B$1)*(1 - (R88-1)),AV88)</f>
        <v>0</v>
      </c>
      <c r="BA88" s="2">
        <f>IFERROR(((POWER(($J88*$J88*$AG88), 0.33)*LOG10($AE88)*10*Data!$B$1)*R88),AW88)</f>
        <v>39.928728984013709</v>
      </c>
      <c r="BB88" s="2">
        <f t="shared" si="22"/>
        <v>50.806451612903224</v>
      </c>
      <c r="BC88" s="2">
        <f t="shared" si="25"/>
        <v>0</v>
      </c>
      <c r="BD88" s="2">
        <f t="shared" si="26"/>
        <v>0</v>
      </c>
      <c r="BE88" s="2">
        <f t="shared" si="27"/>
        <v>0</v>
      </c>
      <c r="BF88" s="2">
        <v>1</v>
      </c>
      <c r="BG88" s="2">
        <f t="shared" si="23"/>
        <v>8</v>
      </c>
      <c r="BH88" s="2">
        <f t="shared" si="28"/>
        <v>0</v>
      </c>
      <c r="BI88" s="2">
        <f t="shared" si="24"/>
        <v>7</v>
      </c>
      <c r="BJ88" s="2">
        <f t="shared" si="29"/>
        <v>-1</v>
      </c>
      <c r="BM88" s="3"/>
      <c r="BN88">
        <f t="shared" si="21"/>
        <v>16</v>
      </c>
      <c r="BO88" s="2" t="str">
        <f>CONCATENATE(
ROUND(BK88*VLOOKUP(I88,'ID Scheme'!$A$2:$E$7,3),0), "x",
ROUND(BL88*VLOOKUP(I88,'ID Scheme'!$A$2:$E$7,5),0), "x",
ROUND(BM88*VLOOKUP(I88,'ID Scheme'!$A$2:$E$7,4),0))</f>
        <v>0x0x0</v>
      </c>
    </row>
    <row r="89" spans="1:68" x14ac:dyDescent="0.25">
      <c r="A89" t="s">
        <v>51</v>
      </c>
      <c r="B89" t="s">
        <v>203</v>
      </c>
      <c r="C89" t="s">
        <v>295</v>
      </c>
      <c r="D89">
        <f>IF(F89 &gt; 2020, ((F89-2020)*4)+1610+H89,IF(F89 &gt; 1900, ((F89-1900)*10)+400+H89, ((F89-1730)*2)+H89))+VLOOKUP(I89,'ID Scheme'!$A$2:$B$7,2, FALSE)</f>
        <v>7761</v>
      </c>
      <c r="F89">
        <v>1976</v>
      </c>
      <c r="G89">
        <v>9</v>
      </c>
      <c r="H89">
        <v>1</v>
      </c>
      <c r="I89" t="s">
        <v>48</v>
      </c>
      <c r="J89">
        <v>90</v>
      </c>
      <c r="K89">
        <v>4</v>
      </c>
      <c r="L89">
        <v>18</v>
      </c>
      <c r="M89">
        <v>10</v>
      </c>
      <c r="N89">
        <v>4</v>
      </c>
      <c r="O89">
        <v>1.2</v>
      </c>
      <c r="P89">
        <v>73</v>
      </c>
      <c r="Q89">
        <v>20</v>
      </c>
      <c r="R89">
        <v>1</v>
      </c>
      <c r="S89" t="s">
        <v>378</v>
      </c>
      <c r="T89">
        <v>-4</v>
      </c>
      <c r="U89" s="2" t="s">
        <v>489</v>
      </c>
      <c r="V89" s="2"/>
      <c r="W89" s="2"/>
      <c r="X89" s="2"/>
      <c r="Y89" s="2"/>
      <c r="Z89" s="2"/>
      <c r="AA89" s="2"/>
      <c r="AB89" s="2"/>
      <c r="AC89" s="2"/>
      <c r="AD89" s="2">
        <v>275</v>
      </c>
      <c r="AJ89">
        <v>70</v>
      </c>
      <c r="AQ89" t="s">
        <v>362</v>
      </c>
      <c r="AV89" s="2">
        <f>SQRT(J89*K89)*POWER((MIN(M89,20)+SQRT(MAX(M89-20,0))),0.9)*Data!$B$1</f>
        <v>11.303488941793114</v>
      </c>
      <c r="AW89" s="2">
        <f>POWER((J89*J89*K89), 0.33)*LOG10(P89)*10*Data!$B$1</f>
        <v>43.035735424114051</v>
      </c>
      <c r="AX89" s="2"/>
      <c r="AY89" s="2"/>
      <c r="AZ89" s="2">
        <f>IFERROR((SQRT($J89*$AG89)*POWER((MIN($M89,20)+SQRT(MAX($M89-20,0))),0.9)*Data!$B$1)*(1 - (R89-1)),AV89)</f>
        <v>0</v>
      </c>
      <c r="BA89" s="2">
        <f>IFERROR(((POWER(($J89*$J89*$AG89), 0.33)*LOG10($AE89)*10*Data!$B$1)*R89),AW89)</f>
        <v>43.035735424114051</v>
      </c>
      <c r="BB89" s="2">
        <f t="shared" si="22"/>
        <v>72.58064516129032</v>
      </c>
      <c r="BC89" s="2">
        <f t="shared" si="25"/>
        <v>0</v>
      </c>
      <c r="BD89" s="2">
        <f t="shared" si="26"/>
        <v>0</v>
      </c>
      <c r="BE89" s="2">
        <f t="shared" si="27"/>
        <v>56.451612903225808</v>
      </c>
      <c r="BF89" s="2">
        <v>1</v>
      </c>
      <c r="BG89" s="2">
        <f t="shared" si="23"/>
        <v>4</v>
      </c>
      <c r="BH89" s="2">
        <f t="shared" si="28"/>
        <v>0</v>
      </c>
      <c r="BI89" s="2">
        <f t="shared" si="24"/>
        <v>3</v>
      </c>
      <c r="BJ89" s="2">
        <f t="shared" si="29"/>
        <v>-1</v>
      </c>
      <c r="BK89" s="3">
        <v>4.4000000000000004</v>
      </c>
      <c r="BL89" s="3">
        <v>1.8</v>
      </c>
      <c r="BM89" s="3">
        <v>1.5</v>
      </c>
      <c r="BN89">
        <f t="shared" si="21"/>
        <v>2</v>
      </c>
      <c r="BO89" s="2" t="str">
        <f>CONCATENATE(
ROUND(BK89*VLOOKUP(I89,'ID Scheme'!$A$2:$E$7,3),0), "x",
ROUND(BL89*VLOOKUP(I89,'ID Scheme'!$A$2:$E$7,5),0), "x",
ROUND(BM89*VLOOKUP(I89,'ID Scheme'!$A$2:$E$7,4),0))</f>
        <v>41x26x15</v>
      </c>
    </row>
    <row r="90" spans="1:68" x14ac:dyDescent="0.25">
      <c r="A90" t="s">
        <v>99</v>
      </c>
      <c r="B90" t="s">
        <v>270</v>
      </c>
      <c r="C90" t="s">
        <v>295</v>
      </c>
      <c r="D90">
        <f>IF(F90 &gt; 2020, ((F90-2020)*4)+1610+H90,IF(F90 &gt; 1900, ((F90-1900)*10)+400+H90, ((F90-1730)*2)+H90))+VLOOKUP(I90,'ID Scheme'!$A$2:$B$7,2, FALSE)</f>
        <v>7861</v>
      </c>
      <c r="F90">
        <v>1986</v>
      </c>
      <c r="G90">
        <v>2</v>
      </c>
      <c r="H90">
        <v>1</v>
      </c>
      <c r="I90" t="s">
        <v>48</v>
      </c>
      <c r="J90">
        <v>80</v>
      </c>
      <c r="K90">
        <v>9</v>
      </c>
      <c r="L90">
        <v>26</v>
      </c>
      <c r="M90">
        <v>14</v>
      </c>
      <c r="N90">
        <v>5</v>
      </c>
      <c r="O90">
        <v>1.5</v>
      </c>
      <c r="P90">
        <v>100</v>
      </c>
      <c r="Q90">
        <v>20</v>
      </c>
      <c r="R90">
        <v>1</v>
      </c>
      <c r="S90" t="s">
        <v>377</v>
      </c>
      <c r="T90">
        <v>-4</v>
      </c>
      <c r="U90" s="2" t="s">
        <v>495</v>
      </c>
      <c r="V90" s="2"/>
      <c r="W90" s="2"/>
      <c r="X90" s="2"/>
      <c r="Y90" s="2"/>
      <c r="Z90" s="2"/>
      <c r="AA90" s="2"/>
      <c r="AB90" s="2"/>
      <c r="AC90" s="2"/>
      <c r="AD90" s="2"/>
      <c r="AJ90">
        <v>70</v>
      </c>
      <c r="AQ90" t="s">
        <v>361</v>
      </c>
      <c r="AV90" s="2">
        <f>SQRT(J90*K90)*POWER((MIN(M90,20)+SQRT(MAX(M90-20,0))),0.9)*Data!$B$1</f>
        <v>21.639276873280725</v>
      </c>
      <c r="AW90" s="2">
        <f>POWER((J90*J90*K90), 0.33)*LOG10(P90)*10*Data!$B$1</f>
        <v>55.850964649456358</v>
      </c>
      <c r="AX90" s="2"/>
      <c r="AY90" s="2"/>
      <c r="AZ90" s="2">
        <f>IFERROR((SQRT($J90*$AG90)*POWER((MIN($M90,20)+SQRT(MAX($M90-20,0))),0.9)*Data!$B$1)*(1 - (R90-1)),AV90)</f>
        <v>0</v>
      </c>
      <c r="BA90" s="2">
        <f>IFERROR(((POWER(($J90*$J90*$AG90), 0.33)*LOG10($AE90)*10*Data!$B$1)*R90),AW90)</f>
        <v>55.850964649456358</v>
      </c>
      <c r="BB90" s="2">
        <f t="shared" si="22"/>
        <v>64.516129032258064</v>
      </c>
      <c r="BC90" s="2">
        <f t="shared" si="25"/>
        <v>0</v>
      </c>
      <c r="BD90" s="2">
        <f t="shared" si="26"/>
        <v>0</v>
      </c>
      <c r="BE90" s="2">
        <f t="shared" si="27"/>
        <v>56.451612903225808</v>
      </c>
      <c r="BF90" s="2">
        <v>1</v>
      </c>
      <c r="BG90" s="2">
        <f t="shared" si="23"/>
        <v>9</v>
      </c>
      <c r="BH90" s="2">
        <f t="shared" si="28"/>
        <v>0</v>
      </c>
      <c r="BI90" s="2">
        <f t="shared" si="24"/>
        <v>8</v>
      </c>
      <c r="BJ90" s="2">
        <f t="shared" si="29"/>
        <v>-1</v>
      </c>
      <c r="BM90" s="3"/>
      <c r="BN90">
        <f t="shared" si="21"/>
        <v>10</v>
      </c>
      <c r="BO90" s="2" t="str">
        <f>CONCATENATE(
ROUND(BK90*VLOOKUP(I90,'ID Scheme'!$A$2:$E$7,3),0), "x",
ROUND(BL90*VLOOKUP(I90,'ID Scheme'!$A$2:$E$7,5),0), "x",
ROUND(BM90*VLOOKUP(I90,'ID Scheme'!$A$2:$E$7,4),0))</f>
        <v>0x0x0</v>
      </c>
    </row>
    <row r="91" spans="1:68" x14ac:dyDescent="0.25">
      <c r="A91" t="s">
        <v>52</v>
      </c>
      <c r="B91" t="s">
        <v>223</v>
      </c>
      <c r="C91" t="s">
        <v>295</v>
      </c>
      <c r="D91">
        <f>IF(F91 &gt; 2020, ((F91-2020)*4)+1610+H91,IF(F91 &gt; 1900, ((F91-1900)*10)+400+H91, ((F91-1730)*2)+H91))+VLOOKUP(I91,'ID Scheme'!$A$2:$B$7,2, FALSE)</f>
        <v>7941</v>
      </c>
      <c r="F91">
        <v>1994</v>
      </c>
      <c r="G91">
        <v>4</v>
      </c>
      <c r="H91">
        <v>1</v>
      </c>
      <c r="I91" t="s">
        <v>48</v>
      </c>
      <c r="J91">
        <v>120</v>
      </c>
      <c r="K91">
        <v>4</v>
      </c>
      <c r="L91">
        <v>15</v>
      </c>
      <c r="M91">
        <v>12</v>
      </c>
      <c r="N91">
        <v>4</v>
      </c>
      <c r="O91">
        <v>1.7</v>
      </c>
      <c r="P91">
        <v>168</v>
      </c>
      <c r="Q91">
        <v>20</v>
      </c>
      <c r="R91">
        <v>1.05</v>
      </c>
      <c r="S91" t="s">
        <v>378</v>
      </c>
      <c r="T91">
        <v>-4</v>
      </c>
      <c r="U91" s="2" t="s">
        <v>487</v>
      </c>
      <c r="V91" s="2"/>
      <c r="W91" s="2"/>
      <c r="X91" s="2"/>
      <c r="Y91" s="2"/>
      <c r="Z91" s="2"/>
      <c r="AA91" s="2"/>
      <c r="AB91" s="2"/>
      <c r="AC91" s="2"/>
      <c r="AD91" s="2">
        <v>275</v>
      </c>
      <c r="AJ91">
        <v>70</v>
      </c>
      <c r="AQ91" t="s">
        <v>362</v>
      </c>
      <c r="AV91" s="2">
        <f>SQRT(J91*K91)*POWER((MIN(M91,20)+SQRT(MAX(M91-20,0))),0.9)*Data!$B$1</f>
        <v>15.379598698538217</v>
      </c>
      <c r="AW91" s="2">
        <f>POWER((J91*J91*K91), 0.33)*LOG10(P91)*10*Data!$B$1</f>
        <v>62.14283501388914</v>
      </c>
      <c r="AX91" s="2"/>
      <c r="AY91" s="2"/>
      <c r="AZ91" s="2">
        <f>IFERROR((SQRT($J91*$AG91)*POWER((MIN($M91,20)+SQRT(MAX($M91-20,0))),0.9)*Data!$B$1)*(1 - (R91-1)),AV91)</f>
        <v>0</v>
      </c>
      <c r="BA91" s="2">
        <f>IFERROR(((POWER(($J91*$J91*$AG91), 0.33)*LOG10($AE91)*10*Data!$B$1)*R91),AW91)</f>
        <v>62.14283501388914</v>
      </c>
      <c r="BB91" s="2">
        <f t="shared" si="22"/>
        <v>96.774193548387103</v>
      </c>
      <c r="BC91" s="2">
        <f t="shared" si="25"/>
        <v>0</v>
      </c>
      <c r="BD91" s="2">
        <f t="shared" si="26"/>
        <v>0</v>
      </c>
      <c r="BE91" s="2">
        <f t="shared" si="27"/>
        <v>56.451612903225808</v>
      </c>
      <c r="BF91" s="2">
        <v>1</v>
      </c>
      <c r="BG91" s="2">
        <f t="shared" si="23"/>
        <v>4</v>
      </c>
      <c r="BH91" s="2">
        <f t="shared" si="28"/>
        <v>0</v>
      </c>
      <c r="BI91" s="2">
        <f t="shared" si="24"/>
        <v>3</v>
      </c>
      <c r="BJ91" s="2">
        <f t="shared" si="29"/>
        <v>-1</v>
      </c>
      <c r="BK91" s="3">
        <v>5</v>
      </c>
      <c r="BL91" s="3">
        <v>2</v>
      </c>
      <c r="BM91" s="3">
        <v>1.5</v>
      </c>
      <c r="BN91">
        <f t="shared" si="21"/>
        <v>8</v>
      </c>
      <c r="BO91" s="2" t="str">
        <f>CONCATENATE(
ROUND(BK91*VLOOKUP(I91,'ID Scheme'!$A$2:$E$7,3),0), "x",
ROUND(BL91*VLOOKUP(I91,'ID Scheme'!$A$2:$E$7,5),0), "x",
ROUND(BM91*VLOOKUP(I91,'ID Scheme'!$A$2:$E$7,4),0))</f>
        <v>47x29x15</v>
      </c>
    </row>
    <row r="92" spans="1:68" x14ac:dyDescent="0.25">
      <c r="A92" t="s">
        <v>50</v>
      </c>
      <c r="B92" t="s">
        <v>213</v>
      </c>
      <c r="C92" t="s">
        <v>383</v>
      </c>
      <c r="D92">
        <f>IF(F92 &gt; 2020, ((F92-2020)*4)+1610+H92,IF(F92 &gt; 1900, ((F92-1900)*10)+400+H92, ((F92-1730)*2)+H92))+VLOOKUP(I92,'ID Scheme'!$A$2:$B$7,2, FALSE)</f>
        <v>7971</v>
      </c>
      <c r="F92">
        <v>1997</v>
      </c>
      <c r="G92">
        <v>1</v>
      </c>
      <c r="H92">
        <v>1</v>
      </c>
      <c r="I92" t="s">
        <v>48</v>
      </c>
      <c r="J92">
        <v>81</v>
      </c>
      <c r="K92">
        <v>5</v>
      </c>
      <c r="L92">
        <v>-1</v>
      </c>
      <c r="M92">
        <v>15</v>
      </c>
      <c r="N92">
        <v>5</v>
      </c>
      <c r="O92">
        <v>1.8</v>
      </c>
      <c r="P92">
        <v>88</v>
      </c>
      <c r="Q92">
        <v>12</v>
      </c>
      <c r="R92">
        <v>0.95</v>
      </c>
      <c r="S92" t="s">
        <v>377</v>
      </c>
      <c r="T92">
        <v>-4</v>
      </c>
      <c r="U92" s="2" t="s">
        <v>486</v>
      </c>
      <c r="V92" s="2"/>
      <c r="W92" s="2"/>
      <c r="X92" s="2"/>
      <c r="Y92" s="2"/>
      <c r="Z92" s="2"/>
      <c r="AA92" s="2"/>
      <c r="AB92" s="2"/>
      <c r="AC92" s="2"/>
      <c r="AD92" s="2">
        <v>230</v>
      </c>
      <c r="AJ92">
        <v>70</v>
      </c>
      <c r="AQ92" t="s">
        <v>362</v>
      </c>
      <c r="AV92" s="2">
        <f>SQRT(J92*K92)*POWER((MIN(M92,20)+SQRT(MAX(M92-20,0))),0.9)*Data!$B$1</f>
        <v>17.269147866392007</v>
      </c>
      <c r="AW92" s="2">
        <f>POWER((J92*J92*K92), 0.33)*LOG10(P92)*10*Data!$B$1</f>
        <v>45.094705462092243</v>
      </c>
      <c r="AX92" s="2"/>
      <c r="AY92" s="2"/>
      <c r="AZ92" s="2">
        <f>IFERROR((SQRT($J92*$AG92)*POWER((MIN($M92,20)+SQRT(MAX($M92-20,0))),0.9)*Data!$B$1)*(1 - (R92-1)),AV92)</f>
        <v>0</v>
      </c>
      <c r="BA92" s="2">
        <f>IFERROR(((POWER(($J92*$J92*$AG92), 0.33)*LOG10($AE92)*10*Data!$B$1)*R92),AW92)</f>
        <v>45.094705462092243</v>
      </c>
      <c r="BB92" s="2">
        <f t="shared" si="22"/>
        <v>65.322580645161295</v>
      </c>
      <c r="BC92" s="2">
        <f t="shared" si="25"/>
        <v>0</v>
      </c>
      <c r="BD92" s="2">
        <f t="shared" si="26"/>
        <v>0</v>
      </c>
      <c r="BE92" s="2">
        <f t="shared" si="27"/>
        <v>56.451612903225808</v>
      </c>
      <c r="BF92" s="2">
        <v>1</v>
      </c>
      <c r="BG92" s="2">
        <f t="shared" si="23"/>
        <v>5</v>
      </c>
      <c r="BH92" s="2">
        <f t="shared" si="28"/>
        <v>0</v>
      </c>
      <c r="BI92" s="2">
        <f t="shared" si="24"/>
        <v>4</v>
      </c>
      <c r="BJ92" s="2">
        <f t="shared" si="29"/>
        <v>-1</v>
      </c>
      <c r="BK92" s="3"/>
      <c r="BL92" s="3"/>
      <c r="BM92" s="3"/>
      <c r="BN92">
        <f t="shared" si="21"/>
        <v>3</v>
      </c>
      <c r="BO92" s="2" t="str">
        <f>CONCATENATE(
ROUND(BK92*VLOOKUP(I92,'ID Scheme'!$A$2:$E$7,3),0), "x",
ROUND(BL92*VLOOKUP(I92,'ID Scheme'!$A$2:$E$7,5),0), "x",
ROUND(BM92*VLOOKUP(I92,'ID Scheme'!$A$2:$E$7,4),0))</f>
        <v>0x0x0</v>
      </c>
      <c r="BP92" t="s">
        <v>56</v>
      </c>
    </row>
    <row r="93" spans="1:68" x14ac:dyDescent="0.25">
      <c r="A93" t="s">
        <v>54</v>
      </c>
      <c r="B93" t="s">
        <v>272</v>
      </c>
      <c r="C93" t="s">
        <v>295</v>
      </c>
      <c r="D93">
        <f>IF(F93 &gt; 2020, ((F93-2020)*4)+1610+H93,IF(F93 &gt; 1900, ((F93-1900)*10)+400+H93, ((F93-1730)*2)+H93))+VLOOKUP(I93,'ID Scheme'!$A$2:$B$7,2, FALSE)</f>
        <v>8041</v>
      </c>
      <c r="F93">
        <v>2004</v>
      </c>
      <c r="G93">
        <v>2</v>
      </c>
      <c r="H93">
        <v>1</v>
      </c>
      <c r="I93" t="s">
        <v>48</v>
      </c>
      <c r="J93">
        <v>145</v>
      </c>
      <c r="K93">
        <v>4</v>
      </c>
      <c r="L93">
        <v>10</v>
      </c>
      <c r="M93">
        <v>14</v>
      </c>
      <c r="N93">
        <v>4</v>
      </c>
      <c r="O93">
        <v>1.5</v>
      </c>
      <c r="P93">
        <v>217</v>
      </c>
      <c r="Q93">
        <v>16</v>
      </c>
      <c r="R93">
        <v>1</v>
      </c>
      <c r="S93" t="s">
        <v>379</v>
      </c>
      <c r="T93">
        <v>-4</v>
      </c>
      <c r="U93" s="2" t="s">
        <v>484</v>
      </c>
      <c r="V93" s="2"/>
      <c r="W93" s="2"/>
      <c r="X93" s="2"/>
      <c r="Y93" s="2"/>
      <c r="Z93" s="2"/>
      <c r="AA93" s="2"/>
      <c r="AB93" s="2"/>
      <c r="AC93" s="2"/>
      <c r="AD93" s="2">
        <v>295</v>
      </c>
      <c r="AJ93">
        <v>70</v>
      </c>
      <c r="AQ93" t="s">
        <v>363</v>
      </c>
      <c r="AV93" s="2">
        <f>SQRT(J93*K93)*POWER((MIN(M93,20)+SQRT(MAX(M93-20,0))),0.9)*Data!$B$1</f>
        <v>19.421845378305154</v>
      </c>
      <c r="AW93" s="2">
        <f>POWER((J93*J93*K93), 0.33)*LOG10(P93)*10*Data!$B$1</f>
        <v>73.926857052811044</v>
      </c>
      <c r="AX93" s="2"/>
      <c r="AY93" s="2"/>
      <c r="AZ93" s="2">
        <f>IFERROR((SQRT($J93*$AG93)*POWER((MIN($M93,20)+SQRT(MAX($M93-20,0))),0.9)*Data!$B$1)*(1 - (R93-1)),AV93)</f>
        <v>0</v>
      </c>
      <c r="BA93" s="2">
        <f>IFERROR(((POWER(($J93*$J93*$AG93), 0.33)*LOG10($AE93)*10*Data!$B$1)*R93),AW93)</f>
        <v>73.926857052811044</v>
      </c>
      <c r="BB93" s="2">
        <f t="shared" si="22"/>
        <v>116.93548387096774</v>
      </c>
      <c r="BC93" s="2">
        <f t="shared" si="25"/>
        <v>0</v>
      </c>
      <c r="BD93" s="2">
        <f t="shared" si="26"/>
        <v>0</v>
      </c>
      <c r="BE93" s="2">
        <f t="shared" si="27"/>
        <v>56.451612903225808</v>
      </c>
      <c r="BF93" s="2">
        <v>1</v>
      </c>
      <c r="BG93" s="2">
        <f t="shared" si="23"/>
        <v>4</v>
      </c>
      <c r="BH93" s="2">
        <f t="shared" si="28"/>
        <v>0</v>
      </c>
      <c r="BI93" s="2">
        <f t="shared" si="24"/>
        <v>3</v>
      </c>
      <c r="BJ93" s="2">
        <f t="shared" si="29"/>
        <v>-1</v>
      </c>
      <c r="BK93" s="3"/>
      <c r="BL93" s="3"/>
      <c r="BM93" s="3"/>
      <c r="BN93">
        <f t="shared" si="21"/>
        <v>7</v>
      </c>
      <c r="BO93" s="2" t="str">
        <f>CONCATENATE(
ROUND(BK93*VLOOKUP(I93,'ID Scheme'!$A$2:$E$7,3),0), "x",
ROUND(BL93*VLOOKUP(I93,'ID Scheme'!$A$2:$E$7,5),0), "x",
ROUND(BM93*VLOOKUP(I93,'ID Scheme'!$A$2:$E$7,4),0))</f>
        <v>0x0x0</v>
      </c>
    </row>
    <row r="94" spans="1:68" x14ac:dyDescent="0.25">
      <c r="A94" t="s">
        <v>53</v>
      </c>
      <c r="B94" t="s">
        <v>222</v>
      </c>
      <c r="C94" t="s">
        <v>295</v>
      </c>
      <c r="D94">
        <f>IF(F94 &gt; 2020, ((F94-2020)*4)+1610+H94,IF(F94 &gt; 1900, ((F94-1900)*10)+400+H94, ((F94-1730)*2)+H94))+VLOOKUP(I94,'ID Scheme'!$A$2:$B$7,2, FALSE)</f>
        <v>8091</v>
      </c>
      <c r="F94">
        <v>2009</v>
      </c>
      <c r="G94">
        <v>1</v>
      </c>
      <c r="H94">
        <v>1</v>
      </c>
      <c r="I94" t="s">
        <v>48</v>
      </c>
      <c r="J94">
        <v>105</v>
      </c>
      <c r="K94">
        <v>4</v>
      </c>
      <c r="L94">
        <v>-1</v>
      </c>
      <c r="M94">
        <v>12</v>
      </c>
      <c r="N94">
        <v>4</v>
      </c>
      <c r="O94">
        <v>1.5</v>
      </c>
      <c r="P94">
        <v>134</v>
      </c>
      <c r="Q94">
        <v>20</v>
      </c>
      <c r="R94">
        <v>0.85</v>
      </c>
      <c r="S94" t="s">
        <v>378</v>
      </c>
      <c r="T94">
        <v>-4</v>
      </c>
      <c r="U94" s="2" t="s">
        <v>483</v>
      </c>
      <c r="V94" s="2"/>
      <c r="W94" s="2"/>
      <c r="X94" s="2"/>
      <c r="Y94" s="2"/>
      <c r="Z94" s="2"/>
      <c r="AA94" s="2"/>
      <c r="AB94" s="2"/>
      <c r="AC94" s="2"/>
      <c r="AD94" s="2">
        <v>275</v>
      </c>
      <c r="AJ94">
        <v>70</v>
      </c>
      <c r="AQ94" t="s">
        <v>362</v>
      </c>
      <c r="AV94" s="2">
        <f>SQRT(J94*K94)*POWER((MIN(M94,20)+SQRT(MAX(M94-20,0))),0.9)*Data!$B$1</f>
        <v>14.386297269001103</v>
      </c>
      <c r="AW94" s="2">
        <f>POWER((J94*J94*K94), 0.33)*LOG10(P94)*10*Data!$B$1</f>
        <v>54.389477308984574</v>
      </c>
      <c r="AX94" s="2"/>
      <c r="AY94" s="2"/>
      <c r="AZ94" s="2">
        <f>IFERROR((SQRT($J94*$AG94)*POWER((MIN($M94,20)+SQRT(MAX($M94-20,0))),0.9)*Data!$B$1)*(1 - (R94-1)),AV94)</f>
        <v>0</v>
      </c>
      <c r="BA94" s="2">
        <f>IFERROR(((POWER(($J94*$J94*$AG94), 0.33)*LOG10($AE94)*10*Data!$B$1)*R94),AW94)</f>
        <v>54.389477308984574</v>
      </c>
      <c r="BB94" s="2">
        <f t="shared" si="22"/>
        <v>84.677419354838705</v>
      </c>
      <c r="BC94" s="2">
        <f t="shared" si="25"/>
        <v>0</v>
      </c>
      <c r="BD94" s="2">
        <f t="shared" si="26"/>
        <v>0</v>
      </c>
      <c r="BE94" s="2">
        <f t="shared" si="27"/>
        <v>56.451612903225808</v>
      </c>
      <c r="BF94" s="2">
        <v>1</v>
      </c>
      <c r="BG94" s="2">
        <f t="shared" si="23"/>
        <v>4</v>
      </c>
      <c r="BH94" s="2">
        <f t="shared" si="28"/>
        <v>0</v>
      </c>
      <c r="BI94" s="2">
        <f t="shared" si="24"/>
        <v>3</v>
      </c>
      <c r="BJ94" s="2">
        <f t="shared" si="29"/>
        <v>-1</v>
      </c>
      <c r="BK94" s="3"/>
      <c r="BL94" s="3"/>
      <c r="BM94" s="3"/>
      <c r="BN94">
        <f t="shared" si="21"/>
        <v>5</v>
      </c>
      <c r="BO94" s="2" t="str">
        <f>CONCATENATE(
ROUND(BK94*VLOOKUP(I94,'ID Scheme'!$A$2:$E$7,3),0), "x",
ROUND(BL94*VLOOKUP(I94,'ID Scheme'!$A$2:$E$7,5),0), "x",
ROUND(BM94*VLOOKUP(I94,'ID Scheme'!$A$2:$E$7,4),0))</f>
        <v>0x0x0</v>
      </c>
    </row>
    <row r="95" spans="1:68" x14ac:dyDescent="0.25">
      <c r="A95" t="s">
        <v>100</v>
      </c>
      <c r="B95" t="s">
        <v>271</v>
      </c>
      <c r="C95" t="s">
        <v>295</v>
      </c>
      <c r="D95">
        <f>IF(F95 &gt; 2020, ((F95-2020)*4)+1610+H95,IF(F95 &gt; 1900, ((F95-1900)*10)+400+H95, ((F95-1730)*2)+H95))+VLOOKUP(I95,'ID Scheme'!$A$2:$B$7,2, FALSE)</f>
        <v>8141</v>
      </c>
      <c r="F95">
        <v>2014</v>
      </c>
      <c r="G95">
        <v>1</v>
      </c>
      <c r="H95">
        <v>1</v>
      </c>
      <c r="I95" t="s">
        <v>48</v>
      </c>
      <c r="J95">
        <v>95</v>
      </c>
      <c r="K95">
        <v>9</v>
      </c>
      <c r="L95">
        <v>-1</v>
      </c>
      <c r="M95">
        <v>12</v>
      </c>
      <c r="N95">
        <v>5</v>
      </c>
      <c r="O95">
        <v>1.5</v>
      </c>
      <c r="P95">
        <v>120</v>
      </c>
      <c r="Q95">
        <v>20</v>
      </c>
      <c r="R95">
        <v>1</v>
      </c>
      <c r="S95" t="s">
        <v>378</v>
      </c>
      <c r="T95">
        <v>-4</v>
      </c>
      <c r="U95" s="2" t="s">
        <v>482</v>
      </c>
      <c r="V95" s="2"/>
      <c r="W95" s="2"/>
      <c r="X95" s="2"/>
      <c r="Y95" s="2"/>
      <c r="Z95" s="2"/>
      <c r="AA95" s="2"/>
      <c r="AB95" s="2"/>
      <c r="AC95" s="2"/>
      <c r="AD95" s="2"/>
      <c r="AJ95">
        <v>70</v>
      </c>
      <c r="AQ95" t="s">
        <v>361</v>
      </c>
      <c r="AV95" s="2">
        <f>SQRT(J95*K95)*POWER((MIN(M95,20)+SQRT(MAX(M95-20,0))),0.9)*Data!$B$1</f>
        <v>20.52614734864143</v>
      </c>
      <c r="AW95" s="2">
        <f>POWER((J95*J95*K95), 0.33)*LOG10(P95)*10*Data!$B$1</f>
        <v>65.035610325244349</v>
      </c>
      <c r="AX95" s="2"/>
      <c r="AY95" s="2"/>
      <c r="AZ95" s="2">
        <f>IFERROR((SQRT($J95*$AG95)*POWER((MIN($M95,20)+SQRT(MAX($M95-20,0))),0.9)*Data!$B$1)*(1 - (R95-1)),AV95)</f>
        <v>0</v>
      </c>
      <c r="BA95" s="2">
        <f>IFERROR(((POWER(($J95*$J95*$AG95), 0.33)*LOG10($AE95)*10*Data!$B$1)*R95),AW95)</f>
        <v>65.035610325244349</v>
      </c>
      <c r="BB95" s="2">
        <f t="shared" si="22"/>
        <v>76.612903225806448</v>
      </c>
      <c r="BC95" s="2">
        <f t="shared" si="25"/>
        <v>0</v>
      </c>
      <c r="BD95" s="2">
        <f t="shared" si="26"/>
        <v>0</v>
      </c>
      <c r="BE95" s="2">
        <f t="shared" si="27"/>
        <v>56.451612903225808</v>
      </c>
      <c r="BF95" s="2">
        <v>1</v>
      </c>
      <c r="BG95" s="2">
        <f t="shared" si="23"/>
        <v>9</v>
      </c>
      <c r="BH95" s="2">
        <f t="shared" si="28"/>
        <v>0</v>
      </c>
      <c r="BI95" s="2">
        <f t="shared" si="24"/>
        <v>8</v>
      </c>
      <c r="BJ95" s="2">
        <f t="shared" si="29"/>
        <v>-1</v>
      </c>
      <c r="BM95" s="3"/>
      <c r="BN95">
        <f t="shared" si="21"/>
        <v>5</v>
      </c>
      <c r="BO95" s="2" t="str">
        <f>CONCATENATE(
ROUND(BK95*VLOOKUP(I95,'ID Scheme'!$A$2:$E$7,3),0), "x",
ROUND(BL95*VLOOKUP(I95,'ID Scheme'!$A$2:$E$7,5),0), "x",
ROUND(BM95*VLOOKUP(I95,'ID Scheme'!$A$2:$E$7,4),0))</f>
        <v>0x0x0</v>
      </c>
    </row>
    <row r="96" spans="1:68" x14ac:dyDescent="0.25">
      <c r="A96" t="s">
        <v>262</v>
      </c>
      <c r="B96" t="s">
        <v>385</v>
      </c>
      <c r="C96" t="s">
        <v>394</v>
      </c>
      <c r="D96">
        <f>IF(F96 &gt; 2020, ((F96-2020)*4)+1610+H96,IF(F96 &gt; 1900, ((F96-1900)*10)+400+H96, ((F96-1730)*2)+H96))+VLOOKUP(I96,'ID Scheme'!$A$2:$B$7,2, FALSE)</f>
        <v>8161</v>
      </c>
      <c r="F96">
        <v>2016</v>
      </c>
      <c r="G96">
        <v>1</v>
      </c>
      <c r="H96">
        <v>1</v>
      </c>
      <c r="I96" t="s">
        <v>48</v>
      </c>
      <c r="J96">
        <v>155</v>
      </c>
      <c r="K96">
        <v>4</v>
      </c>
      <c r="L96">
        <v>-1</v>
      </c>
      <c r="M96">
        <v>10</v>
      </c>
      <c r="N96">
        <v>4</v>
      </c>
      <c r="O96">
        <v>1.7</v>
      </c>
      <c r="P96">
        <v>310</v>
      </c>
      <c r="Q96">
        <v>22</v>
      </c>
      <c r="R96">
        <v>1</v>
      </c>
      <c r="S96" t="s">
        <v>380</v>
      </c>
      <c r="T96">
        <v>-4</v>
      </c>
      <c r="U96" s="2" t="s">
        <v>485</v>
      </c>
      <c r="V96" s="2"/>
      <c r="W96" s="2"/>
      <c r="X96" s="2"/>
      <c r="Y96" s="2"/>
      <c r="Z96" s="2"/>
      <c r="AA96" s="2"/>
      <c r="AB96" s="2"/>
      <c r="AC96" s="2"/>
      <c r="AD96" s="2">
        <v>335</v>
      </c>
      <c r="AG96">
        <v>2</v>
      </c>
      <c r="AH96">
        <v>3</v>
      </c>
      <c r="AJ96">
        <v>70</v>
      </c>
      <c r="AQ96" t="s">
        <v>363</v>
      </c>
      <c r="AV96" s="2">
        <v>24</v>
      </c>
      <c r="AW96" s="2">
        <v>80</v>
      </c>
      <c r="AX96" s="2"/>
      <c r="AY96" s="2"/>
      <c r="AZ96" s="2">
        <f>IFERROR((SQRT($J96*$AG96)*POWER((MIN($M96,20)+SQRT(MAX($M96-20,0))),0.9)*Data!$B$1)*(1 - (R96-1)),AV96)</f>
        <v>10.489193817626489</v>
      </c>
      <c r="BA96" s="2">
        <f>IFERROR(((POWER(($J96*$J96*$AG96), 0.33)*LOG10($AE96)*10*Data!$B$1)*R96),AW96)</f>
        <v>80</v>
      </c>
      <c r="BB96" s="2">
        <f t="shared" si="22"/>
        <v>125</v>
      </c>
      <c r="BC96" s="2">
        <f t="shared" si="25"/>
        <v>0</v>
      </c>
      <c r="BD96" s="2">
        <f t="shared" si="26"/>
        <v>0</v>
      </c>
      <c r="BE96" s="2">
        <f t="shared" si="27"/>
        <v>56.451612903225808</v>
      </c>
      <c r="BF96" s="2">
        <v>1</v>
      </c>
      <c r="BG96" s="2">
        <f t="shared" si="23"/>
        <v>4</v>
      </c>
      <c r="BH96" s="2">
        <f t="shared" si="28"/>
        <v>2</v>
      </c>
      <c r="BI96" s="2">
        <f t="shared" si="24"/>
        <v>3</v>
      </c>
      <c r="BJ96" s="2">
        <f t="shared" si="29"/>
        <v>1</v>
      </c>
      <c r="BK96" s="3">
        <v>4.5999999999999996</v>
      </c>
      <c r="BL96" s="3">
        <v>1.8</v>
      </c>
      <c r="BM96" s="3">
        <v>1.4</v>
      </c>
      <c r="BN96">
        <f t="shared" si="21"/>
        <v>2</v>
      </c>
      <c r="BO96" s="2" t="str">
        <f>CONCATENATE(
ROUND(BK96*VLOOKUP(I96,'ID Scheme'!$A$2:$E$7,3),0), "x",
ROUND(BL96*VLOOKUP(I96,'ID Scheme'!$A$2:$E$7,5),0), "x",
ROUND(BM96*VLOOKUP(I96,'ID Scheme'!$A$2:$E$7,4),0))</f>
        <v>43x26x14</v>
      </c>
    </row>
    <row r="97" spans="1:68" x14ac:dyDescent="0.25">
      <c r="A97" t="s">
        <v>105</v>
      </c>
      <c r="B97" t="s">
        <v>204</v>
      </c>
      <c r="C97" t="s">
        <v>336</v>
      </c>
      <c r="D97">
        <f>IF(F97 &gt; 2020, ((F97-2020)*4)+1610+H97,IF(F97 &gt; 1900, ((F97-1900)*10)+400+H97, ((F97-1730)*2)+H97))+VLOOKUP(I97,'ID Scheme'!$A$2:$B$7,2, FALSE)</f>
        <v>8861</v>
      </c>
      <c r="F97">
        <v>1860</v>
      </c>
      <c r="G97">
        <v>1</v>
      </c>
      <c r="H97">
        <v>1</v>
      </c>
      <c r="I97" t="s">
        <v>104</v>
      </c>
      <c r="J97">
        <v>18</v>
      </c>
      <c r="K97">
        <v>48</v>
      </c>
      <c r="L97">
        <v>50</v>
      </c>
      <c r="M97">
        <v>35</v>
      </c>
      <c r="N97">
        <v>9</v>
      </c>
      <c r="O97">
        <v>8</v>
      </c>
      <c r="P97">
        <v>15</v>
      </c>
      <c r="Q97">
        <v>20</v>
      </c>
      <c r="R97">
        <v>1</v>
      </c>
      <c r="S97" t="s">
        <v>297</v>
      </c>
      <c r="T97">
        <v>0</v>
      </c>
      <c r="U97" s="2" t="s">
        <v>475</v>
      </c>
      <c r="V97" s="2"/>
      <c r="W97" s="2"/>
      <c r="X97" s="2"/>
      <c r="Y97" s="2"/>
      <c r="Z97" s="2"/>
      <c r="AA97" s="2"/>
      <c r="AB97" s="2"/>
      <c r="AC97" s="2"/>
      <c r="AD97" s="2"/>
      <c r="AK97" t="s">
        <v>439</v>
      </c>
      <c r="AM97" t="s">
        <v>438</v>
      </c>
      <c r="AN97" t="s">
        <v>438</v>
      </c>
      <c r="AO97" t="s">
        <v>439</v>
      </c>
      <c r="AP97" t="s">
        <v>440</v>
      </c>
      <c r="AQ97" t="s">
        <v>364</v>
      </c>
      <c r="AR97">
        <v>1</v>
      </c>
      <c r="AU97" t="s">
        <v>389</v>
      </c>
      <c r="AV97" s="2">
        <f>SQRT(J97*K97)*POWER((MIN(M97,20)+SQRT(MAX(M97-20,0))),0.9)*Data!$B$1</f>
        <v>38.320764105189852</v>
      </c>
      <c r="AW97" s="2">
        <f>POWER((J97*J97*K97), 0.33)*LOG10(P97)*10*Data!$B$1</f>
        <v>21.320223216560169</v>
      </c>
      <c r="AX97" s="2"/>
      <c r="AY97" s="2"/>
      <c r="AZ97" s="2">
        <f>IFERROR((SQRT($J97*$AG97)*POWER((MIN($M97,20)+SQRT(MAX($M97-20,0))),0.9)*Data!$B$1)*(1 - (R97-1)),AV97)</f>
        <v>0</v>
      </c>
      <c r="BA97" s="2">
        <f>IFERROR(((POWER(($J97*$J97*$AG97), 0.33)*LOG10($AE97)*10*Data!$B$1)*R97),AW97)</f>
        <v>21.320223216560169</v>
      </c>
      <c r="BB97" s="2">
        <f t="shared" si="22"/>
        <v>14.516129032258064</v>
      </c>
      <c r="BC97" s="2">
        <f t="shared" si="25"/>
        <v>0</v>
      </c>
      <c r="BD97" s="2">
        <f t="shared" si="26"/>
        <v>0</v>
      </c>
      <c r="BE97" s="2">
        <f t="shared" si="27"/>
        <v>0</v>
      </c>
      <c r="BF97" s="2">
        <v>1</v>
      </c>
      <c r="BG97" s="2">
        <f t="shared" si="23"/>
        <v>48</v>
      </c>
      <c r="BH97" s="2">
        <f t="shared" si="28"/>
        <v>0</v>
      </c>
      <c r="BI97" s="2">
        <f t="shared" si="24"/>
        <v>47</v>
      </c>
      <c r="BJ97" s="2">
        <f t="shared" si="29"/>
        <v>-1</v>
      </c>
      <c r="BM97" s="3"/>
      <c r="BN97">
        <f t="shared" si="21"/>
        <v>-156</v>
      </c>
      <c r="BO97" s="2" t="str">
        <f>CONCATENATE(
ROUND(BK97*VLOOKUP(I97,'ID Scheme'!$A$2:$E$7,3),0), "x",
ROUND(BL97*VLOOKUP(I97,'ID Scheme'!$A$2:$E$7,5),0), "x",
ROUND(BM97*VLOOKUP(I97,'ID Scheme'!$A$2:$E$7,4),0))</f>
        <v>0x0x0</v>
      </c>
    </row>
    <row r="98" spans="1:68" x14ac:dyDescent="0.25">
      <c r="A98" t="s">
        <v>106</v>
      </c>
      <c r="B98" t="s">
        <v>252</v>
      </c>
      <c r="C98" t="s">
        <v>301</v>
      </c>
      <c r="D98">
        <f>IF(F98 &gt; 2020, ((F98-2020)*4)+1610+H98,IF(F98 &gt; 1900, ((F98-1900)*10)+400+H98, ((F98-1730)*2)+H98))+VLOOKUP(I98,'ID Scheme'!$A$2:$B$7,2, FALSE)</f>
        <v>8887</v>
      </c>
      <c r="F98">
        <v>1873</v>
      </c>
      <c r="G98">
        <v>1</v>
      </c>
      <c r="H98">
        <v>1</v>
      </c>
      <c r="I98" t="s">
        <v>104</v>
      </c>
      <c r="J98">
        <v>20</v>
      </c>
      <c r="K98">
        <v>50</v>
      </c>
      <c r="L98">
        <v>20</v>
      </c>
      <c r="M98">
        <v>30</v>
      </c>
      <c r="N98">
        <v>9</v>
      </c>
      <c r="O98">
        <v>9</v>
      </c>
      <c r="P98">
        <v>30</v>
      </c>
      <c r="Q98">
        <v>18</v>
      </c>
      <c r="R98">
        <v>1</v>
      </c>
      <c r="S98" t="s">
        <v>298</v>
      </c>
      <c r="T98">
        <v>0</v>
      </c>
      <c r="U98" s="2" t="s">
        <v>462</v>
      </c>
      <c r="V98" s="2"/>
      <c r="W98" s="2"/>
      <c r="X98" s="2"/>
      <c r="Y98" s="2"/>
      <c r="Z98" s="2"/>
      <c r="AA98" s="2"/>
      <c r="AB98" s="2"/>
      <c r="AC98" s="2"/>
      <c r="AD98" s="2"/>
      <c r="AQ98" t="s">
        <v>364</v>
      </c>
      <c r="AR98">
        <v>1</v>
      </c>
      <c r="AV98" s="2">
        <f>SQRT(J98*K98)*POWER((MIN(M98,20)+SQRT(MAX(M98-20,0))),0.9)*Data!$B$1</f>
        <v>40.120321127543804</v>
      </c>
      <c r="AW98" s="2">
        <f>POWER((J98*J98*K98), 0.33)*LOG10(P98)*10*Data!$B$1</f>
        <v>29.094929509594969</v>
      </c>
      <c r="AX98" s="2"/>
      <c r="AY98" s="2"/>
      <c r="AZ98" s="2">
        <f>IFERROR((SQRT($J98*$AG98)*POWER((MIN($M98,20)+SQRT(MAX($M98-20,0))),0.9)*Data!$B$1)*(1 - (R98-1)),AV98)</f>
        <v>0</v>
      </c>
      <c r="BA98" s="2">
        <f>IFERROR(((POWER(($J98*$J98*$AG98), 0.33)*LOG10($AE98)*10*Data!$B$1)*R98),AW98)</f>
        <v>29.094929509594969</v>
      </c>
      <c r="BB98" s="2">
        <f t="shared" si="22"/>
        <v>16.129032258064516</v>
      </c>
      <c r="BC98" s="2">
        <f t="shared" si="25"/>
        <v>0</v>
      </c>
      <c r="BD98" s="2">
        <f t="shared" si="26"/>
        <v>0</v>
      </c>
      <c r="BE98" s="2">
        <f t="shared" si="27"/>
        <v>0</v>
      </c>
      <c r="BF98" s="2">
        <v>1</v>
      </c>
      <c r="BG98" s="2">
        <f t="shared" si="23"/>
        <v>50</v>
      </c>
      <c r="BH98" s="2">
        <f t="shared" si="28"/>
        <v>0</v>
      </c>
      <c r="BI98" s="2">
        <f t="shared" si="24"/>
        <v>49</v>
      </c>
      <c r="BJ98" s="2">
        <f t="shared" si="29"/>
        <v>-1</v>
      </c>
      <c r="BM98" s="3"/>
      <c r="BN98">
        <f t="shared" si="21"/>
        <v>13</v>
      </c>
      <c r="BO98" s="2" t="str">
        <f>CONCATENATE(
ROUND(BK98*VLOOKUP(I98,'ID Scheme'!$A$2:$E$7,3),0), "x",
ROUND(BL98*VLOOKUP(I98,'ID Scheme'!$A$2:$E$7,5),0), "x",
ROUND(BM98*VLOOKUP(I98,'ID Scheme'!$A$2:$E$7,4),0))</f>
        <v>0x0x0</v>
      </c>
    </row>
    <row r="99" spans="1:68" x14ac:dyDescent="0.25">
      <c r="A99" t="s">
        <v>108</v>
      </c>
      <c r="B99" t="s">
        <v>245</v>
      </c>
      <c r="C99" t="s">
        <v>301</v>
      </c>
      <c r="D99">
        <f>IF(F99 &gt; 2020, ((F99-2020)*4)+1610+H99,IF(F99 &gt; 1900, ((F99-1900)*10)+400+H99, ((F99-1730)*2)+H99))+VLOOKUP(I99,'ID Scheme'!$A$2:$B$7,2, FALSE)</f>
        <v>8911</v>
      </c>
      <c r="F99">
        <v>1885</v>
      </c>
      <c r="G99">
        <v>1</v>
      </c>
      <c r="H99">
        <v>1</v>
      </c>
      <c r="I99" t="s">
        <v>104</v>
      </c>
      <c r="J99">
        <v>21</v>
      </c>
      <c r="K99">
        <v>32</v>
      </c>
      <c r="L99">
        <v>20</v>
      </c>
      <c r="M99">
        <v>30</v>
      </c>
      <c r="N99">
        <v>8</v>
      </c>
      <c r="O99">
        <v>7</v>
      </c>
      <c r="P99">
        <v>20</v>
      </c>
      <c r="Q99">
        <v>20</v>
      </c>
      <c r="R99">
        <v>1</v>
      </c>
      <c r="S99" t="s">
        <v>387</v>
      </c>
      <c r="T99">
        <v>0</v>
      </c>
      <c r="U99" s="2" t="s">
        <v>474</v>
      </c>
      <c r="V99" s="2"/>
      <c r="W99" s="2"/>
      <c r="X99" s="2"/>
      <c r="Y99" s="2"/>
      <c r="Z99" s="2"/>
      <c r="AA99" s="2"/>
      <c r="AB99" s="2"/>
      <c r="AC99" s="2"/>
      <c r="AD99" s="2"/>
      <c r="AQ99" t="s">
        <v>364</v>
      </c>
      <c r="AR99">
        <v>1</v>
      </c>
      <c r="AV99" s="2">
        <f>SQRT(J99*K99)*POWER((MIN(M99,20)+SQRT(MAX(M99-20,0))),0.9)*Data!$B$1</f>
        <v>32.8888764246744</v>
      </c>
      <c r="AW99" s="2">
        <f>POWER((J99*J99*K99), 0.33)*LOG10(P99)*10*Data!$B$1</f>
        <v>22.84087832220764</v>
      </c>
      <c r="AX99" s="2"/>
      <c r="AY99" s="2"/>
      <c r="AZ99" s="2">
        <f>IFERROR((SQRT($J99*$AG99)*POWER((MIN($M99,20)+SQRT(MAX($M99-20,0))),0.9)*Data!$B$1)*(1 - (R99-1)),AV99)</f>
        <v>0</v>
      </c>
      <c r="BA99" s="2">
        <f>IFERROR(((POWER(($J99*$J99*$AG99), 0.33)*LOG10($AE99)*10*Data!$B$1)*R99),AW99)</f>
        <v>22.84087832220764</v>
      </c>
      <c r="BB99" s="2">
        <f t="shared" si="22"/>
        <v>16.935483870967744</v>
      </c>
      <c r="BC99" s="2">
        <f t="shared" si="25"/>
        <v>0</v>
      </c>
      <c r="BD99" s="2">
        <f t="shared" si="26"/>
        <v>0</v>
      </c>
      <c r="BE99" s="2">
        <f t="shared" si="27"/>
        <v>0</v>
      </c>
      <c r="BF99" s="2">
        <v>1</v>
      </c>
      <c r="BG99" s="2">
        <f t="shared" si="23"/>
        <v>32</v>
      </c>
      <c r="BH99" s="2">
        <f t="shared" si="28"/>
        <v>0</v>
      </c>
      <c r="BI99" s="2">
        <f t="shared" si="24"/>
        <v>31</v>
      </c>
      <c r="BJ99" s="2">
        <f t="shared" si="29"/>
        <v>-1</v>
      </c>
      <c r="BM99" s="3"/>
      <c r="BN99">
        <f t="shared" si="21"/>
        <v>12</v>
      </c>
      <c r="BO99" s="2" t="str">
        <f>CONCATENATE(
ROUND(BK99*VLOOKUP(I99,'ID Scheme'!$A$2:$E$7,3),0), "x",
ROUND(BL99*VLOOKUP(I99,'ID Scheme'!$A$2:$E$7,5),0), "x",
ROUND(BM99*VLOOKUP(I99,'ID Scheme'!$A$2:$E$7,4),0))</f>
        <v>0x0x0</v>
      </c>
      <c r="BP99" t="s">
        <v>124</v>
      </c>
    </row>
    <row r="100" spans="1:68" x14ac:dyDescent="0.25">
      <c r="A100" t="s">
        <v>131</v>
      </c>
      <c r="B100" t="s">
        <v>251</v>
      </c>
      <c r="C100" t="s">
        <v>295</v>
      </c>
      <c r="D100">
        <f>IF(F100 &gt; 2020, ((F100-2020)*4)+1610+H100,IF(F100 &gt; 1900, ((F100-1900)*10)+400+H100, ((F100-1730)*2)+H100))+VLOOKUP(I100,'ID Scheme'!$A$2:$B$7,2, FALSE)</f>
        <v>8927</v>
      </c>
      <c r="F100">
        <v>1893</v>
      </c>
      <c r="G100">
        <v>3</v>
      </c>
      <c r="H100">
        <v>1</v>
      </c>
      <c r="I100" t="s">
        <v>104</v>
      </c>
      <c r="J100">
        <v>22</v>
      </c>
      <c r="K100">
        <v>42</v>
      </c>
      <c r="L100">
        <v>20</v>
      </c>
      <c r="M100">
        <v>75</v>
      </c>
      <c r="N100">
        <v>9</v>
      </c>
      <c r="O100">
        <v>7.5</v>
      </c>
      <c r="P100">
        <v>50</v>
      </c>
      <c r="Q100">
        <v>20</v>
      </c>
      <c r="R100">
        <v>1</v>
      </c>
      <c r="S100" t="s">
        <v>387</v>
      </c>
      <c r="T100">
        <v>0</v>
      </c>
      <c r="U100" s="2" t="s">
        <v>450</v>
      </c>
      <c r="V100" s="2"/>
      <c r="W100" s="2"/>
      <c r="X100" s="2"/>
      <c r="Y100" s="2"/>
      <c r="Z100" s="2"/>
      <c r="AA100" s="2"/>
      <c r="AB100" s="2"/>
      <c r="AC100" s="2"/>
      <c r="AD100" s="2"/>
      <c r="AQ100" t="s">
        <v>364</v>
      </c>
      <c r="AR100">
        <v>1</v>
      </c>
      <c r="AV100" s="2">
        <f>SQRT(J100*K100)*POWER((MIN(M100,20)+SQRT(MAX(M100-20,0))),0.9)*Data!$B$1</f>
        <v>44.885261640010725</v>
      </c>
      <c r="AW100" s="2">
        <f>POWER((J100*J100*K100), 0.33)*LOG10(P100)*10*Data!$B$1</f>
        <v>33.644820060239276</v>
      </c>
      <c r="AX100" s="2"/>
      <c r="AY100" s="2"/>
      <c r="AZ100" s="2">
        <f>IFERROR((SQRT($J100*$AG100)*POWER((MIN($M100,20)+SQRT(MAX($M100-20,0))),0.9)*Data!$B$1)*(1 - (R100-1)),AV100)</f>
        <v>0</v>
      </c>
      <c r="BA100" s="2">
        <f>IFERROR(((POWER(($J100*$J100*$AG100), 0.33)*LOG10($AE100)*10*Data!$B$1)*R100),AW100)</f>
        <v>33.644820060239276</v>
      </c>
      <c r="BB100" s="2">
        <f t="shared" si="22"/>
        <v>17.741935483870968</v>
      </c>
      <c r="BC100" s="2">
        <f t="shared" si="25"/>
        <v>0</v>
      </c>
      <c r="BD100" s="2">
        <f t="shared" si="26"/>
        <v>0</v>
      </c>
      <c r="BE100" s="2">
        <f t="shared" si="27"/>
        <v>0</v>
      </c>
      <c r="BF100" s="2">
        <v>1</v>
      </c>
      <c r="BG100" s="2">
        <f t="shared" si="23"/>
        <v>42</v>
      </c>
      <c r="BH100" s="2">
        <f t="shared" si="28"/>
        <v>0</v>
      </c>
      <c r="BI100" s="2">
        <f t="shared" si="24"/>
        <v>41</v>
      </c>
      <c r="BJ100" s="2">
        <f t="shared" si="29"/>
        <v>-1</v>
      </c>
      <c r="BM100" s="3"/>
      <c r="BN100">
        <f t="shared" si="21"/>
        <v>8</v>
      </c>
      <c r="BO100" s="2" t="str">
        <f>CONCATENATE(
ROUND(BK100*VLOOKUP(I100,'ID Scheme'!$A$2:$E$7,3),0), "x",
ROUND(BL100*VLOOKUP(I100,'ID Scheme'!$A$2:$E$7,5),0), "x",
ROUND(BM100*VLOOKUP(I100,'ID Scheme'!$A$2:$E$7,4),0))</f>
        <v>0x0x0</v>
      </c>
      <c r="BP100" t="s">
        <v>130</v>
      </c>
    </row>
    <row r="101" spans="1:68" x14ac:dyDescent="0.25">
      <c r="A101" t="s">
        <v>116</v>
      </c>
      <c r="B101" t="s">
        <v>254</v>
      </c>
      <c r="C101" t="s">
        <v>295</v>
      </c>
      <c r="D101">
        <f>IF(F101 &gt; 2020, ((F101-2020)*4)+1610+H101,IF(F101 &gt; 1900, ((F101-1900)*10)+400+H101, ((F101-1730)*2)+H101))+VLOOKUP(I101,'ID Scheme'!$A$2:$B$7,2, FALSE)</f>
        <v>8929</v>
      </c>
      <c r="F101">
        <v>1894</v>
      </c>
      <c r="G101">
        <v>6</v>
      </c>
      <c r="H101">
        <v>1</v>
      </c>
      <c r="I101" t="s">
        <v>104</v>
      </c>
      <c r="J101">
        <v>22</v>
      </c>
      <c r="K101">
        <v>36</v>
      </c>
      <c r="L101">
        <v>20</v>
      </c>
      <c r="M101">
        <v>75</v>
      </c>
      <c r="N101">
        <v>9</v>
      </c>
      <c r="O101">
        <v>7</v>
      </c>
      <c r="P101">
        <v>80</v>
      </c>
      <c r="Q101">
        <v>20</v>
      </c>
      <c r="R101">
        <v>1</v>
      </c>
      <c r="S101" t="s">
        <v>387</v>
      </c>
      <c r="T101">
        <v>0</v>
      </c>
      <c r="U101" s="2" t="s">
        <v>451</v>
      </c>
      <c r="V101" s="2"/>
      <c r="W101" s="2"/>
      <c r="X101" s="2"/>
      <c r="Y101" s="2"/>
      <c r="Z101" s="2"/>
      <c r="AA101" s="2"/>
      <c r="AB101" s="2"/>
      <c r="AC101" s="2"/>
      <c r="AD101" s="2"/>
      <c r="AQ101" t="s">
        <v>364</v>
      </c>
      <c r="AR101">
        <v>1</v>
      </c>
      <c r="AV101" s="2">
        <f>SQRT(J101*K101)*POWER((MIN(M101,20)+SQRT(MAX(M101-20,0))),0.9)*Data!$B$1</f>
        <v>41.555677409871805</v>
      </c>
      <c r="AW101" s="2">
        <f>POWER((J101*J101*K101), 0.33)*LOG10(P101)*10*Data!$B$1</f>
        <v>35.817839185344354</v>
      </c>
      <c r="AX101" s="2"/>
      <c r="AY101" s="2"/>
      <c r="AZ101" s="2">
        <f>IFERROR((SQRT($J101*$AG101)*POWER((MIN($M101,20)+SQRT(MAX($M101-20,0))),0.9)*Data!$B$1)*(1 - (R101-1)),AV101)</f>
        <v>0</v>
      </c>
      <c r="BA101" s="2">
        <f>IFERROR(((POWER(($J101*$J101*$AG101), 0.33)*LOG10($AE101)*10*Data!$B$1)*R101),AW101)</f>
        <v>35.817839185344354</v>
      </c>
      <c r="BB101" s="2">
        <f t="shared" si="22"/>
        <v>17.741935483870968</v>
      </c>
      <c r="BC101" s="2">
        <f t="shared" si="25"/>
        <v>0</v>
      </c>
      <c r="BD101" s="2">
        <f t="shared" si="26"/>
        <v>0</v>
      </c>
      <c r="BE101" s="2">
        <f t="shared" si="27"/>
        <v>0</v>
      </c>
      <c r="BF101" s="2">
        <v>1</v>
      </c>
      <c r="BG101" s="2">
        <f t="shared" si="23"/>
        <v>36</v>
      </c>
      <c r="BH101" s="2">
        <f t="shared" si="28"/>
        <v>0</v>
      </c>
      <c r="BI101" s="2">
        <f t="shared" si="24"/>
        <v>35</v>
      </c>
      <c r="BJ101" s="2">
        <f t="shared" si="29"/>
        <v>-1</v>
      </c>
      <c r="BM101" s="3"/>
      <c r="BN101">
        <f t="shared" si="21"/>
        <v>1</v>
      </c>
      <c r="BO101" s="2" t="str">
        <f>CONCATENATE(
ROUND(BK101*VLOOKUP(I101,'ID Scheme'!$A$2:$E$7,3),0), "x",
ROUND(BL101*VLOOKUP(I101,'ID Scheme'!$A$2:$E$7,5),0), "x",
ROUND(BM101*VLOOKUP(I101,'ID Scheme'!$A$2:$E$7,4),0))</f>
        <v>0x0x0</v>
      </c>
      <c r="BP101" t="s">
        <v>118</v>
      </c>
    </row>
    <row r="102" spans="1:68" x14ac:dyDescent="0.25">
      <c r="A102" t="s">
        <v>111</v>
      </c>
      <c r="B102" t="s">
        <v>249</v>
      </c>
      <c r="C102" t="s">
        <v>295</v>
      </c>
      <c r="D102">
        <f>IF(F102 &gt; 2020, ((F102-2020)*4)+1610+H102,IF(F102 &gt; 1900, ((F102-1900)*10)+400+H102, ((F102-1730)*2)+H102))+VLOOKUP(I102,'ID Scheme'!$A$2:$B$7,2, FALSE)</f>
        <v>8937</v>
      </c>
      <c r="F102">
        <v>1898</v>
      </c>
      <c r="G102">
        <v>1</v>
      </c>
      <c r="H102">
        <v>1</v>
      </c>
      <c r="I102" t="s">
        <v>104</v>
      </c>
      <c r="J102">
        <v>23</v>
      </c>
      <c r="K102">
        <v>48</v>
      </c>
      <c r="L102">
        <v>20</v>
      </c>
      <c r="M102">
        <v>45</v>
      </c>
      <c r="N102">
        <v>11</v>
      </c>
      <c r="O102">
        <v>8</v>
      </c>
      <c r="P102">
        <v>80</v>
      </c>
      <c r="Q102">
        <v>20</v>
      </c>
      <c r="R102">
        <v>1</v>
      </c>
      <c r="S102" t="s">
        <v>387</v>
      </c>
      <c r="T102">
        <v>0</v>
      </c>
      <c r="U102" s="2" t="s">
        <v>453</v>
      </c>
      <c r="V102" s="2"/>
      <c r="W102" s="2"/>
      <c r="X102" s="2"/>
      <c r="Y102" s="2"/>
      <c r="Z102" s="2"/>
      <c r="AA102" s="2"/>
      <c r="AB102" s="2"/>
      <c r="AC102" s="2"/>
      <c r="AD102" s="2"/>
      <c r="AQ102" t="s">
        <v>364</v>
      </c>
      <c r="AR102">
        <v>1</v>
      </c>
      <c r="AV102" s="2">
        <f>SQRT(J102*K102)*POWER((MIN(M102,20)+SQRT(MAX(M102-20,0))),0.9)*Data!$B$1</f>
        <v>45.153540372471618</v>
      </c>
      <c r="AW102" s="2">
        <f>POWER((J102*J102*K102), 0.33)*LOG10(P102)*10*Data!$B$1</f>
        <v>40.55744311676029</v>
      </c>
      <c r="AX102" s="2"/>
      <c r="AY102" s="2"/>
      <c r="AZ102" s="2">
        <f>IFERROR((SQRT($J102*$AG102)*POWER((MIN($M102,20)+SQRT(MAX($M102-20,0))),0.9)*Data!$B$1)*(1 - (R102-1)),AV102)</f>
        <v>0</v>
      </c>
      <c r="BA102" s="2">
        <f>IFERROR(((POWER(($J102*$J102*$AG102), 0.33)*LOG10($AE102)*10*Data!$B$1)*R102),AW102)</f>
        <v>40.55744311676029</v>
      </c>
      <c r="BB102" s="2">
        <f t="shared" si="22"/>
        <v>18.548387096774192</v>
      </c>
      <c r="BC102" s="2">
        <f t="shared" si="25"/>
        <v>0</v>
      </c>
      <c r="BD102" s="2">
        <f t="shared" si="26"/>
        <v>0</v>
      </c>
      <c r="BE102" s="2">
        <f t="shared" si="27"/>
        <v>0</v>
      </c>
      <c r="BF102" s="2">
        <v>1</v>
      </c>
      <c r="BG102" s="2">
        <f t="shared" si="23"/>
        <v>48</v>
      </c>
      <c r="BH102" s="2">
        <f t="shared" si="28"/>
        <v>0</v>
      </c>
      <c r="BI102" s="2">
        <f t="shared" si="24"/>
        <v>47</v>
      </c>
      <c r="BJ102" s="2">
        <f t="shared" si="29"/>
        <v>-1</v>
      </c>
      <c r="BM102" s="3"/>
      <c r="BN102">
        <f t="shared" ref="BN102:BN112" si="30">F102-F101</f>
        <v>4</v>
      </c>
      <c r="BO102" s="2" t="str">
        <f>CONCATENATE(
ROUND(BK102*VLOOKUP(I102,'ID Scheme'!$A$2:$E$7,3),0), "x",
ROUND(BL102*VLOOKUP(I102,'ID Scheme'!$A$2:$E$7,5),0), "x",
ROUND(BM102*VLOOKUP(I102,'ID Scheme'!$A$2:$E$7,4),0))</f>
        <v>0x0x0</v>
      </c>
      <c r="BP102" t="s">
        <v>118</v>
      </c>
    </row>
    <row r="103" spans="1:68" x14ac:dyDescent="0.25">
      <c r="A103" t="s">
        <v>117</v>
      </c>
      <c r="B103" t="s">
        <v>255</v>
      </c>
      <c r="C103" t="s">
        <v>295</v>
      </c>
      <c r="D103">
        <f>IF(F103 &gt; 2020, ((F103-2020)*4)+1610+H103,IF(F103 &gt; 1900, ((F103-1900)*10)+400+H103, ((F103-1730)*2)+H103))+VLOOKUP(I103,'ID Scheme'!$A$2:$B$7,2, FALSE)</f>
        <v>8939</v>
      </c>
      <c r="F103">
        <v>1899</v>
      </c>
      <c r="G103">
        <v>1</v>
      </c>
      <c r="H103">
        <v>1</v>
      </c>
      <c r="I103" t="s">
        <v>104</v>
      </c>
      <c r="J103">
        <v>24</v>
      </c>
      <c r="K103">
        <v>48</v>
      </c>
      <c r="L103">
        <v>20</v>
      </c>
      <c r="M103">
        <v>65</v>
      </c>
      <c r="N103">
        <v>9</v>
      </c>
      <c r="O103">
        <v>7</v>
      </c>
      <c r="P103">
        <v>80</v>
      </c>
      <c r="Q103">
        <v>20</v>
      </c>
      <c r="R103">
        <v>1</v>
      </c>
      <c r="S103" t="s">
        <v>387</v>
      </c>
      <c r="T103">
        <v>0</v>
      </c>
      <c r="U103" s="2" t="s">
        <v>452</v>
      </c>
      <c r="V103" s="2"/>
      <c r="W103" s="2"/>
      <c r="X103" s="2"/>
      <c r="Y103" s="2"/>
      <c r="Z103" s="2"/>
      <c r="AA103" s="2"/>
      <c r="AB103" s="2"/>
      <c r="AC103" s="2"/>
      <c r="AD103" s="2"/>
      <c r="AQ103" t="s">
        <v>364</v>
      </c>
      <c r="AR103">
        <v>1</v>
      </c>
      <c r="AV103" s="2">
        <f>SQRT(J103*K103)*POWER((MIN(M103,20)+SQRT(MAX(M103-20,0))),0.9)*Data!$B$1</f>
        <v>48.95169319243255</v>
      </c>
      <c r="AW103" s="2">
        <f>POWER((J103*J103*K103), 0.33)*LOG10(P103)*10*Data!$B$1</f>
        <v>41.712826159953799</v>
      </c>
      <c r="AX103" s="2"/>
      <c r="AY103" s="2"/>
      <c r="AZ103" s="2">
        <f>IFERROR((SQRT($J103*$AG103)*POWER((MIN($M103,20)+SQRT(MAX($M103-20,0))),0.9)*Data!$B$1)*(1 - (R103-1)),AV103)</f>
        <v>0</v>
      </c>
      <c r="BA103" s="2">
        <f>IFERROR(((POWER(($J103*$J103*$AG103), 0.33)*LOG10($AE103)*10*Data!$B$1)*R103),AW103)</f>
        <v>41.712826159953799</v>
      </c>
      <c r="BB103" s="2">
        <f t="shared" si="22"/>
        <v>19.35483870967742</v>
      </c>
      <c r="BC103" s="2">
        <f t="shared" si="25"/>
        <v>0</v>
      </c>
      <c r="BD103" s="2">
        <f t="shared" si="26"/>
        <v>0</v>
      </c>
      <c r="BE103" s="2">
        <f t="shared" si="27"/>
        <v>0</v>
      </c>
      <c r="BF103" s="2">
        <v>1</v>
      </c>
      <c r="BG103" s="2">
        <f t="shared" si="23"/>
        <v>48</v>
      </c>
      <c r="BH103" s="2">
        <f t="shared" si="28"/>
        <v>0</v>
      </c>
      <c r="BI103" s="2">
        <f t="shared" si="24"/>
        <v>47</v>
      </c>
      <c r="BJ103" s="2">
        <f t="shared" si="29"/>
        <v>-1</v>
      </c>
      <c r="BM103" s="3"/>
      <c r="BN103">
        <f t="shared" si="30"/>
        <v>1</v>
      </c>
      <c r="BO103" s="2" t="str">
        <f>CONCATENATE(
ROUND(BK103*VLOOKUP(I103,'ID Scheme'!$A$2:$E$7,3),0), "x",
ROUND(BL103*VLOOKUP(I103,'ID Scheme'!$A$2:$E$7,5),0), "x",
ROUND(BM103*VLOOKUP(I103,'ID Scheme'!$A$2:$E$7,4),0))</f>
        <v>0x0x0</v>
      </c>
      <c r="BP103" t="s">
        <v>118</v>
      </c>
    </row>
    <row r="104" spans="1:68" x14ac:dyDescent="0.25">
      <c r="A104" t="s">
        <v>109</v>
      </c>
      <c r="B104" t="s">
        <v>253</v>
      </c>
      <c r="C104" t="s">
        <v>295</v>
      </c>
      <c r="D104">
        <f>IF(F104 &gt; 2020, ((F104-2020)*4)+1610+H104,IF(F104 &gt; 1900, ((F104-1900)*10)+400+H104, ((F104-1730)*2)+H104))+VLOOKUP(I104,'ID Scheme'!$A$2:$B$7,2, FALSE)</f>
        <v>9011</v>
      </c>
      <c r="F104">
        <v>1901</v>
      </c>
      <c r="G104">
        <v>1</v>
      </c>
      <c r="H104">
        <v>1</v>
      </c>
      <c r="I104" t="s">
        <v>104</v>
      </c>
      <c r="J104">
        <v>25</v>
      </c>
      <c r="K104">
        <v>58</v>
      </c>
      <c r="L104">
        <v>20</v>
      </c>
      <c r="M104">
        <v>32</v>
      </c>
      <c r="N104">
        <v>7</v>
      </c>
      <c r="O104">
        <v>7.5</v>
      </c>
      <c r="P104">
        <v>60</v>
      </c>
      <c r="Q104">
        <v>20</v>
      </c>
      <c r="R104">
        <v>1</v>
      </c>
      <c r="S104" t="s">
        <v>387</v>
      </c>
      <c r="T104">
        <v>0</v>
      </c>
      <c r="U104" s="2" t="s">
        <v>473</v>
      </c>
      <c r="V104" s="2"/>
      <c r="W104" s="2"/>
      <c r="X104" s="2"/>
      <c r="Y104" s="2"/>
      <c r="Z104" s="2"/>
      <c r="AA104" s="2"/>
      <c r="AB104" s="2"/>
      <c r="AC104" s="2"/>
      <c r="AD104" s="2"/>
      <c r="AQ104" t="s">
        <v>364</v>
      </c>
      <c r="AR104">
        <v>1</v>
      </c>
      <c r="AV104" s="2">
        <f>SQRT(J104*K104)*POWER((MIN(M104,20)+SQRT(MAX(M104-20,0))),0.9)*Data!$B$1</f>
        <v>48.877479495040532</v>
      </c>
      <c r="AW104" s="2">
        <f>POWER((J104*J104*K104), 0.33)*LOG10(P104)*10*Data!$B$1</f>
        <v>42.618838192592996</v>
      </c>
      <c r="AX104" s="2"/>
      <c r="AY104" s="2"/>
      <c r="AZ104" s="2">
        <f>IFERROR((SQRT($J104*$AG104)*POWER((MIN($M104,20)+SQRT(MAX($M104-20,0))),0.9)*Data!$B$1)*(1 - (R104-1)),AV104)</f>
        <v>0</v>
      </c>
      <c r="BA104" s="2">
        <f>IFERROR(((POWER(($J104*$J104*$AG104), 0.33)*LOG10($AE104)*10*Data!$B$1)*R104),AW104)</f>
        <v>42.618838192592996</v>
      </c>
      <c r="BB104" s="2">
        <f t="shared" si="22"/>
        <v>20.161290322580644</v>
      </c>
      <c r="BC104" s="2">
        <f t="shared" si="25"/>
        <v>0</v>
      </c>
      <c r="BD104" s="2">
        <f t="shared" si="26"/>
        <v>0</v>
      </c>
      <c r="BE104" s="2">
        <f t="shared" si="27"/>
        <v>0</v>
      </c>
      <c r="BF104" s="2">
        <v>1</v>
      </c>
      <c r="BG104" s="2">
        <f t="shared" si="23"/>
        <v>58</v>
      </c>
      <c r="BH104" s="2">
        <f t="shared" si="28"/>
        <v>0</v>
      </c>
      <c r="BI104" s="2">
        <f t="shared" si="24"/>
        <v>57</v>
      </c>
      <c r="BJ104" s="2">
        <f t="shared" si="29"/>
        <v>-1</v>
      </c>
      <c r="BM104" s="3"/>
      <c r="BN104">
        <f t="shared" si="30"/>
        <v>2</v>
      </c>
      <c r="BO104" s="2" t="str">
        <f>CONCATENATE(
ROUND(BK104*VLOOKUP(I104,'ID Scheme'!$A$2:$E$7,3),0), "x",
ROUND(BL104*VLOOKUP(I104,'ID Scheme'!$A$2:$E$7,5),0), "x",
ROUND(BM104*VLOOKUP(I104,'ID Scheme'!$A$2:$E$7,4),0))</f>
        <v>0x0x0</v>
      </c>
      <c r="BP104" t="s">
        <v>125</v>
      </c>
    </row>
    <row r="105" spans="1:68" x14ac:dyDescent="0.25">
      <c r="A105" t="s">
        <v>119</v>
      </c>
      <c r="B105" t="s">
        <v>257</v>
      </c>
      <c r="C105" t="s">
        <v>301</v>
      </c>
      <c r="D105">
        <f>IF(F105 &gt; 2020, ((F105-2020)*4)+1610+H105,IF(F105 &gt; 1900, ((F105-1900)*10)+400+H105, ((F105-1730)*2)+H105))+VLOOKUP(I105,'ID Scheme'!$A$2:$B$7,2, FALSE)</f>
        <v>9111</v>
      </c>
      <c r="F105">
        <v>1911</v>
      </c>
      <c r="G105">
        <v>1</v>
      </c>
      <c r="H105">
        <v>1</v>
      </c>
      <c r="I105" t="s">
        <v>104</v>
      </c>
      <c r="J105">
        <v>22</v>
      </c>
      <c r="K105">
        <v>68</v>
      </c>
      <c r="L105">
        <v>20</v>
      </c>
      <c r="M105">
        <v>30</v>
      </c>
      <c r="N105">
        <v>12</v>
      </c>
      <c r="O105">
        <v>6</v>
      </c>
      <c r="P105">
        <v>105</v>
      </c>
      <c r="Q105">
        <v>20</v>
      </c>
      <c r="R105">
        <v>1</v>
      </c>
      <c r="S105" t="s">
        <v>387</v>
      </c>
      <c r="T105">
        <v>0</v>
      </c>
      <c r="U105" s="2" t="s">
        <v>454</v>
      </c>
      <c r="V105" s="2"/>
      <c r="W105" s="2"/>
      <c r="X105" s="2"/>
      <c r="Y105" s="2"/>
      <c r="Z105" s="2"/>
      <c r="AA105" s="2"/>
      <c r="AB105" s="2"/>
      <c r="AC105" s="2"/>
      <c r="AD105" s="2"/>
      <c r="AQ105" t="s">
        <v>364</v>
      </c>
      <c r="AR105">
        <v>1</v>
      </c>
      <c r="AV105" s="2">
        <f>SQRT(J105*K105)*POWER((MIN(M105,20)+SQRT(MAX(M105-20,0))),0.9)*Data!$B$1</f>
        <v>49.071597593682917</v>
      </c>
      <c r="AW105" s="2">
        <f>POWER((J105*J105*K105), 0.33)*LOG10(P105)*10*Data!$B$1</f>
        <v>46.924014917422397</v>
      </c>
      <c r="AX105" s="2"/>
      <c r="AY105" s="2"/>
      <c r="AZ105" s="2">
        <f>IFERROR((SQRT($J105*$AG105)*POWER((MIN($M105,20)+SQRT(MAX($M105-20,0))),0.9)*Data!$B$1)*(1 - (R105-1)),AV105)</f>
        <v>0</v>
      </c>
      <c r="BA105" s="2">
        <f>IFERROR(((POWER(($J105*$J105*$AG105), 0.33)*LOG10($AE105)*10*Data!$B$1)*R105),AW105)</f>
        <v>46.924014917422397</v>
      </c>
      <c r="BB105" s="2">
        <f t="shared" si="22"/>
        <v>17.741935483870968</v>
      </c>
      <c r="BC105" s="2">
        <f t="shared" si="25"/>
        <v>0</v>
      </c>
      <c r="BD105" s="2">
        <f t="shared" si="26"/>
        <v>0</v>
      </c>
      <c r="BE105" s="2">
        <f t="shared" si="27"/>
        <v>0</v>
      </c>
      <c r="BF105" s="2">
        <v>1</v>
      </c>
      <c r="BG105" s="2">
        <f t="shared" si="23"/>
        <v>68</v>
      </c>
      <c r="BH105" s="2">
        <f t="shared" si="28"/>
        <v>0</v>
      </c>
      <c r="BI105" s="2">
        <f t="shared" si="24"/>
        <v>67</v>
      </c>
      <c r="BJ105" s="2">
        <f t="shared" si="29"/>
        <v>-1</v>
      </c>
      <c r="BM105" s="3"/>
      <c r="BN105">
        <f t="shared" si="30"/>
        <v>10</v>
      </c>
      <c r="BO105" s="2" t="str">
        <f>CONCATENATE(
ROUND(BK105*VLOOKUP(I105,'ID Scheme'!$A$2:$E$7,3),0), "x",
ROUND(BL105*VLOOKUP(I105,'ID Scheme'!$A$2:$E$7,5),0), "x",
ROUND(BM105*VLOOKUP(I105,'ID Scheme'!$A$2:$E$7,4),0))</f>
        <v>0x0x0</v>
      </c>
      <c r="BP105" t="s">
        <v>82</v>
      </c>
    </row>
    <row r="106" spans="1:68" x14ac:dyDescent="0.25">
      <c r="A106" t="s">
        <v>110</v>
      </c>
      <c r="B106" t="s">
        <v>221</v>
      </c>
      <c r="C106" t="s">
        <v>295</v>
      </c>
      <c r="D106">
        <f>IF(F106 &gt; 2020, ((F106-2020)*4)+1610+H106,IF(F106 &gt; 1900, ((F106-1900)*10)+400+H106, ((F106-1730)*2)+H106))+VLOOKUP(I106,'ID Scheme'!$A$2:$B$7,2, FALSE)</f>
        <v>9231</v>
      </c>
      <c r="F106">
        <v>1923</v>
      </c>
      <c r="G106">
        <v>1</v>
      </c>
      <c r="H106">
        <v>1</v>
      </c>
      <c r="I106" t="s">
        <v>104</v>
      </c>
      <c r="J106">
        <v>30</v>
      </c>
      <c r="K106">
        <v>78</v>
      </c>
      <c r="L106">
        <v>20</v>
      </c>
      <c r="M106">
        <v>50</v>
      </c>
      <c r="N106">
        <v>9</v>
      </c>
      <c r="O106">
        <v>9</v>
      </c>
      <c r="P106">
        <v>80</v>
      </c>
      <c r="Q106">
        <v>20</v>
      </c>
      <c r="R106">
        <v>1</v>
      </c>
      <c r="S106" t="s">
        <v>387</v>
      </c>
      <c r="T106">
        <v>0</v>
      </c>
      <c r="U106" s="2" t="s">
        <v>472</v>
      </c>
      <c r="V106" s="2"/>
      <c r="W106" s="2"/>
      <c r="X106" s="2"/>
      <c r="Y106" s="2"/>
      <c r="Z106" s="2"/>
      <c r="AA106" s="2"/>
      <c r="AB106" s="2">
        <v>1</v>
      </c>
      <c r="AC106" s="2"/>
      <c r="AD106" s="2"/>
      <c r="AQ106" t="s">
        <v>364</v>
      </c>
      <c r="AR106">
        <v>1</v>
      </c>
      <c r="AV106" s="2">
        <f>SQRT(J106*K106)*POWER((MIN(M106,20)+SQRT(MAX(M106-20,0))),0.9)*Data!$B$1</f>
        <v>66.866118123314507</v>
      </c>
      <c r="AW106" s="2">
        <f>POWER((J106*J106*K106), 0.33)*LOG10(P106)*10*Data!$B$1</f>
        <v>56.729876046306018</v>
      </c>
      <c r="AX106" s="2"/>
      <c r="AY106" s="2"/>
      <c r="AZ106" s="2">
        <f>IFERROR((SQRT($J106*$AG106)*POWER((MIN($M106,20)+SQRT(MAX($M106-20,0))),0.9)*Data!$B$1)*(1 - (R106-1)),AV106)</f>
        <v>0</v>
      </c>
      <c r="BA106" s="2">
        <f>IFERROR(((POWER(($J106*$J106*$AG106), 0.33)*LOG10($AE106)*10*Data!$B$1)*R106),AW106)</f>
        <v>56.729876046306018</v>
      </c>
      <c r="BB106" s="2">
        <f t="shared" si="22"/>
        <v>24.193548387096776</v>
      </c>
      <c r="BC106" s="2">
        <f t="shared" si="25"/>
        <v>0</v>
      </c>
      <c r="BD106" s="2">
        <f t="shared" si="26"/>
        <v>0</v>
      </c>
      <c r="BE106" s="2">
        <f t="shared" si="27"/>
        <v>0</v>
      </c>
      <c r="BF106" s="2">
        <v>1</v>
      </c>
      <c r="BG106" s="2">
        <f t="shared" si="23"/>
        <v>78</v>
      </c>
      <c r="BH106" s="2">
        <f t="shared" si="28"/>
        <v>0</v>
      </c>
      <c r="BI106" s="2">
        <f t="shared" si="24"/>
        <v>77</v>
      </c>
      <c r="BJ106" s="2">
        <f t="shared" si="29"/>
        <v>-1</v>
      </c>
      <c r="BM106" s="3"/>
      <c r="BN106">
        <f t="shared" si="30"/>
        <v>12</v>
      </c>
      <c r="BO106" s="2" t="str">
        <f>CONCATENATE(
ROUND(BK106*VLOOKUP(I106,'ID Scheme'!$A$2:$E$7,3),0), "x",
ROUND(BL106*VLOOKUP(I106,'ID Scheme'!$A$2:$E$7,5),0), "x",
ROUND(BM106*VLOOKUP(I106,'ID Scheme'!$A$2:$E$7,4),0))</f>
        <v>0x0x0</v>
      </c>
    </row>
    <row r="107" spans="1:68" x14ac:dyDescent="0.25">
      <c r="A107" t="s">
        <v>120</v>
      </c>
      <c r="B107" t="s">
        <v>242</v>
      </c>
      <c r="C107" t="s">
        <v>295</v>
      </c>
      <c r="D107">
        <f>IF(F107 &gt; 2020, ((F107-2020)*4)+1610+H107,IF(F107 &gt; 1900, ((F107-1900)*10)+400+H107, ((F107-1730)*2)+H107))+VLOOKUP(I107,'ID Scheme'!$A$2:$B$7,2, FALSE)</f>
        <v>9341</v>
      </c>
      <c r="F107">
        <v>1934</v>
      </c>
      <c r="G107">
        <v>1</v>
      </c>
      <c r="H107">
        <v>1</v>
      </c>
      <c r="I107" t="s">
        <v>104</v>
      </c>
      <c r="J107">
        <v>35</v>
      </c>
      <c r="K107">
        <v>92</v>
      </c>
      <c r="L107">
        <v>40</v>
      </c>
      <c r="M107">
        <v>55</v>
      </c>
      <c r="N107">
        <v>11</v>
      </c>
      <c r="O107">
        <v>11</v>
      </c>
      <c r="P107">
        <v>114</v>
      </c>
      <c r="Q107">
        <v>20</v>
      </c>
      <c r="R107">
        <v>1</v>
      </c>
      <c r="S107" t="s">
        <v>387</v>
      </c>
      <c r="T107">
        <v>0</v>
      </c>
      <c r="U107" s="2" t="s">
        <v>455</v>
      </c>
      <c r="V107" s="2"/>
      <c r="W107" s="2"/>
      <c r="X107" s="2"/>
      <c r="Y107" s="2"/>
      <c r="Z107" s="2"/>
      <c r="AA107" s="2"/>
      <c r="AB107" s="2"/>
      <c r="AC107" s="2"/>
      <c r="AD107" s="2"/>
      <c r="AQ107" t="s">
        <v>364</v>
      </c>
      <c r="AR107">
        <v>1</v>
      </c>
      <c r="AV107" s="2">
        <f>SQRT(J107*K107)*POWER((MIN(M107,20)+SQRT(MAX(M107-20,0))),0.9)*Data!$B$1</f>
        <v>79.652897151473837</v>
      </c>
      <c r="AW107" s="2">
        <f>POWER((J107*J107*K107), 0.33)*LOG10(P107)*10*Data!$B$1</f>
        <v>71.682040289630535</v>
      </c>
      <c r="AX107" s="2"/>
      <c r="AY107" s="2"/>
      <c r="AZ107" s="2">
        <f>IFERROR((SQRT($J107*$AG107)*POWER((MIN($M107,20)+SQRT(MAX($M107-20,0))),0.9)*Data!$B$1)*(1 - (R107-1)),AV107)</f>
        <v>0</v>
      </c>
      <c r="BA107" s="2">
        <f>IFERROR(((POWER(($J107*$J107*$AG107), 0.33)*LOG10($AE107)*10*Data!$B$1)*R107),AW107)</f>
        <v>71.682040289630535</v>
      </c>
      <c r="BB107" s="2">
        <f t="shared" si="22"/>
        <v>28.225806451612904</v>
      </c>
      <c r="BC107" s="2">
        <f t="shared" si="25"/>
        <v>0</v>
      </c>
      <c r="BD107" s="2">
        <f t="shared" si="26"/>
        <v>0</v>
      </c>
      <c r="BE107" s="2">
        <f t="shared" si="27"/>
        <v>0</v>
      </c>
      <c r="BF107" s="2">
        <v>1</v>
      </c>
      <c r="BG107" s="2">
        <f t="shared" si="23"/>
        <v>92</v>
      </c>
      <c r="BH107" s="2">
        <f t="shared" si="28"/>
        <v>0</v>
      </c>
      <c r="BI107" s="2">
        <f t="shared" si="24"/>
        <v>91</v>
      </c>
      <c r="BJ107" s="2">
        <f t="shared" si="29"/>
        <v>-1</v>
      </c>
      <c r="BM107" s="3"/>
      <c r="BN107">
        <f t="shared" si="30"/>
        <v>11</v>
      </c>
      <c r="BO107" s="2" t="str">
        <f>CONCATENATE(
ROUND(BK107*VLOOKUP(I107,'ID Scheme'!$A$2:$E$7,3),0), "x",
ROUND(BL107*VLOOKUP(I107,'ID Scheme'!$A$2:$E$7,5),0), "x",
ROUND(BM107*VLOOKUP(I107,'ID Scheme'!$A$2:$E$7,4),0))</f>
        <v>0x0x0</v>
      </c>
      <c r="BP107" t="s">
        <v>121</v>
      </c>
    </row>
    <row r="108" spans="1:68" x14ac:dyDescent="0.25">
      <c r="A108" t="s">
        <v>107</v>
      </c>
      <c r="B108" t="s">
        <v>246</v>
      </c>
      <c r="C108" t="s">
        <v>295</v>
      </c>
      <c r="D108">
        <f>IF(F108 &gt; 2020, ((F108-2020)*4)+1610+H108,IF(F108 &gt; 1900, ((F108-1900)*10)+400+H108, ((F108-1730)*2)+H108))+VLOOKUP(I108,'ID Scheme'!$A$2:$B$7,2, FALSE)</f>
        <v>9521</v>
      </c>
      <c r="F108">
        <v>1952</v>
      </c>
      <c r="G108">
        <v>1</v>
      </c>
      <c r="H108">
        <v>1</v>
      </c>
      <c r="I108" t="s">
        <v>104</v>
      </c>
      <c r="J108">
        <v>40</v>
      </c>
      <c r="K108">
        <v>56</v>
      </c>
      <c r="L108">
        <v>20</v>
      </c>
      <c r="M108">
        <v>35</v>
      </c>
      <c r="N108">
        <v>11</v>
      </c>
      <c r="O108">
        <v>12</v>
      </c>
      <c r="P108">
        <v>180</v>
      </c>
      <c r="Q108">
        <v>28</v>
      </c>
      <c r="R108">
        <v>1.1000000000000001</v>
      </c>
      <c r="S108" t="s">
        <v>387</v>
      </c>
      <c r="T108">
        <v>0</v>
      </c>
      <c r="U108" s="2" t="s">
        <v>456</v>
      </c>
      <c r="V108" s="2"/>
      <c r="W108" s="2"/>
      <c r="X108" s="2"/>
      <c r="Y108" s="2"/>
      <c r="Z108" s="2"/>
      <c r="AA108" s="2"/>
      <c r="AB108" s="2"/>
      <c r="AC108" s="2"/>
      <c r="AD108" s="2"/>
      <c r="AQ108" t="s">
        <v>364</v>
      </c>
      <c r="AR108">
        <v>1</v>
      </c>
      <c r="AV108" s="2">
        <f>SQRT(J108*K108)*POWER((MIN(M108,20)+SQRT(MAX(M108-20,0))),0.9)*Data!$B$1</f>
        <v>61.702292205573229</v>
      </c>
      <c r="AW108" s="2">
        <f>POWER((J108*J108*K108), 0.33)*LOG10(P108)*10*Data!$B$1</f>
        <v>72.865497065523002</v>
      </c>
      <c r="AX108" s="2"/>
      <c r="AY108" s="2"/>
      <c r="AZ108" s="2">
        <f>IFERROR((SQRT($J108*$AG108)*POWER((MIN($M108,20)+SQRT(MAX($M108-20,0))),0.9)*Data!$B$1)*(1 - (R108-1)),AV108)</f>
        <v>0</v>
      </c>
      <c r="BA108" s="2">
        <f>IFERROR(((POWER(($J108*$J108*$AG108), 0.33)*LOG10($AE108)*10*Data!$B$1)*R108),AW108)</f>
        <v>72.865497065523002</v>
      </c>
      <c r="BB108" s="2">
        <f t="shared" ref="BB108:BB122" si="31">J108/1.24</f>
        <v>32.258064516129032</v>
      </c>
      <c r="BC108" s="2">
        <f t="shared" si="25"/>
        <v>0</v>
      </c>
      <c r="BD108" s="2">
        <f t="shared" si="26"/>
        <v>0</v>
      </c>
      <c r="BE108" s="2">
        <f t="shared" si="27"/>
        <v>0</v>
      </c>
      <c r="BF108" s="2">
        <v>1</v>
      </c>
      <c r="BG108" s="2">
        <f t="shared" ref="BG108:BG139" si="32">K108/BF108</f>
        <v>56</v>
      </c>
      <c r="BH108" s="2">
        <f t="shared" si="28"/>
        <v>0</v>
      </c>
      <c r="BI108" s="2">
        <f t="shared" ref="BI108:BI122" si="33">(K108-1)/MAX(BF108-1, 1)</f>
        <v>55</v>
      </c>
      <c r="BJ108" s="2">
        <f t="shared" si="29"/>
        <v>-1</v>
      </c>
      <c r="BM108" s="3"/>
      <c r="BN108">
        <f t="shared" si="30"/>
        <v>18</v>
      </c>
      <c r="BO108" s="2" t="str">
        <f>CONCATENATE(
ROUND(BK108*VLOOKUP(I108,'ID Scheme'!$A$2:$E$7,3),0), "x",
ROUND(BL108*VLOOKUP(I108,'ID Scheme'!$A$2:$E$7,5),0), "x",
ROUND(BM108*VLOOKUP(I108,'ID Scheme'!$A$2:$E$7,4),0))</f>
        <v>0x0x0</v>
      </c>
      <c r="BP108" t="s">
        <v>123</v>
      </c>
    </row>
    <row r="109" spans="1:68" x14ac:dyDescent="0.25">
      <c r="A109" t="s">
        <v>132</v>
      </c>
      <c r="B109" t="s">
        <v>256</v>
      </c>
      <c r="C109" t="s">
        <v>336</v>
      </c>
      <c r="D109">
        <f>IF(F109 &gt; 2020, ((F109-2020)*4)+1610+H109,IF(F109 &gt; 1900, ((F109-1900)*10)+400+H109, ((F109-1730)*2)+H109))+VLOOKUP(I109,'ID Scheme'!$A$2:$B$7,2, FALSE)</f>
        <v>9601</v>
      </c>
      <c r="F109">
        <v>1960</v>
      </c>
      <c r="G109">
        <v>1</v>
      </c>
      <c r="H109">
        <v>1</v>
      </c>
      <c r="I109" t="s">
        <v>104</v>
      </c>
      <c r="J109">
        <v>36</v>
      </c>
      <c r="K109">
        <v>122</v>
      </c>
      <c r="L109">
        <v>30</v>
      </c>
      <c r="M109">
        <v>40</v>
      </c>
      <c r="N109">
        <v>12</v>
      </c>
      <c r="O109">
        <v>15</v>
      </c>
      <c r="P109">
        <v>114</v>
      </c>
      <c r="Q109">
        <v>20</v>
      </c>
      <c r="R109">
        <v>1</v>
      </c>
      <c r="S109" t="s">
        <v>387</v>
      </c>
      <c r="T109">
        <v>0</v>
      </c>
      <c r="U109" s="2" t="s">
        <v>457</v>
      </c>
      <c r="V109" s="2"/>
      <c r="W109" s="2"/>
      <c r="X109" s="2"/>
      <c r="Y109" s="2"/>
      <c r="Z109" s="2"/>
      <c r="AA109" s="2"/>
      <c r="AB109" s="2"/>
      <c r="AC109" s="2"/>
      <c r="AD109" s="2"/>
      <c r="AK109" t="s">
        <v>398</v>
      </c>
      <c r="AL109">
        <v>1</v>
      </c>
      <c r="AN109" t="s">
        <v>401</v>
      </c>
      <c r="AO109" t="s">
        <v>398</v>
      </c>
      <c r="AP109" t="s">
        <v>402</v>
      </c>
      <c r="AQ109" t="s">
        <v>364</v>
      </c>
      <c r="AR109">
        <v>1</v>
      </c>
      <c r="AV109" s="2">
        <f>SQRT(J109*K109)*POWER((MIN(M109,20)+SQRT(MAX(M109-20,0))),0.9)*Data!$B$1</f>
        <v>88.348080485686708</v>
      </c>
      <c r="AW109" s="2">
        <f>POWER((J109*J109*K109), 0.33)*LOG10(P109)*10*Data!$B$1</f>
        <v>80.155598368589864</v>
      </c>
      <c r="AX109" s="2"/>
      <c r="AY109" s="2"/>
      <c r="AZ109" s="2">
        <f>IFERROR((SQRT($J109*$AG109)*POWER((MIN($M109,20)+SQRT(MAX($M109-20,0))),0.9)*Data!$B$1)*(1 - (R109-1)),AV109)</f>
        <v>0</v>
      </c>
      <c r="BA109" s="2">
        <f>IFERROR(((POWER(($J109*$J109*$AG109), 0.33)*LOG10($AE109)*10*Data!$B$1)*R109),AW109)</f>
        <v>80.155598368589864</v>
      </c>
      <c r="BB109" s="2">
        <f t="shared" si="31"/>
        <v>29.032258064516128</v>
      </c>
      <c r="BC109" s="2">
        <f t="shared" ref="BC109:BC122" si="34">AF109/1.24</f>
        <v>0</v>
      </c>
      <c r="BD109" s="2">
        <f t="shared" ref="BD109:BD122" si="35">AI109/1.24</f>
        <v>0</v>
      </c>
      <c r="BE109" s="2">
        <f t="shared" ref="BE109:BE122" si="36">AJ109/1.24</f>
        <v>0</v>
      </c>
      <c r="BF109" s="2">
        <v>2</v>
      </c>
      <c r="BG109" s="2">
        <f t="shared" si="32"/>
        <v>61</v>
      </c>
      <c r="BH109" s="2">
        <f t="shared" ref="BH109:BH122" si="37">AG109/BF109</f>
        <v>0</v>
      </c>
      <c r="BI109" s="2">
        <f t="shared" si="33"/>
        <v>121</v>
      </c>
      <c r="BJ109" s="2">
        <f t="shared" si="29"/>
        <v>-1</v>
      </c>
      <c r="BM109" s="3"/>
      <c r="BN109">
        <f t="shared" si="30"/>
        <v>8</v>
      </c>
      <c r="BO109" s="2" t="str">
        <f>CONCATENATE(
ROUND(BK109*VLOOKUP(I109,'ID Scheme'!$A$2:$E$7,3),0), "x",
ROUND(BL109*VLOOKUP(I109,'ID Scheme'!$A$2:$E$7,5),0), "x",
ROUND(BM109*VLOOKUP(I109,'ID Scheme'!$A$2:$E$7,4),0))</f>
        <v>0x0x0</v>
      </c>
      <c r="BP109" t="s">
        <v>122</v>
      </c>
    </row>
    <row r="110" spans="1:68" x14ac:dyDescent="0.25">
      <c r="A110" t="s">
        <v>112</v>
      </c>
      <c r="B110" t="s">
        <v>207</v>
      </c>
      <c r="C110" t="s">
        <v>295</v>
      </c>
      <c r="D110">
        <f>IF(F110 &gt; 2020, ((F110-2020)*4)+1610+H110,IF(F110 &gt; 1900, ((F110-1900)*10)+400+H110, ((F110-1730)*2)+H110))+VLOOKUP(I110,'ID Scheme'!$A$2:$B$7,2, FALSE)</f>
        <v>9791</v>
      </c>
      <c r="F110">
        <v>1979</v>
      </c>
      <c r="G110">
        <v>6</v>
      </c>
      <c r="H110">
        <v>1</v>
      </c>
      <c r="I110" t="s">
        <v>104</v>
      </c>
      <c r="J110">
        <v>40</v>
      </c>
      <c r="K110">
        <v>108</v>
      </c>
      <c r="L110">
        <v>20</v>
      </c>
      <c r="M110">
        <v>35</v>
      </c>
      <c r="N110">
        <v>11</v>
      </c>
      <c r="O110">
        <v>12</v>
      </c>
      <c r="P110">
        <v>114</v>
      </c>
      <c r="Q110">
        <v>20</v>
      </c>
      <c r="R110">
        <v>1</v>
      </c>
      <c r="S110" t="s">
        <v>387</v>
      </c>
      <c r="T110">
        <v>0</v>
      </c>
      <c r="U110" s="2" t="s">
        <v>458</v>
      </c>
      <c r="V110" s="2"/>
      <c r="W110" s="2"/>
      <c r="X110" s="2"/>
      <c r="Y110" s="2"/>
      <c r="Z110" s="2"/>
      <c r="AA110" s="2"/>
      <c r="AB110" s="2"/>
      <c r="AC110" s="2"/>
      <c r="AD110" s="2"/>
      <c r="AQ110" t="s">
        <v>364</v>
      </c>
      <c r="AR110">
        <v>1</v>
      </c>
      <c r="AV110" s="2">
        <f>SQRT(J110*K110)*POWER((MIN(M110,20)+SQRT(MAX(M110-20,0))),0.9)*Data!$B$1</f>
        <v>85.687833488938395</v>
      </c>
      <c r="AW110" s="2">
        <f>POWER((J110*J110*K110), 0.33)*LOG10(P110)*10*Data!$B$1</f>
        <v>82.540082660234276</v>
      </c>
      <c r="AX110" s="2"/>
      <c r="AY110" s="2"/>
      <c r="AZ110" s="2">
        <f>IFERROR((SQRT($J110*$AG110)*POWER((MIN($M110,20)+SQRT(MAX($M110-20,0))),0.9)*Data!$B$1)*(1 - (R110-1)),AV110)</f>
        <v>0</v>
      </c>
      <c r="BA110" s="2">
        <f>IFERROR(((POWER(($J110*$J110*$AG110), 0.33)*LOG10($AE110)*10*Data!$B$1)*R110),AW110)</f>
        <v>82.540082660234276</v>
      </c>
      <c r="BB110" s="2">
        <f t="shared" si="31"/>
        <v>32.258064516129032</v>
      </c>
      <c r="BC110" s="2">
        <f t="shared" si="34"/>
        <v>0</v>
      </c>
      <c r="BD110" s="2">
        <f t="shared" si="35"/>
        <v>0</v>
      </c>
      <c r="BE110" s="2">
        <f t="shared" si="36"/>
        <v>0</v>
      </c>
      <c r="BF110" s="2">
        <v>1</v>
      </c>
      <c r="BG110" s="2">
        <f t="shared" si="32"/>
        <v>108</v>
      </c>
      <c r="BH110" s="2">
        <f t="shared" si="37"/>
        <v>0</v>
      </c>
      <c r="BI110" s="2">
        <f t="shared" si="33"/>
        <v>107</v>
      </c>
      <c r="BJ110" s="2">
        <f t="shared" si="29"/>
        <v>-1</v>
      </c>
      <c r="BM110" s="3"/>
      <c r="BN110">
        <f t="shared" si="30"/>
        <v>19</v>
      </c>
      <c r="BO110" s="2" t="str">
        <f>CONCATENATE(
ROUND(BK110*VLOOKUP(I110,'ID Scheme'!$A$2:$E$7,3),0), "x",
ROUND(BL110*VLOOKUP(I110,'ID Scheme'!$A$2:$E$7,5),0), "x",
ROUND(BM110*VLOOKUP(I110,'ID Scheme'!$A$2:$E$7,4),0))</f>
        <v>0x0x0</v>
      </c>
      <c r="BP110" t="s">
        <v>121</v>
      </c>
    </row>
    <row r="111" spans="1:68" x14ac:dyDescent="0.25">
      <c r="A111" t="s">
        <v>113</v>
      </c>
      <c r="B111" t="s">
        <v>244</v>
      </c>
      <c r="C111" t="s">
        <v>295</v>
      </c>
      <c r="D111">
        <f>IF(F111 &gt; 2020, ((F111-2020)*4)+1610+H111,IF(F111 &gt; 1900, ((F111-1900)*10)+400+H111, ((F111-1730)*2)+H111))+VLOOKUP(I111,'ID Scheme'!$A$2:$B$7,2, FALSE)</f>
        <v>9841</v>
      </c>
      <c r="F111">
        <v>1984</v>
      </c>
      <c r="G111">
        <v>1</v>
      </c>
      <c r="H111">
        <v>1</v>
      </c>
      <c r="I111" t="s">
        <v>104</v>
      </c>
      <c r="J111">
        <v>43</v>
      </c>
      <c r="K111">
        <v>70</v>
      </c>
      <c r="L111">
        <v>30</v>
      </c>
      <c r="M111">
        <v>40</v>
      </c>
      <c r="N111">
        <v>10</v>
      </c>
      <c r="O111">
        <v>8</v>
      </c>
      <c r="P111">
        <v>114</v>
      </c>
      <c r="Q111">
        <v>20</v>
      </c>
      <c r="R111">
        <v>1</v>
      </c>
      <c r="S111" t="s">
        <v>387</v>
      </c>
      <c r="T111">
        <v>0</v>
      </c>
      <c r="U111" s="2" t="s">
        <v>459</v>
      </c>
      <c r="V111" s="2"/>
      <c r="W111" s="2"/>
      <c r="X111" s="2"/>
      <c r="Y111" s="2"/>
      <c r="Z111" s="2"/>
      <c r="AA111" s="2"/>
      <c r="AB111" s="2"/>
      <c r="AC111" s="2"/>
      <c r="AD111" s="2"/>
      <c r="AQ111" t="s">
        <v>364</v>
      </c>
      <c r="AR111">
        <v>1</v>
      </c>
      <c r="AV111" s="2">
        <f>SQRT(J111*K111)*POWER((MIN(M111,20)+SQRT(MAX(M111-20,0))),0.9)*Data!$B$1</f>
        <v>73.139030669847884</v>
      </c>
      <c r="AW111" s="2">
        <f>POWER((J111*J111*K111), 0.33)*LOG10(P111)*10*Data!$B$1</f>
        <v>75.032082395822727</v>
      </c>
      <c r="AX111" s="2"/>
      <c r="AY111" s="2"/>
      <c r="AZ111" s="2">
        <f>IFERROR((SQRT($J111*$AG111)*POWER((MIN($M111,20)+SQRT(MAX($M111-20,0))),0.9)*Data!$B$1)*(1 - (R111-1)),AV111)</f>
        <v>0</v>
      </c>
      <c r="BA111" s="2">
        <f>IFERROR(((POWER(($J111*$J111*$AG111), 0.33)*LOG10($AE111)*10*Data!$B$1)*R111),AW111)</f>
        <v>75.032082395822727</v>
      </c>
      <c r="BB111" s="2">
        <f t="shared" si="31"/>
        <v>34.677419354838712</v>
      </c>
      <c r="BC111" s="2">
        <f t="shared" si="34"/>
        <v>0</v>
      </c>
      <c r="BD111" s="2">
        <f t="shared" si="35"/>
        <v>0</v>
      </c>
      <c r="BE111" s="2">
        <f t="shared" si="36"/>
        <v>0</v>
      </c>
      <c r="BF111" s="2">
        <v>1</v>
      </c>
      <c r="BG111" s="2">
        <f t="shared" si="32"/>
        <v>70</v>
      </c>
      <c r="BH111" s="2">
        <f t="shared" si="37"/>
        <v>0</v>
      </c>
      <c r="BI111" s="2">
        <f t="shared" si="33"/>
        <v>69</v>
      </c>
      <c r="BJ111" s="2">
        <f t="shared" si="29"/>
        <v>-1</v>
      </c>
      <c r="BM111" s="3"/>
      <c r="BN111">
        <f t="shared" si="30"/>
        <v>5</v>
      </c>
      <c r="BO111" s="2" t="str">
        <f>CONCATENATE(
ROUND(BK111*VLOOKUP(I111,'ID Scheme'!$A$2:$E$7,3),0), "x",
ROUND(BL111*VLOOKUP(I111,'ID Scheme'!$A$2:$E$7,5),0), "x",
ROUND(BM111*VLOOKUP(I111,'ID Scheme'!$A$2:$E$7,4),0))</f>
        <v>0x0x0</v>
      </c>
      <c r="BP111" t="s">
        <v>121</v>
      </c>
    </row>
    <row r="112" spans="1:68" x14ac:dyDescent="0.25">
      <c r="A112" t="s">
        <v>114</v>
      </c>
      <c r="B112" t="s">
        <v>248</v>
      </c>
      <c r="C112" t="s">
        <v>336</v>
      </c>
      <c r="D112">
        <f>IF(F112 &gt; 2020, ((F112-2020)*4)+1610+H112,IF(F112 &gt; 1900, ((F112-1900)*10)+400+H112, ((F112-1730)*2)+H112))+VLOOKUP(I112,'ID Scheme'!$A$2:$B$7,2, FALSE)</f>
        <v>9871</v>
      </c>
      <c r="E112">
        <f>D112+1</f>
        <v>9872</v>
      </c>
      <c r="F112">
        <v>1987</v>
      </c>
      <c r="G112">
        <v>1</v>
      </c>
      <c r="H112">
        <v>1</v>
      </c>
      <c r="I112" t="s">
        <v>104</v>
      </c>
      <c r="J112">
        <v>40</v>
      </c>
      <c r="K112">
        <v>188</v>
      </c>
      <c r="L112">
        <v>28</v>
      </c>
      <c r="M112">
        <v>25</v>
      </c>
      <c r="N112">
        <v>14</v>
      </c>
      <c r="O112">
        <v>18</v>
      </c>
      <c r="P112">
        <v>375</v>
      </c>
      <c r="Q112">
        <v>20</v>
      </c>
      <c r="R112">
        <v>1</v>
      </c>
      <c r="S112" t="s">
        <v>387</v>
      </c>
      <c r="T112">
        <v>0</v>
      </c>
      <c r="U112" s="2" t="s">
        <v>463</v>
      </c>
      <c r="V112" s="2"/>
      <c r="W112" s="2"/>
      <c r="X112" s="2"/>
      <c r="Y112" s="2"/>
      <c r="Z112" s="2"/>
      <c r="AA112" s="2"/>
      <c r="AB112" s="2"/>
      <c r="AC112" s="2"/>
      <c r="AD112" s="2"/>
      <c r="AK112" t="s">
        <v>398</v>
      </c>
      <c r="AN112" t="s">
        <v>403</v>
      </c>
      <c r="AO112" t="s">
        <v>404</v>
      </c>
      <c r="AP112" t="s">
        <v>405</v>
      </c>
      <c r="AQ112" t="s">
        <v>364</v>
      </c>
      <c r="AR112">
        <v>1</v>
      </c>
      <c r="AS112">
        <v>1</v>
      </c>
      <c r="AV112" s="2">
        <f>SQRT(J112*K112)*POWER((MIN(M112,20)+SQRT(MAX(M112-20,0))),0.9)*Data!$B$1</f>
        <v>106.05285816833118</v>
      </c>
      <c r="AW112" s="2">
        <f>POWER((J112*J112*K112), 0.33)*LOG10(P112)*10*Data!$B$1</f>
        <v>124.02429472574501</v>
      </c>
      <c r="AX112" s="2">
        <v>59</v>
      </c>
      <c r="AY112" s="2">
        <v>41</v>
      </c>
      <c r="AZ112" s="2">
        <f>IFERROR((SQRT($J112*$AG112)*POWER((MIN($M112,20)+SQRT(MAX($M112-20,0))),0.9)*Data!$B$1)*(1 - (R112-1)),AV112)</f>
        <v>0</v>
      </c>
      <c r="BA112" s="2">
        <f>IFERROR(((POWER(($J112*$J112*$AG112), 0.33)*LOG10($AE112)*10*Data!$B$1)*R112),AW112)</f>
        <v>124.02429472574501</v>
      </c>
      <c r="BB112" s="2">
        <f t="shared" si="31"/>
        <v>32.258064516129032</v>
      </c>
      <c r="BC112" s="2">
        <f t="shared" si="34"/>
        <v>0</v>
      </c>
      <c r="BD112" s="2">
        <f t="shared" si="35"/>
        <v>0</v>
      </c>
      <c r="BE112" s="2">
        <f t="shared" si="36"/>
        <v>0</v>
      </c>
      <c r="BF112" s="2">
        <v>4</v>
      </c>
      <c r="BG112" s="2">
        <f t="shared" si="32"/>
        <v>47</v>
      </c>
      <c r="BH112" s="2">
        <f t="shared" si="37"/>
        <v>0</v>
      </c>
      <c r="BI112" s="2">
        <f t="shared" si="33"/>
        <v>62.333333333333336</v>
      </c>
      <c r="BJ112" s="2">
        <f t="shared" si="29"/>
        <v>-0.33333333333333331</v>
      </c>
      <c r="BK112">
        <v>28</v>
      </c>
      <c r="BL112">
        <v>2.65</v>
      </c>
      <c r="BM112" s="3">
        <v>3.47</v>
      </c>
      <c r="BN112">
        <f t="shared" si="30"/>
        <v>3</v>
      </c>
      <c r="BO112" s="2" t="str">
        <f>CONCATENATE(
ROUND(BK112*VLOOKUP(I112,'ID Scheme'!$A$2:$E$7,3),0), "x",
ROUND(BL112*VLOOKUP(I112,'ID Scheme'!$A$2:$E$7,5),0), "x",
ROUND(BM112*VLOOKUP(I112,'ID Scheme'!$A$2:$E$7,4),0))</f>
        <v>262x38x34</v>
      </c>
      <c r="BP112" t="s">
        <v>128</v>
      </c>
    </row>
    <row r="113" spans="1:68" x14ac:dyDescent="0.25">
      <c r="A113" t="s">
        <v>126</v>
      </c>
      <c r="B113" t="s">
        <v>243</v>
      </c>
      <c r="C113" t="s">
        <v>336</v>
      </c>
      <c r="D113">
        <f>IF(F113 &gt; 2020, ((F113-2020)*4)+1610+H113,IF(F113 &gt; 1900, ((F113-1900)*10)+400+H113, ((F113-1730)*2)+H113))+VLOOKUP(I113,'ID Scheme'!$A$2:$B$7,2, FALSE)</f>
        <v>9981</v>
      </c>
      <c r="F113">
        <v>1998</v>
      </c>
      <c r="G113">
        <v>9</v>
      </c>
      <c r="H113">
        <v>1</v>
      </c>
      <c r="I113" t="s">
        <v>104</v>
      </c>
      <c r="J113">
        <v>50</v>
      </c>
      <c r="K113">
        <v>208</v>
      </c>
      <c r="L113">
        <v>-1</v>
      </c>
      <c r="M113">
        <v>25</v>
      </c>
      <c r="N113">
        <v>14</v>
      </c>
      <c r="O113">
        <v>36</v>
      </c>
      <c r="P113">
        <v>480</v>
      </c>
      <c r="Q113">
        <v>20</v>
      </c>
      <c r="R113">
        <v>1</v>
      </c>
      <c r="S113" t="s">
        <v>387</v>
      </c>
      <c r="T113">
        <v>0</v>
      </c>
      <c r="U113" s="2" t="s">
        <v>460</v>
      </c>
      <c r="V113" s="2"/>
      <c r="W113" s="2"/>
      <c r="X113" s="2"/>
      <c r="Y113" s="2"/>
      <c r="Z113" s="2"/>
      <c r="AA113" s="2"/>
      <c r="AB113" s="2"/>
      <c r="AC113" s="2"/>
      <c r="AD113" s="2"/>
      <c r="AK113" t="s">
        <v>398</v>
      </c>
      <c r="AL113" t="s">
        <v>407</v>
      </c>
      <c r="AN113" s="5">
        <v>104104</v>
      </c>
      <c r="AO113" t="s">
        <v>398</v>
      </c>
      <c r="AP113" t="s">
        <v>402</v>
      </c>
      <c r="AQ113" t="s">
        <v>364</v>
      </c>
      <c r="AR113">
        <v>1</v>
      </c>
      <c r="AV113" s="2">
        <f>SQRT(J113*K113)*POWER((MIN(M113,20)+SQRT(MAX(M113-20,0))),0.9)*Data!$B$1</f>
        <v>124.71828400555908</v>
      </c>
      <c r="AW113" s="2">
        <f>POWER((J113*J113*K113), 0.33)*LOG10(P113)*10*Data!$B$1</f>
        <v>154.76696175306753</v>
      </c>
      <c r="AX113" s="2"/>
      <c r="AY113" s="2"/>
      <c r="AZ113" s="2">
        <f>IFERROR((SQRT($J113*$AG113)*POWER((MIN($M113,20)+SQRT(MAX($M113-20,0))),0.9)*Data!$B$1)*(1 - (R113-1)),AV113)</f>
        <v>0</v>
      </c>
      <c r="BA113" s="2">
        <f>IFERROR(((POWER(($J113*$J113*$AG113), 0.33)*LOG10($AE113)*10*Data!$B$1)*R113),AW113)</f>
        <v>154.76696175306753</v>
      </c>
      <c r="BB113" s="2">
        <f t="shared" si="31"/>
        <v>40.322580645161288</v>
      </c>
      <c r="BC113" s="2">
        <f t="shared" si="34"/>
        <v>0</v>
      </c>
      <c r="BD113" s="2">
        <f t="shared" si="35"/>
        <v>0</v>
      </c>
      <c r="BE113" s="2">
        <f t="shared" si="36"/>
        <v>0</v>
      </c>
      <c r="BF113" s="2">
        <v>2</v>
      </c>
      <c r="BG113" s="2">
        <f t="shared" si="32"/>
        <v>104</v>
      </c>
      <c r="BH113" s="2">
        <f t="shared" si="37"/>
        <v>0</v>
      </c>
      <c r="BI113" s="2">
        <f t="shared" si="33"/>
        <v>207</v>
      </c>
      <c r="BJ113" s="2">
        <f t="shared" si="29"/>
        <v>-1</v>
      </c>
      <c r="BK113">
        <v>30</v>
      </c>
      <c r="BL113">
        <v>2.65</v>
      </c>
      <c r="BM113" s="3">
        <v>3.67</v>
      </c>
      <c r="BN113" t="e">
        <f>F113-#REF!</f>
        <v>#REF!</v>
      </c>
      <c r="BO113" s="2" t="str">
        <f>CONCATENATE(
ROUND(BK113*VLOOKUP(I113,'ID Scheme'!$A$2:$E$7,3),0), "x",
ROUND(BL113*VLOOKUP(I113,'ID Scheme'!$A$2:$E$7,5),0), "x",
ROUND(BM113*VLOOKUP(I113,'ID Scheme'!$A$2:$E$7,4),0))</f>
        <v>280x38x36</v>
      </c>
      <c r="BP113" t="s">
        <v>127</v>
      </c>
    </row>
    <row r="114" spans="1:68" x14ac:dyDescent="0.25">
      <c r="A114" t="s">
        <v>115</v>
      </c>
      <c r="B114" t="s">
        <v>247</v>
      </c>
      <c r="C114" t="s">
        <v>336</v>
      </c>
      <c r="D114">
        <f>IF(F114 &gt; 2020, ((F114-2020)*4)+1610+H114,IF(F114 &gt; 1900, ((F114-1900)*10)+400+H114, ((F114-1730)*2)+H114))+VLOOKUP(I114,'ID Scheme'!$A$2:$B$7,2, FALSE)</f>
        <v>10082</v>
      </c>
      <c r="E114">
        <f>D114+1</f>
        <v>10083</v>
      </c>
      <c r="F114">
        <v>2008</v>
      </c>
      <c r="G114">
        <v>1</v>
      </c>
      <c r="H114">
        <v>2</v>
      </c>
      <c r="I114" t="s">
        <v>104</v>
      </c>
      <c r="J114">
        <v>62</v>
      </c>
      <c r="K114">
        <v>284</v>
      </c>
      <c r="L114">
        <v>-1</v>
      </c>
      <c r="M114">
        <v>25</v>
      </c>
      <c r="N114">
        <v>14</v>
      </c>
      <c r="O114">
        <v>36</v>
      </c>
      <c r="P114">
        <v>375</v>
      </c>
      <c r="Q114">
        <v>20</v>
      </c>
      <c r="R114">
        <v>1</v>
      </c>
      <c r="S114" t="s">
        <v>387</v>
      </c>
      <c r="T114">
        <v>0</v>
      </c>
      <c r="U114" s="2" t="s">
        <v>465</v>
      </c>
      <c r="V114" s="2"/>
      <c r="W114" s="2"/>
      <c r="X114" s="2"/>
      <c r="Y114" s="2"/>
      <c r="Z114" s="2"/>
      <c r="AA114" s="2"/>
      <c r="AB114" s="2"/>
      <c r="AC114" s="2"/>
      <c r="AD114" s="2"/>
      <c r="AK114" t="s">
        <v>398</v>
      </c>
      <c r="AL114" t="s">
        <v>430</v>
      </c>
      <c r="AN114" t="s">
        <v>409</v>
      </c>
      <c r="AO114" t="s">
        <v>410</v>
      </c>
      <c r="AP114" t="s">
        <v>411</v>
      </c>
      <c r="AQ114" t="s">
        <v>364</v>
      </c>
      <c r="AR114">
        <v>1</v>
      </c>
      <c r="AS114">
        <v>1</v>
      </c>
      <c r="AV114" s="2">
        <f>SQRT(J114*K114)*POWER((MIN(M114,20)+SQRT(MAX(M114-20,0))),0.9)*Data!$B$1</f>
        <v>162.28129769016738</v>
      </c>
      <c r="AW114" s="2">
        <f>POWER((J114*J114*K114), 0.33)*LOG10(P114)*10*Data!$B$1</f>
        <v>189.77921627665754</v>
      </c>
      <c r="AX114" s="2">
        <v>91</v>
      </c>
      <c r="AY114" s="2">
        <v>64</v>
      </c>
      <c r="AZ114" s="2">
        <f>IFERROR((SQRT($J114*$AG114)*POWER((MIN($M114,20)+SQRT(MAX($M114-20,0))),0.9)*Data!$B$1)*(1 - (R114-1)),AV114)</f>
        <v>0</v>
      </c>
      <c r="BA114" s="2">
        <f>IFERROR(((POWER(($J114*$J114*$AG114), 0.33)*LOG10($AE114)*10*Data!$B$1)*R114),AW114)</f>
        <v>189.77921627665754</v>
      </c>
      <c r="BB114" s="2">
        <f t="shared" si="31"/>
        <v>50</v>
      </c>
      <c r="BC114" s="2">
        <f t="shared" si="34"/>
        <v>0</v>
      </c>
      <c r="BD114" s="2">
        <f t="shared" si="35"/>
        <v>0</v>
      </c>
      <c r="BE114" s="2">
        <f t="shared" si="36"/>
        <v>0</v>
      </c>
      <c r="BF114" s="2">
        <v>6</v>
      </c>
      <c r="BG114" s="2">
        <f t="shared" si="32"/>
        <v>47.333333333333336</v>
      </c>
      <c r="BH114" s="2">
        <f t="shared" si="37"/>
        <v>0</v>
      </c>
      <c r="BI114" s="2">
        <f t="shared" si="33"/>
        <v>56.6</v>
      </c>
      <c r="BJ114" s="2">
        <f t="shared" si="29"/>
        <v>-0.2</v>
      </c>
      <c r="BK114">
        <v>32</v>
      </c>
      <c r="BL114">
        <v>2.65</v>
      </c>
      <c r="BM114" s="3">
        <v>3.42</v>
      </c>
      <c r="BN114">
        <f>F114-F113</f>
        <v>10</v>
      </c>
      <c r="BO114" s="2" t="str">
        <f>CONCATENATE(
ROUND(BK114*VLOOKUP(I114,'ID Scheme'!$A$2:$E$7,3),0), "x",
ROUND(BL114*VLOOKUP(I114,'ID Scheme'!$A$2:$E$7,5),0), "x",
ROUND(BM114*VLOOKUP(I114,'ID Scheme'!$A$2:$E$7,4),0))</f>
        <v>299x38x33</v>
      </c>
      <c r="BP114" t="s">
        <v>129</v>
      </c>
    </row>
    <row r="115" spans="1:68" x14ac:dyDescent="0.25">
      <c r="A115" t="s">
        <v>135</v>
      </c>
      <c r="B115" t="s">
        <v>250</v>
      </c>
      <c r="C115" t="s">
        <v>336</v>
      </c>
      <c r="D115">
        <f>IF(F115 &gt; 2020, ((F115-2020)*4)+1610+H115,IF(F115 &gt; 1900, ((F115-1900)*10)+400+H115, ((F115-1730)*2)+H115))+VLOOKUP(I115,'ID Scheme'!$A$2:$B$7,2, FALSE)</f>
        <v>10101</v>
      </c>
      <c r="F115">
        <v>2010</v>
      </c>
      <c r="G115">
        <v>11</v>
      </c>
      <c r="H115">
        <v>1</v>
      </c>
      <c r="I115" t="s">
        <v>104</v>
      </c>
      <c r="J115">
        <v>44</v>
      </c>
      <c r="K115">
        <v>225</v>
      </c>
      <c r="L115">
        <v>-1</v>
      </c>
      <c r="M115">
        <v>25</v>
      </c>
      <c r="N115">
        <v>14</v>
      </c>
      <c r="O115">
        <v>41</v>
      </c>
      <c r="P115">
        <v>640</v>
      </c>
      <c r="Q115">
        <v>20</v>
      </c>
      <c r="R115">
        <v>1</v>
      </c>
      <c r="S115" t="s">
        <v>387</v>
      </c>
      <c r="T115">
        <v>0</v>
      </c>
      <c r="U115" s="2" t="s">
        <v>461</v>
      </c>
      <c r="V115" s="2"/>
      <c r="W115" s="2"/>
      <c r="X115" s="2"/>
      <c r="Y115" s="2"/>
      <c r="Z115" s="2"/>
      <c r="AA115" s="2"/>
      <c r="AB115" s="2"/>
      <c r="AC115" s="2"/>
      <c r="AD115" s="2"/>
      <c r="AK115" t="s">
        <v>412</v>
      </c>
      <c r="AL115" t="s">
        <v>431</v>
      </c>
      <c r="AN115" t="s">
        <v>413</v>
      </c>
      <c r="AO115" t="s">
        <v>414</v>
      </c>
      <c r="AP115" t="s">
        <v>415</v>
      </c>
      <c r="AQ115" t="s">
        <v>364</v>
      </c>
      <c r="AR115">
        <v>1</v>
      </c>
      <c r="AV115" s="2">
        <f>SQRT(J115*K115)*POWER((MIN(M115,20)+SQRT(MAX(M115-20,0))),0.9)*Data!$B$1</f>
        <v>121.68332110930714</v>
      </c>
      <c r="AW115" s="2">
        <f>POWER((J115*J115*K115), 0.33)*LOG10(P115)*10*Data!$B$1</f>
        <v>152.78326328641526</v>
      </c>
      <c r="AX115" s="2"/>
      <c r="AY115" s="2"/>
      <c r="AZ115" s="2">
        <f>IFERROR((SQRT($J115*$AG115)*POWER((MIN($M115,20)+SQRT(MAX($M115-20,0))),0.9)*Data!$B$1)*(1 - (R115-1)),AV115)</f>
        <v>0</v>
      </c>
      <c r="BA115" s="2">
        <f>IFERROR(((POWER(($J115*$J115*$AG115), 0.33)*LOG10($AE115)*10*Data!$B$1)*R115),AW115)</f>
        <v>152.78326328641526</v>
      </c>
      <c r="BB115" s="2">
        <f t="shared" si="31"/>
        <v>35.483870967741936</v>
      </c>
      <c r="BC115" s="2">
        <f t="shared" si="34"/>
        <v>0</v>
      </c>
      <c r="BD115" s="2">
        <f t="shared" si="35"/>
        <v>0</v>
      </c>
      <c r="BE115" s="2">
        <f t="shared" si="36"/>
        <v>0</v>
      </c>
      <c r="BF115" s="2">
        <v>5</v>
      </c>
      <c r="BG115" s="2">
        <f t="shared" si="32"/>
        <v>45</v>
      </c>
      <c r="BH115" s="2">
        <f t="shared" si="37"/>
        <v>0</v>
      </c>
      <c r="BI115" s="2">
        <f t="shared" si="33"/>
        <v>56</v>
      </c>
      <c r="BJ115" s="2">
        <f t="shared" si="29"/>
        <v>-0.25</v>
      </c>
      <c r="BM115" s="3"/>
      <c r="BN115" t="e">
        <f>F115-#REF!</f>
        <v>#REF!</v>
      </c>
      <c r="BO115" s="2" t="str">
        <f>CONCATENATE(
ROUND(BK115*VLOOKUP(I115,'ID Scheme'!$A$2:$E$7,3),0), "x",
ROUND(BL115*VLOOKUP(I115,'ID Scheme'!$A$2:$E$7,5),0), "x",
ROUND(BM115*VLOOKUP(I115,'ID Scheme'!$A$2:$E$7,4),0))</f>
        <v>0x0x0</v>
      </c>
      <c r="BP115" t="s">
        <v>136</v>
      </c>
    </row>
    <row r="116" spans="1:68" x14ac:dyDescent="0.25">
      <c r="A116" t="s">
        <v>133</v>
      </c>
      <c r="B116" t="s">
        <v>258</v>
      </c>
      <c r="C116" t="s">
        <v>336</v>
      </c>
      <c r="D116">
        <f>IF(F116 &gt; 2020, ((F116-2020)*4)+1610+H116,IF(F116 &gt; 1900, ((F116-1900)*10)+400+H116, ((F116-1730)*2)+H116))+VLOOKUP(I116,'ID Scheme'!$A$2:$B$7,2, FALSE)</f>
        <v>10171</v>
      </c>
      <c r="E116">
        <f>D116+1</f>
        <v>10172</v>
      </c>
      <c r="F116">
        <v>2017</v>
      </c>
      <c r="G116">
        <v>1</v>
      </c>
      <c r="H116">
        <v>1</v>
      </c>
      <c r="I116" t="s">
        <v>104</v>
      </c>
      <c r="J116">
        <v>62</v>
      </c>
      <c r="K116">
        <v>238</v>
      </c>
      <c r="L116">
        <v>-1</v>
      </c>
      <c r="M116">
        <v>30</v>
      </c>
      <c r="N116">
        <v>12</v>
      </c>
      <c r="O116">
        <v>63</v>
      </c>
      <c r="P116">
        <v>1180</v>
      </c>
      <c r="Q116">
        <v>20</v>
      </c>
      <c r="R116">
        <v>1</v>
      </c>
      <c r="S116" t="s">
        <v>387</v>
      </c>
      <c r="T116">
        <v>0</v>
      </c>
      <c r="U116" s="2" t="s">
        <v>464</v>
      </c>
      <c r="V116" s="2"/>
      <c r="W116" s="2"/>
      <c r="X116" s="2"/>
      <c r="Y116" s="2"/>
      <c r="Z116" s="2"/>
      <c r="AA116" s="2"/>
      <c r="AB116" s="2"/>
      <c r="AC116" s="2"/>
      <c r="AD116" s="2"/>
      <c r="AK116" t="s">
        <v>416</v>
      </c>
      <c r="AL116" t="s">
        <v>432</v>
      </c>
      <c r="AN116" t="s">
        <v>417</v>
      </c>
      <c r="AO116" t="s">
        <v>416</v>
      </c>
      <c r="AP116" t="s">
        <v>418</v>
      </c>
      <c r="AQ116" t="s">
        <v>364</v>
      </c>
      <c r="AR116">
        <v>1</v>
      </c>
      <c r="AT116">
        <v>1</v>
      </c>
      <c r="AV116" s="2">
        <f>SQRT(J116*K116)*POWER((MIN(M116,20)+SQRT(MAX(M116-20,0))),0.9)*Data!$B$1</f>
        <v>154.11635315507084</v>
      </c>
      <c r="AW116" s="2">
        <f>POWER((J116*J116*K116), 0.33)*LOG10(P116)*10*Data!$B$1</f>
        <v>213.65580865997862</v>
      </c>
      <c r="AX116" s="2">
        <v>86</v>
      </c>
      <c r="AY116" s="2">
        <v>72</v>
      </c>
      <c r="AZ116" s="2">
        <f>IFERROR((SQRT($J116*$AG116)*POWER((MIN($M116,20)+SQRT(MAX($M116-20,0))),0.9)*Data!$B$1)*(1 - (R116-1)),AV116)</f>
        <v>0</v>
      </c>
      <c r="BA116" s="2">
        <f>IFERROR(((POWER(($J116*$J116*$AG116), 0.33)*LOG10($AE116)*10*Data!$B$1)*R116),AW116)</f>
        <v>213.65580865997862</v>
      </c>
      <c r="BB116" s="2">
        <f t="shared" si="31"/>
        <v>50</v>
      </c>
      <c r="BC116" s="2">
        <f t="shared" si="34"/>
        <v>0</v>
      </c>
      <c r="BD116" s="2">
        <f t="shared" si="35"/>
        <v>0</v>
      </c>
      <c r="BE116" s="2">
        <f t="shared" si="36"/>
        <v>0</v>
      </c>
      <c r="BF116" s="2">
        <v>3</v>
      </c>
      <c r="BG116" s="2">
        <f t="shared" si="32"/>
        <v>79.333333333333329</v>
      </c>
      <c r="BH116" s="2">
        <f t="shared" si="37"/>
        <v>0</v>
      </c>
      <c r="BI116" s="2">
        <f t="shared" si="33"/>
        <v>118.5</v>
      </c>
      <c r="BJ116" s="2">
        <f t="shared" si="29"/>
        <v>-0.5</v>
      </c>
      <c r="BK116">
        <v>37.200000000000003</v>
      </c>
      <c r="BL116">
        <v>2.65</v>
      </c>
      <c r="BM116" s="3">
        <v>3.6</v>
      </c>
      <c r="BN116">
        <f>F116-F115</f>
        <v>7</v>
      </c>
      <c r="BO116" s="2" t="str">
        <f>CONCATENATE(
ROUND(BK116*VLOOKUP(I116,'ID Scheme'!$A$2:$E$7,3),0), "x",
ROUND(BL116*VLOOKUP(I116,'ID Scheme'!$A$2:$E$7,5),0), "x",
ROUND(BM116*VLOOKUP(I116,'ID Scheme'!$A$2:$E$7,4),0))</f>
        <v>347x38x35</v>
      </c>
      <c r="BP116" t="s">
        <v>134</v>
      </c>
    </row>
    <row r="117" spans="1:68" x14ac:dyDescent="0.25">
      <c r="A117" t="s">
        <v>138</v>
      </c>
      <c r="B117" t="s">
        <v>205</v>
      </c>
      <c r="C117" t="s">
        <v>369</v>
      </c>
      <c r="D117">
        <f>IF(F117 &gt; 2020, ((F117-2020)*4)+1610+H117,IF(F117 &gt; 1900, ((F117-1900)*10)+400+H117, ((F117-1730)*2)+H117))+VLOOKUP(I117,'ID Scheme'!$A$2:$B$7,2, FALSE)</f>
        <v>10721</v>
      </c>
      <c r="F117">
        <v>1790</v>
      </c>
      <c r="G117">
        <v>1</v>
      </c>
      <c r="H117">
        <v>1</v>
      </c>
      <c r="I117" t="s">
        <v>137</v>
      </c>
      <c r="J117">
        <v>18</v>
      </c>
      <c r="K117">
        <v>24</v>
      </c>
      <c r="L117">
        <v>110</v>
      </c>
      <c r="M117">
        <v>12</v>
      </c>
      <c r="N117">
        <v>5</v>
      </c>
      <c r="O117">
        <v>2</v>
      </c>
      <c r="P117">
        <v>15</v>
      </c>
      <c r="Q117">
        <v>20</v>
      </c>
      <c r="R117">
        <v>1</v>
      </c>
      <c r="S117" t="s">
        <v>297</v>
      </c>
      <c r="T117">
        <v>0</v>
      </c>
      <c r="U117" s="2" t="s">
        <v>471</v>
      </c>
      <c r="V117" s="2" t="s">
        <v>343</v>
      </c>
      <c r="W117" s="2"/>
      <c r="X117" s="2" t="s">
        <v>343</v>
      </c>
      <c r="Y117" s="2" t="s">
        <v>343</v>
      </c>
      <c r="Z117" s="2"/>
      <c r="AA117" s="2"/>
      <c r="AB117" s="2"/>
      <c r="AC117" s="2" t="s">
        <v>419</v>
      </c>
      <c r="AD117" s="2"/>
      <c r="AO117" t="s">
        <v>441</v>
      </c>
      <c r="AP117" t="s">
        <v>442</v>
      </c>
      <c r="AQ117" t="s">
        <v>365</v>
      </c>
      <c r="AR117">
        <v>1</v>
      </c>
      <c r="AU117" t="s">
        <v>392</v>
      </c>
      <c r="AV117" s="2">
        <f>SQRT(J117*K117)*POWER((MIN(M117,20)+SQRT(MAX(M117-20,0))),0.9)*Data!$B$1</f>
        <v>14.590368416022624</v>
      </c>
      <c r="AW117" s="2">
        <f>POWER((J117*J117*K117), 0.33)*LOG10(P117)*10*Data!$B$1</f>
        <v>16.961015410572251</v>
      </c>
      <c r="AX117" s="2"/>
      <c r="AY117" s="2"/>
      <c r="AZ117" s="2">
        <f>IFERROR((SQRT($J117*$AG117)*POWER((MIN($M117,20)+SQRT(MAX($M117-20,0))),0.9)*Data!$B$1)*(1 - (R117-1)),AV117)</f>
        <v>0</v>
      </c>
      <c r="BA117" s="2">
        <f>IFERROR(((POWER(($J117*$J117*$AG117), 0.33)*LOG10($AE117)*10*Data!$B$1)*R117),AW117)</f>
        <v>16.961015410572251</v>
      </c>
      <c r="BB117" s="2">
        <f t="shared" si="31"/>
        <v>14.516129032258064</v>
      </c>
      <c r="BC117" s="2">
        <f t="shared" si="34"/>
        <v>0</v>
      </c>
      <c r="BD117" s="2">
        <f t="shared" si="35"/>
        <v>0</v>
      </c>
      <c r="BE117" s="2">
        <f t="shared" si="36"/>
        <v>0</v>
      </c>
      <c r="BF117" s="2">
        <v>3</v>
      </c>
      <c r="BG117" s="2">
        <f t="shared" si="32"/>
        <v>8</v>
      </c>
      <c r="BH117" s="2">
        <f t="shared" si="37"/>
        <v>0</v>
      </c>
      <c r="BI117" s="2">
        <f t="shared" si="33"/>
        <v>11.5</v>
      </c>
      <c r="BJ117" s="2">
        <f t="shared" si="29"/>
        <v>-0.5</v>
      </c>
      <c r="BM117" s="3"/>
      <c r="BN117" t="e">
        <f>F117-#REF!</f>
        <v>#REF!</v>
      </c>
      <c r="BO117" s="2" t="str">
        <f>CONCATENATE(
ROUND(BK117*VLOOKUP(I117,'ID Scheme'!$A$2:$E$7,3),0), "x",
ROUND(BL117*VLOOKUP(I117,'ID Scheme'!$A$2:$E$7,5),0), "x",
ROUND(BM117*VLOOKUP(I117,'ID Scheme'!$A$2:$E$7,4),0))</f>
        <v>0x0x0</v>
      </c>
    </row>
    <row r="118" spans="1:68" x14ac:dyDescent="0.25">
      <c r="A118" t="s">
        <v>140</v>
      </c>
      <c r="B118" t="s">
        <v>241</v>
      </c>
      <c r="C118" t="s">
        <v>369</v>
      </c>
      <c r="D118">
        <f>IF(F118 &gt; 2020, ((F118-2020)*4)+1610+H118,IF(F118 &gt; 1900, ((F118-1900)*10)+400+H118, ((F118-1730)*2)+H118))+VLOOKUP(I118,'ID Scheme'!$A$2:$B$7,2, FALSE)</f>
        <v>10907</v>
      </c>
      <c r="F118">
        <v>1883</v>
      </c>
      <c r="G118">
        <v>1</v>
      </c>
      <c r="H118">
        <v>1</v>
      </c>
      <c r="I118" t="s">
        <v>137</v>
      </c>
      <c r="J118">
        <v>22</v>
      </c>
      <c r="K118">
        <v>32</v>
      </c>
      <c r="L118">
        <v>30</v>
      </c>
      <c r="M118">
        <v>30</v>
      </c>
      <c r="N118">
        <v>5</v>
      </c>
      <c r="O118">
        <v>19</v>
      </c>
      <c r="P118">
        <v>50</v>
      </c>
      <c r="Q118">
        <v>20</v>
      </c>
      <c r="R118">
        <v>1</v>
      </c>
      <c r="S118" t="s">
        <v>298</v>
      </c>
      <c r="T118">
        <v>-1</v>
      </c>
      <c r="U118" s="2" t="s">
        <v>466</v>
      </c>
      <c r="V118" s="2" t="s">
        <v>343</v>
      </c>
      <c r="W118" s="2"/>
      <c r="X118" s="2" t="s">
        <v>343</v>
      </c>
      <c r="Y118" s="2" t="s">
        <v>343</v>
      </c>
      <c r="Z118" s="2"/>
      <c r="AA118" s="2"/>
      <c r="AB118" s="2"/>
      <c r="AC118" s="2" t="s">
        <v>419</v>
      </c>
      <c r="AD118" s="2"/>
      <c r="AL118">
        <v>1</v>
      </c>
      <c r="AO118" t="s">
        <v>426</v>
      </c>
      <c r="AP118" t="s">
        <v>434</v>
      </c>
      <c r="AQ118" t="s">
        <v>365</v>
      </c>
      <c r="AR118">
        <v>1</v>
      </c>
      <c r="AV118" s="2">
        <f>SQRT(J118*K118)*POWER((MIN(M118,20)+SQRT(MAX(M118-20,0))),0.9)*Data!$B$1</f>
        <v>33.662838231996645</v>
      </c>
      <c r="AW118" s="2">
        <f>POWER((J118*J118*K118), 0.33)*LOG10(P118)*10*Data!$B$1</f>
        <v>30.757103703758702</v>
      </c>
      <c r="AX118" s="2"/>
      <c r="AY118" s="2"/>
      <c r="AZ118" s="2">
        <f>IFERROR((SQRT($J118*$AG118)*POWER((MIN($M118,20)+SQRT(MAX($M118-20,0))),0.9)*Data!$B$1)*(1 - (R118-1)),AV118)</f>
        <v>0</v>
      </c>
      <c r="BA118" s="2">
        <f>IFERROR(((POWER(($J118*$J118*$AG118), 0.33)*LOG10($AE118)*10*Data!$B$1)*R118),AW118)</f>
        <v>30.757103703758702</v>
      </c>
      <c r="BB118" s="2">
        <f t="shared" si="31"/>
        <v>17.741935483870968</v>
      </c>
      <c r="BC118" s="2">
        <f t="shared" si="34"/>
        <v>0</v>
      </c>
      <c r="BD118" s="2">
        <f t="shared" si="35"/>
        <v>0</v>
      </c>
      <c r="BE118" s="2">
        <f t="shared" si="36"/>
        <v>0</v>
      </c>
      <c r="BF118" s="2">
        <v>4</v>
      </c>
      <c r="BG118" s="2">
        <f t="shared" si="32"/>
        <v>8</v>
      </c>
      <c r="BH118" s="2">
        <f t="shared" si="37"/>
        <v>0</v>
      </c>
      <c r="BI118" s="2">
        <f t="shared" si="33"/>
        <v>10.333333333333334</v>
      </c>
      <c r="BJ118" s="2">
        <f t="shared" si="29"/>
        <v>-0.33333333333333331</v>
      </c>
      <c r="BK118">
        <v>6</v>
      </c>
      <c r="BM118" s="3"/>
      <c r="BN118">
        <f>F118-F117</f>
        <v>93</v>
      </c>
      <c r="BO118" s="2" t="str">
        <f>CONCATENATE(
ROUND(BK118*VLOOKUP(I118,'ID Scheme'!$A$2:$E$7,3),0), "x",
ROUND(BL118*VLOOKUP(I118,'ID Scheme'!$A$2:$E$7,5),0), "x",
ROUND(BM118*VLOOKUP(I118,'ID Scheme'!$A$2:$E$7,4),0))</f>
        <v>56x0x0</v>
      </c>
    </row>
    <row r="119" spans="1:68" x14ac:dyDescent="0.25">
      <c r="A119" t="s">
        <v>139</v>
      </c>
      <c r="B119" t="s">
        <v>239</v>
      </c>
      <c r="C119" t="s">
        <v>369</v>
      </c>
      <c r="D119">
        <f>IF(F119 &gt; 2020, ((F119-2020)*4)+1610+H119,IF(F119 &gt; 1900, ((F119-1900)*10)+400+H119, ((F119-1730)*2)+H119))+VLOOKUP(I119,'ID Scheme'!$A$2:$B$7,2, FALSE)</f>
        <v>11031</v>
      </c>
      <c r="F119">
        <v>1903</v>
      </c>
      <c r="G119">
        <v>1</v>
      </c>
      <c r="H119">
        <v>1</v>
      </c>
      <c r="I119" t="s">
        <v>137</v>
      </c>
      <c r="J119">
        <v>22</v>
      </c>
      <c r="K119">
        <v>60</v>
      </c>
      <c r="L119">
        <v>30</v>
      </c>
      <c r="M119">
        <v>30</v>
      </c>
      <c r="N119">
        <v>5</v>
      </c>
      <c r="O119">
        <v>24</v>
      </c>
      <c r="P119">
        <v>60</v>
      </c>
      <c r="Q119">
        <v>20</v>
      </c>
      <c r="R119">
        <v>1</v>
      </c>
      <c r="S119" t="s">
        <v>298</v>
      </c>
      <c r="T119">
        <v>-1</v>
      </c>
      <c r="U119" s="2" t="s">
        <v>467</v>
      </c>
      <c r="V119" s="2" t="s">
        <v>343</v>
      </c>
      <c r="W119" s="2"/>
      <c r="X119" s="2" t="s">
        <v>343</v>
      </c>
      <c r="Y119" s="2" t="s">
        <v>343</v>
      </c>
      <c r="Z119" s="2"/>
      <c r="AA119" s="2"/>
      <c r="AB119" s="2"/>
      <c r="AC119" s="2" t="s">
        <v>419</v>
      </c>
      <c r="AD119" s="2"/>
      <c r="AL119">
        <v>1</v>
      </c>
      <c r="AO119" t="s">
        <v>425</v>
      </c>
      <c r="AP119" t="s">
        <v>435</v>
      </c>
      <c r="AQ119" t="s">
        <v>365</v>
      </c>
      <c r="AR119">
        <v>1</v>
      </c>
      <c r="AV119" s="2">
        <f>SQRT(J119*K119)*POWER((MIN(M119,20)+SQRT(MAX(M119-20,0))),0.9)*Data!$B$1</f>
        <v>46.094739623279715</v>
      </c>
      <c r="AW119" s="2">
        <f>POWER((J119*J119*K119), 0.33)*LOG10(P119)*10*Data!$B$1</f>
        <v>39.61127712007552</v>
      </c>
      <c r="AX119" s="2"/>
      <c r="AY119" s="2"/>
      <c r="AZ119" s="2">
        <f>IFERROR((SQRT($J119*$AG119)*POWER((MIN($M119,20)+SQRT(MAX($M119-20,0))),0.9)*Data!$B$1)*(1 - (R119-1)),AV119)</f>
        <v>0</v>
      </c>
      <c r="BA119" s="2">
        <f>IFERROR(((POWER(($J119*$J119*$AG119), 0.33)*LOG10($AE119)*10*Data!$B$1)*R119),AW119)</f>
        <v>39.61127712007552</v>
      </c>
      <c r="BB119" s="2">
        <f t="shared" si="31"/>
        <v>17.741935483870968</v>
      </c>
      <c r="BC119" s="2">
        <f t="shared" si="34"/>
        <v>0</v>
      </c>
      <c r="BD119" s="2">
        <f t="shared" si="35"/>
        <v>0</v>
      </c>
      <c r="BE119" s="2">
        <f t="shared" si="36"/>
        <v>0</v>
      </c>
      <c r="BF119" s="2">
        <v>6</v>
      </c>
      <c r="BG119" s="2">
        <f t="shared" si="32"/>
        <v>10</v>
      </c>
      <c r="BH119" s="2">
        <f t="shared" si="37"/>
        <v>0</v>
      </c>
      <c r="BI119" s="2">
        <f t="shared" si="33"/>
        <v>11.8</v>
      </c>
      <c r="BJ119" s="2">
        <f t="shared" si="29"/>
        <v>-0.2</v>
      </c>
      <c r="BK119">
        <v>6</v>
      </c>
      <c r="BM119" s="3"/>
      <c r="BN119">
        <f>F119-F118</f>
        <v>20</v>
      </c>
      <c r="BO119" s="2" t="str">
        <f>CONCATENATE(
ROUND(BK119*VLOOKUP(I119,'ID Scheme'!$A$2:$E$7,3),0), "x",
ROUND(BL119*VLOOKUP(I119,'ID Scheme'!$A$2:$E$7,5),0), "x",
ROUND(BM119*VLOOKUP(I119,'ID Scheme'!$A$2:$E$7,4),0))</f>
        <v>56x0x0</v>
      </c>
    </row>
    <row r="120" spans="1:68" x14ac:dyDescent="0.25">
      <c r="A120" t="s">
        <v>141</v>
      </c>
      <c r="B120" t="s">
        <v>240</v>
      </c>
      <c r="C120" t="s">
        <v>369</v>
      </c>
      <c r="D120">
        <f>IF(F120 &gt; 2020, ((F120-2020)*4)+1610+H120,IF(F120 &gt; 1900, ((F120-1900)*10)+400+H120, ((F120-1730)*2)+H120))+VLOOKUP(I120,'ID Scheme'!$A$2:$B$7,2, FALSE)</f>
        <v>11301</v>
      </c>
      <c r="F120">
        <v>1930</v>
      </c>
      <c r="G120">
        <v>9</v>
      </c>
      <c r="H120">
        <v>1</v>
      </c>
      <c r="I120" t="s">
        <v>137</v>
      </c>
      <c r="J120">
        <v>24</v>
      </c>
      <c r="K120">
        <v>60</v>
      </c>
      <c r="L120">
        <v>32</v>
      </c>
      <c r="M120">
        <v>26</v>
      </c>
      <c r="N120">
        <v>5</v>
      </c>
      <c r="O120">
        <v>24</v>
      </c>
      <c r="P120">
        <v>200</v>
      </c>
      <c r="Q120">
        <v>20</v>
      </c>
      <c r="R120">
        <v>1</v>
      </c>
      <c r="S120" t="s">
        <v>298</v>
      </c>
      <c r="T120">
        <v>0</v>
      </c>
      <c r="U120" s="2" t="s">
        <v>468</v>
      </c>
      <c r="V120" s="2" t="s">
        <v>343</v>
      </c>
      <c r="W120" s="2"/>
      <c r="X120" s="2" t="s">
        <v>343</v>
      </c>
      <c r="Y120" s="2" t="s">
        <v>343</v>
      </c>
      <c r="Z120" s="2"/>
      <c r="AA120" s="2"/>
      <c r="AB120" s="2"/>
      <c r="AC120" s="2" t="s">
        <v>419</v>
      </c>
      <c r="AD120" s="2"/>
      <c r="AL120">
        <v>1</v>
      </c>
      <c r="AO120" t="s">
        <v>425</v>
      </c>
      <c r="AP120" t="s">
        <v>436</v>
      </c>
      <c r="AQ120" t="s">
        <v>365</v>
      </c>
      <c r="AR120">
        <v>1</v>
      </c>
      <c r="AV120" s="2">
        <f>SQRT(J120*K120)*POWER((MIN(M120,20)+SQRT(MAX(M120-20,0))),0.9)*Data!$B$1</f>
        <v>46.808889320396581</v>
      </c>
      <c r="AW120" s="2">
        <f>POWER((J120*J120*K120), 0.33)*LOG10(P120)*10*Data!$B$1</f>
        <v>54.289129200123334</v>
      </c>
      <c r="AX120" s="2"/>
      <c r="AY120" s="2"/>
      <c r="AZ120" s="2">
        <f>IFERROR((SQRT($J120*$AG120)*POWER((MIN($M120,20)+SQRT(MAX($M120-20,0))),0.9)*Data!$B$1)*(1 - (R120-1)),AV120)</f>
        <v>0</v>
      </c>
      <c r="BA120" s="2">
        <f>IFERROR(((POWER(($J120*$J120*$AG120), 0.33)*LOG10($AE120)*10*Data!$B$1)*R120),AW120)</f>
        <v>54.289129200123334</v>
      </c>
      <c r="BB120" s="2">
        <f t="shared" si="31"/>
        <v>19.35483870967742</v>
      </c>
      <c r="BC120" s="2">
        <f t="shared" si="34"/>
        <v>0</v>
      </c>
      <c r="BD120" s="2">
        <f t="shared" si="35"/>
        <v>0</v>
      </c>
      <c r="BE120" s="2">
        <f t="shared" si="36"/>
        <v>0</v>
      </c>
      <c r="BF120" s="2">
        <v>6</v>
      </c>
      <c r="BG120" s="2">
        <f t="shared" si="32"/>
        <v>10</v>
      </c>
      <c r="BH120" s="2">
        <f t="shared" si="37"/>
        <v>0</v>
      </c>
      <c r="BI120" s="2">
        <f t="shared" si="33"/>
        <v>11.8</v>
      </c>
      <c r="BJ120" s="2">
        <f t="shared" si="29"/>
        <v>-0.2</v>
      </c>
      <c r="BK120">
        <v>7</v>
      </c>
      <c r="BM120" s="3"/>
      <c r="BN120">
        <f>F120-F119</f>
        <v>27</v>
      </c>
      <c r="BO120" s="2" t="str">
        <f>CONCATENATE(
ROUND(BK120*VLOOKUP(I120,'ID Scheme'!$A$2:$E$7,3),0), "x",
ROUND(BL120*VLOOKUP(I120,'ID Scheme'!$A$2:$E$7,5),0), "x",
ROUND(BM120*VLOOKUP(I120,'ID Scheme'!$A$2:$E$7,4),0))</f>
        <v>65x0x0</v>
      </c>
    </row>
    <row r="121" spans="1:68" x14ac:dyDescent="0.25">
      <c r="A121" t="s">
        <v>143</v>
      </c>
      <c r="B121" t="s">
        <v>238</v>
      </c>
      <c r="C121" t="s">
        <v>369</v>
      </c>
      <c r="D121">
        <f>IF(F121 &gt; 2020, ((F121-2020)*4)+1610+H121,IF(F121 &gt; 1900, ((F121-1900)*10)+400+H121, ((F121-1730)*2)+H121))+VLOOKUP(I121,'ID Scheme'!$A$2:$B$7,2, FALSE)</f>
        <v>11481</v>
      </c>
      <c r="F121">
        <v>1948</v>
      </c>
      <c r="G121">
        <v>1</v>
      </c>
      <c r="H121">
        <v>1</v>
      </c>
      <c r="I121" t="s">
        <v>137</v>
      </c>
      <c r="J121">
        <v>25</v>
      </c>
      <c r="K121">
        <v>60</v>
      </c>
      <c r="L121">
        <v>-1</v>
      </c>
      <c r="M121">
        <v>30</v>
      </c>
      <c r="N121">
        <v>5</v>
      </c>
      <c r="O121">
        <v>22</v>
      </c>
      <c r="P121">
        <v>123</v>
      </c>
      <c r="Q121">
        <v>20</v>
      </c>
      <c r="R121">
        <v>1</v>
      </c>
      <c r="S121" t="s">
        <v>299</v>
      </c>
      <c r="T121">
        <v>-1</v>
      </c>
      <c r="U121" s="2" t="s">
        <v>470</v>
      </c>
      <c r="V121" s="2" t="s">
        <v>343</v>
      </c>
      <c r="W121" s="2"/>
      <c r="X121" s="2" t="s">
        <v>343</v>
      </c>
      <c r="Y121" s="2" t="s">
        <v>343</v>
      </c>
      <c r="Z121" s="2"/>
      <c r="AA121" s="2"/>
      <c r="AB121" s="2"/>
      <c r="AC121" s="2" t="s">
        <v>419</v>
      </c>
      <c r="AD121" s="2"/>
      <c r="AL121">
        <v>1</v>
      </c>
      <c r="AO121" t="s">
        <v>425</v>
      </c>
      <c r="AP121" t="s">
        <v>435</v>
      </c>
      <c r="AQ121" t="s">
        <v>365</v>
      </c>
      <c r="AR121">
        <v>1</v>
      </c>
      <c r="AV121" s="2">
        <f>SQRT(J121*K121)*POWER((MIN(M121,20)+SQRT(MAX(M121-20,0))),0.9)*Data!$B$1</f>
        <v>49.137157539542891</v>
      </c>
      <c r="AW121" s="2">
        <f>POWER((J121*J121*K121), 0.33)*LOG10(P121)*10*Data!$B$1</f>
        <v>50.654513648978117</v>
      </c>
      <c r="AX121" s="2"/>
      <c r="AY121" s="2"/>
      <c r="AZ121" s="2">
        <f>IFERROR((SQRT($J121*$AG121)*POWER((MIN($M121,20)+SQRT(MAX($M121-20,0))),0.9)*Data!$B$1)*(1 - (R121-1)),AV121)</f>
        <v>0</v>
      </c>
      <c r="BA121" s="2">
        <f>IFERROR(((POWER(($J121*$J121*$AG121), 0.33)*LOG10($AE121)*10*Data!$B$1)*R121),AW121)</f>
        <v>50.654513648978117</v>
      </c>
      <c r="BB121" s="2">
        <f t="shared" si="31"/>
        <v>20.161290322580644</v>
      </c>
      <c r="BC121" s="2">
        <f t="shared" si="34"/>
        <v>0</v>
      </c>
      <c r="BD121" s="2">
        <f t="shared" si="35"/>
        <v>0</v>
      </c>
      <c r="BE121" s="2">
        <f t="shared" si="36"/>
        <v>0</v>
      </c>
      <c r="BF121" s="2">
        <v>6</v>
      </c>
      <c r="BG121" s="2">
        <f t="shared" si="32"/>
        <v>10</v>
      </c>
      <c r="BH121" s="2">
        <f t="shared" si="37"/>
        <v>0</v>
      </c>
      <c r="BI121" s="2">
        <f t="shared" si="33"/>
        <v>11.8</v>
      </c>
      <c r="BJ121" s="2">
        <f t="shared" si="29"/>
        <v>-0.2</v>
      </c>
      <c r="BK121">
        <v>6</v>
      </c>
      <c r="BM121" s="3"/>
      <c r="BN121">
        <f>F121-F120</f>
        <v>18</v>
      </c>
      <c r="BO121" s="2" t="str">
        <f>CONCATENATE(
ROUND(BK121*VLOOKUP(I121,'ID Scheme'!$A$2:$E$7,3),0), "x",
ROUND(BL121*VLOOKUP(I121,'ID Scheme'!$A$2:$E$7,5),0), "x",
ROUND(BM121*VLOOKUP(I121,'ID Scheme'!$A$2:$E$7,4),0))</f>
        <v>56x0x0</v>
      </c>
    </row>
    <row r="122" spans="1:68" x14ac:dyDescent="0.25">
      <c r="A122" t="s">
        <v>142</v>
      </c>
      <c r="B122" t="s">
        <v>237</v>
      </c>
      <c r="C122" t="s">
        <v>369</v>
      </c>
      <c r="D122">
        <f>IF(F122 &gt; 2020, ((F122-2020)*4)+1610+H122,IF(F122 &gt; 1900, ((F122-1900)*10)+400+H122, ((F122-1730)*2)+H122))+VLOOKUP(I122,'ID Scheme'!$A$2:$B$7,2, FALSE)</f>
        <v>11522</v>
      </c>
      <c r="F122">
        <v>1952</v>
      </c>
      <c r="G122">
        <v>1</v>
      </c>
      <c r="H122">
        <v>2</v>
      </c>
      <c r="I122" t="s">
        <v>137</v>
      </c>
      <c r="J122">
        <v>27</v>
      </c>
      <c r="K122">
        <v>60</v>
      </c>
      <c r="L122">
        <v>-1</v>
      </c>
      <c r="M122">
        <v>26</v>
      </c>
      <c r="N122">
        <v>5</v>
      </c>
      <c r="O122">
        <v>31</v>
      </c>
      <c r="P122">
        <v>152</v>
      </c>
      <c r="Q122">
        <v>20</v>
      </c>
      <c r="R122">
        <v>1</v>
      </c>
      <c r="S122" t="s">
        <v>299</v>
      </c>
      <c r="T122">
        <v>-1</v>
      </c>
      <c r="U122" s="2" t="s">
        <v>469</v>
      </c>
      <c r="V122" s="2" t="s">
        <v>343</v>
      </c>
      <c r="W122" s="2"/>
      <c r="X122" s="2" t="s">
        <v>343</v>
      </c>
      <c r="Y122" s="2" t="s">
        <v>343</v>
      </c>
      <c r="Z122" s="2"/>
      <c r="AA122" s="2"/>
      <c r="AB122" s="2"/>
      <c r="AC122" s="2" t="s">
        <v>419</v>
      </c>
      <c r="AD122" s="2"/>
      <c r="AL122">
        <v>1</v>
      </c>
      <c r="AO122" t="s">
        <v>425</v>
      </c>
      <c r="AP122" t="s">
        <v>436</v>
      </c>
      <c r="AQ122" t="s">
        <v>365</v>
      </c>
      <c r="AR122">
        <v>1</v>
      </c>
      <c r="AV122" s="2">
        <f>SQRT(J122*K122)*POWER((MIN(M122,20)+SQRT(MAX(M122-20,0))),0.9)*Data!$B$1</f>
        <v>49.648324587394477</v>
      </c>
      <c r="AW122" s="2">
        <f>POWER((J122*J122*K122), 0.33)*LOG10(P122)*10*Data!$B$1</f>
        <v>55.638430948840913</v>
      </c>
      <c r="AX122" s="2"/>
      <c r="AY122" s="2"/>
      <c r="AZ122" s="2">
        <f>IFERROR((SQRT($J122*$AG122)*POWER((MIN($M122,20)+SQRT(MAX($M122-20,0))),0.9)*Data!$B$1)*(1 - (R122-1)),AV122)</f>
        <v>0</v>
      </c>
      <c r="BA122" s="2">
        <f>IFERROR(((POWER(($J122*$J122*$AG122), 0.33)*LOG10($AE122)*10*Data!$B$1)*R122),AW122)</f>
        <v>55.638430948840913</v>
      </c>
      <c r="BB122" s="2">
        <f t="shared" si="31"/>
        <v>21.774193548387096</v>
      </c>
      <c r="BC122" s="2">
        <f t="shared" si="34"/>
        <v>0</v>
      </c>
      <c r="BD122" s="2">
        <f t="shared" si="35"/>
        <v>0</v>
      </c>
      <c r="BE122" s="2">
        <f t="shared" si="36"/>
        <v>0</v>
      </c>
      <c r="BF122" s="2">
        <v>6</v>
      </c>
      <c r="BG122" s="2">
        <f t="shared" si="32"/>
        <v>10</v>
      </c>
      <c r="BH122" s="2">
        <f t="shared" si="37"/>
        <v>0</v>
      </c>
      <c r="BI122" s="2">
        <f t="shared" si="33"/>
        <v>11.8</v>
      </c>
      <c r="BJ122" s="2">
        <f t="shared" si="29"/>
        <v>-0.2</v>
      </c>
      <c r="BK122">
        <v>7</v>
      </c>
      <c r="BM122" s="3"/>
      <c r="BN122">
        <f>F122-F121</f>
        <v>4</v>
      </c>
      <c r="BO122" s="2" t="str">
        <f>CONCATENATE(
ROUND(BK122*VLOOKUP(I122,'ID Scheme'!$A$2:$E$7,3),0), "x",
ROUND(BL122*VLOOKUP(I122,'ID Scheme'!$A$2:$E$7,5),0), "x",
ROUND(BM122*VLOOKUP(I122,'ID Scheme'!$A$2:$E$7,4),0))</f>
        <v>65x0x0</v>
      </c>
    </row>
  </sheetData>
  <autoFilter ref="A1:BP121" xr:uid="{56F55A87-583C-464E-B7D6-67124107F553}">
    <sortState xmlns:xlrd2="http://schemas.microsoft.com/office/spreadsheetml/2017/richdata2" ref="A2:BP122">
      <sortCondition ref="D1:D121"/>
    </sortState>
  </autoFilter>
  <sortState xmlns:xlrd2="http://schemas.microsoft.com/office/spreadsheetml/2017/richdata2" ref="A2:BP115">
    <sortCondition ref="A16"/>
  </sortState>
  <conditionalFormatting sqref="BN2:BN3 BN5:BN1048576">
    <cfRule type="cellIs" dxfId="1" priority="14" operator="greaterThan">
      <formula>10</formula>
    </cfRule>
  </conditionalFormatting>
  <conditionalFormatting sqref="BN4">
    <cfRule type="cellIs" dxfId="0" priority="1" operator="greaterThan">
      <formula>10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 Kimber</cp:lastModifiedBy>
  <dcterms:created xsi:type="dcterms:W3CDTF">2015-06-05T18:17:20Z</dcterms:created>
  <dcterms:modified xsi:type="dcterms:W3CDTF">2020-05-09T13:46:55Z</dcterms:modified>
</cp:coreProperties>
</file>