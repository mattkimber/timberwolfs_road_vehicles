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626" codeName="{62F9E958-00F4-224C-1CEB-3A4BEE276A53}"/>
  <workbookPr codeName="ThisWorkbook"/>
  <mc:AlternateContent xmlns:mc="http://schemas.openxmlformats.org/markup-compatibility/2006">
    <mc:Choice Requires="x15">
      <x15ac:absPath xmlns:x15ac="http://schemas.microsoft.com/office/spreadsheetml/2010/11/ac" url="D:\projects\timberwolfs_road_vehicles\"/>
    </mc:Choice>
  </mc:AlternateContent>
  <xr:revisionPtr revIDLastSave="0" documentId="13_ncr:1_{820AAD57-7383-4CE1-91BC-8C7F1B37865C}" xr6:coauthVersionLast="47" xr6:coauthVersionMax="47" xr10:uidLastSave="{00000000-0000-0000-0000-000000000000}"/>
  <bookViews>
    <workbookView xWindow="1824" yWindow="708" windowWidth="20496" windowHeight="11328" tabRatio="1000" xr2:uid="{00000000-000D-0000-FFFF-FFFF00000000}"/>
  </bookViews>
  <sheets>
    <sheet name="table" sheetId="1" r:id="rId1"/>
    <sheet name="Data" sheetId="3" r:id="rId2"/>
    <sheet name="ID Scheme" sheetId="2" r:id="rId3"/>
  </sheets>
  <definedNames>
    <definedName name="_xlnm._FilterDatabase" localSheetId="0" hidden="1">table!$A$1:$BF$161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E44" i="1" l="1"/>
  <c r="BA44" i="1"/>
  <c r="AZ44" i="1"/>
  <c r="AV44" i="1"/>
  <c r="AU44" i="1"/>
  <c r="AT44" i="1"/>
  <c r="AR44" i="1"/>
  <c r="D44" i="1"/>
  <c r="BE45" i="1"/>
  <c r="BA45" i="1"/>
  <c r="AZ45" i="1"/>
  <c r="AV45" i="1"/>
  <c r="AU45" i="1"/>
  <c r="AT45" i="1"/>
  <c r="AR45" i="1"/>
  <c r="D45" i="1"/>
  <c r="BE119" i="1"/>
  <c r="BA119" i="1"/>
  <c r="AZ119" i="1"/>
  <c r="AV119" i="1"/>
  <c r="AU119" i="1"/>
  <c r="AT119" i="1"/>
  <c r="AR119" i="1"/>
  <c r="D119" i="1"/>
  <c r="BE30" i="1"/>
  <c r="BA30" i="1"/>
  <c r="AZ30" i="1"/>
  <c r="AV30" i="1"/>
  <c r="AU30" i="1"/>
  <c r="AT30" i="1"/>
  <c r="AR30" i="1"/>
  <c r="D30" i="1"/>
  <c r="D5" i="1"/>
  <c r="BE5" i="1"/>
  <c r="BA5" i="1"/>
  <c r="AZ5" i="1"/>
  <c r="AV5" i="1"/>
  <c r="AU5" i="1"/>
  <c r="BE85" i="1"/>
  <c r="BA85" i="1"/>
  <c r="AZ85" i="1"/>
  <c r="AV85" i="1"/>
  <c r="AU85" i="1"/>
  <c r="AT85" i="1"/>
  <c r="AR85" i="1"/>
  <c r="D85" i="1"/>
  <c r="BE88" i="1"/>
  <c r="BA88" i="1"/>
  <c r="AZ88" i="1"/>
  <c r="AV88" i="1"/>
  <c r="AU88" i="1"/>
  <c r="AT88" i="1"/>
  <c r="AR88" i="1"/>
  <c r="D88" i="1"/>
  <c r="BE73" i="1"/>
  <c r="BA73" i="1"/>
  <c r="AZ73" i="1"/>
  <c r="AV73" i="1"/>
  <c r="AU73" i="1"/>
  <c r="AT73" i="1"/>
  <c r="AR73" i="1"/>
  <c r="D73" i="1"/>
  <c r="BE126" i="1"/>
  <c r="BA126" i="1"/>
  <c r="AZ126" i="1"/>
  <c r="AV126" i="1"/>
  <c r="AU126" i="1"/>
  <c r="AT126" i="1"/>
  <c r="AR126" i="1"/>
  <c r="D126" i="1"/>
  <c r="BE47" i="1"/>
  <c r="BA47" i="1"/>
  <c r="AZ47" i="1"/>
  <c r="AV47" i="1"/>
  <c r="AU47" i="1"/>
  <c r="AT47" i="1"/>
  <c r="AR47" i="1"/>
  <c r="D47" i="1"/>
  <c r="BE122" i="1"/>
  <c r="BA122" i="1"/>
  <c r="AZ122" i="1"/>
  <c r="AV122" i="1"/>
  <c r="AU122" i="1"/>
  <c r="AT122" i="1"/>
  <c r="AR122" i="1"/>
  <c r="D122" i="1"/>
  <c r="BE39" i="1"/>
  <c r="BA39" i="1"/>
  <c r="AZ39" i="1"/>
  <c r="AV39" i="1"/>
  <c r="AU39" i="1"/>
  <c r="AT39" i="1"/>
  <c r="AR39" i="1"/>
  <c r="D39" i="1"/>
  <c r="BE118" i="1"/>
  <c r="BA118" i="1"/>
  <c r="AZ118" i="1"/>
  <c r="AV118" i="1"/>
  <c r="AU118" i="1"/>
  <c r="AT118" i="1"/>
  <c r="AR118" i="1"/>
  <c r="D118" i="1"/>
  <c r="BE84" i="1"/>
  <c r="BA84" i="1"/>
  <c r="AZ84" i="1"/>
  <c r="AV84" i="1"/>
  <c r="AU84" i="1"/>
  <c r="AT84" i="1"/>
  <c r="AR84" i="1"/>
  <c r="D84" i="1"/>
  <c r="BE77" i="1"/>
  <c r="BA77" i="1"/>
  <c r="AZ77" i="1"/>
  <c r="AV77" i="1"/>
  <c r="AU77" i="1"/>
  <c r="AT77" i="1"/>
  <c r="AR77" i="1"/>
  <c r="D77" i="1"/>
  <c r="BE14" i="1"/>
  <c r="BA14" i="1"/>
  <c r="AZ14" i="1"/>
  <c r="AV14" i="1"/>
  <c r="AU14" i="1"/>
  <c r="AT14" i="1"/>
  <c r="AR14" i="1"/>
  <c r="D14" i="1"/>
  <c r="BA41" i="1"/>
  <c r="AZ41" i="1"/>
  <c r="AV41" i="1"/>
  <c r="AU41" i="1"/>
  <c r="BA23" i="1"/>
  <c r="AZ23" i="1"/>
  <c r="AV23" i="1"/>
  <c r="AU23" i="1"/>
  <c r="BE115" i="1"/>
  <c r="BA115" i="1"/>
  <c r="AZ115" i="1"/>
  <c r="AV115" i="1"/>
  <c r="AU115" i="1"/>
  <c r="AT115" i="1"/>
  <c r="AR115" i="1"/>
  <c r="D115" i="1"/>
  <c r="BE113" i="1"/>
  <c r="BA113" i="1"/>
  <c r="AZ113" i="1"/>
  <c r="AV113" i="1"/>
  <c r="AU113" i="1"/>
  <c r="AT113" i="1"/>
  <c r="AR113" i="1"/>
  <c r="D113" i="1"/>
  <c r="BE18" i="1"/>
  <c r="BA18" i="1"/>
  <c r="AZ18" i="1"/>
  <c r="AV18" i="1"/>
  <c r="AU18" i="1"/>
  <c r="AT18" i="1"/>
  <c r="AR18" i="1"/>
  <c r="D18" i="1"/>
  <c r="BE106" i="1"/>
  <c r="BA106" i="1"/>
  <c r="AZ106" i="1"/>
  <c r="AV106" i="1"/>
  <c r="AU106" i="1"/>
  <c r="AT106" i="1"/>
  <c r="AR106" i="1"/>
  <c r="D106" i="1"/>
  <c r="BE107" i="1"/>
  <c r="BA107" i="1"/>
  <c r="AZ107" i="1"/>
  <c r="AV107" i="1"/>
  <c r="AU107" i="1"/>
  <c r="AT107" i="1"/>
  <c r="AR107" i="1"/>
  <c r="D107" i="1"/>
  <c r="BE87" i="1"/>
  <c r="BA87" i="1"/>
  <c r="AZ87" i="1"/>
  <c r="AV87" i="1"/>
  <c r="AU87" i="1"/>
  <c r="AT87" i="1"/>
  <c r="AR87" i="1"/>
  <c r="D87" i="1"/>
  <c r="BE97" i="1" l="1"/>
  <c r="BA97" i="1"/>
  <c r="AZ97" i="1"/>
  <c r="AV97" i="1"/>
  <c r="AU97" i="1"/>
  <c r="AT97" i="1"/>
  <c r="AR97" i="1"/>
  <c r="D97" i="1"/>
  <c r="BE93" i="1"/>
  <c r="BA93" i="1"/>
  <c r="AZ93" i="1"/>
  <c r="AV93" i="1"/>
  <c r="AU93" i="1"/>
  <c r="AT93" i="1"/>
  <c r="AR93" i="1"/>
  <c r="D93" i="1"/>
  <c r="BE42" i="1" l="1"/>
  <c r="BA42" i="1"/>
  <c r="AZ42" i="1"/>
  <c r="AV42" i="1"/>
  <c r="AU42" i="1"/>
  <c r="AT42" i="1"/>
  <c r="AR42" i="1"/>
  <c r="D42" i="1"/>
  <c r="BE32" i="1"/>
  <c r="BA32" i="1"/>
  <c r="AZ32" i="1"/>
  <c r="AV32" i="1"/>
  <c r="AU32" i="1"/>
  <c r="AT32" i="1"/>
  <c r="AR32" i="1"/>
  <c r="D32" i="1"/>
  <c r="BE60" i="1" l="1"/>
  <c r="BA60" i="1"/>
  <c r="AZ60" i="1"/>
  <c r="AV60" i="1"/>
  <c r="AU60" i="1"/>
  <c r="AT60" i="1"/>
  <c r="AR60" i="1"/>
  <c r="D60" i="1"/>
  <c r="BE65" i="1"/>
  <c r="BA65" i="1"/>
  <c r="AZ65" i="1"/>
  <c r="AV65" i="1"/>
  <c r="AU65" i="1"/>
  <c r="AT65" i="1"/>
  <c r="AR65" i="1"/>
  <c r="D65" i="1"/>
  <c r="BE38" i="1" l="1"/>
  <c r="BA38" i="1"/>
  <c r="AZ38" i="1"/>
  <c r="AV38" i="1"/>
  <c r="AU38" i="1"/>
  <c r="AT38" i="1"/>
  <c r="AR38" i="1"/>
  <c r="D38" i="1"/>
  <c r="BE36" i="1"/>
  <c r="BA36" i="1"/>
  <c r="AZ36" i="1"/>
  <c r="AV36" i="1"/>
  <c r="AU36" i="1"/>
  <c r="AT36" i="1"/>
  <c r="AR36" i="1"/>
  <c r="D36" i="1"/>
  <c r="AT51" i="1"/>
  <c r="AT52" i="1"/>
  <c r="AT53" i="1"/>
  <c r="AT54" i="1"/>
  <c r="AT55" i="1"/>
  <c r="AT56" i="1"/>
  <c r="AT57" i="1"/>
  <c r="AT58" i="1"/>
  <c r="AT59" i="1"/>
  <c r="AT61" i="1"/>
  <c r="AT62" i="1"/>
  <c r="AT63" i="1"/>
  <c r="AT64" i="1"/>
  <c r="AT66" i="1"/>
  <c r="AT67" i="1"/>
  <c r="AT68" i="1"/>
  <c r="AT69" i="1"/>
  <c r="AT70" i="1"/>
  <c r="AT71" i="1"/>
  <c r="AT72" i="1"/>
  <c r="AT74" i="1"/>
  <c r="AT75" i="1"/>
  <c r="AT76" i="1"/>
  <c r="AT78" i="1"/>
  <c r="AT79" i="1"/>
  <c r="AT80" i="1"/>
  <c r="AT81" i="1"/>
  <c r="AT82" i="1"/>
  <c r="AT83" i="1"/>
  <c r="AT86" i="1"/>
  <c r="AT89" i="1"/>
  <c r="AT90" i="1"/>
  <c r="AT91" i="1"/>
  <c r="AT92" i="1"/>
  <c r="AT94" i="1"/>
  <c r="AT95" i="1"/>
  <c r="AT96" i="1"/>
  <c r="AT98" i="1"/>
  <c r="AT99" i="1"/>
  <c r="AT100" i="1"/>
  <c r="AT101" i="1"/>
  <c r="AT102" i="1"/>
  <c r="AT103" i="1"/>
  <c r="AT104" i="1"/>
  <c r="AT105" i="1"/>
  <c r="AT108" i="1"/>
  <c r="AT109" i="1"/>
  <c r="AT110" i="1"/>
  <c r="AT111" i="1"/>
  <c r="AT112" i="1"/>
  <c r="AT114" i="1"/>
  <c r="AT116" i="1"/>
  <c r="AT117" i="1"/>
  <c r="AT120" i="1"/>
  <c r="AT121" i="1"/>
  <c r="AT123" i="1"/>
  <c r="AT124" i="1"/>
  <c r="AT125"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6" i="1"/>
  <c r="AT7" i="1"/>
  <c r="AT8" i="1"/>
  <c r="AT9" i="1"/>
  <c r="AT10" i="1"/>
  <c r="AT12" i="1"/>
  <c r="AT13" i="1"/>
  <c r="AT16" i="1"/>
  <c r="AT17" i="1"/>
  <c r="AT19" i="1"/>
  <c r="AT20" i="1"/>
  <c r="AT21" i="1"/>
  <c r="AT24" i="1"/>
  <c r="AT25" i="1"/>
  <c r="AT26" i="1"/>
  <c r="AT27" i="1"/>
  <c r="AT28" i="1"/>
  <c r="AT34" i="1"/>
  <c r="AT43" i="1"/>
  <c r="AT46" i="1"/>
  <c r="AT48" i="1"/>
  <c r="AT49" i="1"/>
  <c r="AT50" i="1"/>
  <c r="BE141" i="1" l="1"/>
  <c r="BA141" i="1"/>
  <c r="AZ141" i="1"/>
  <c r="AV141" i="1"/>
  <c r="AU141" i="1"/>
  <c r="AR141" i="1"/>
  <c r="D141" i="1"/>
  <c r="BE48" i="1" l="1"/>
  <c r="BA48" i="1"/>
  <c r="AZ48" i="1"/>
  <c r="AV48" i="1"/>
  <c r="AU48" i="1"/>
  <c r="AR48" i="1"/>
  <c r="D48" i="1"/>
  <c r="BE51" i="1" l="1"/>
  <c r="BA51" i="1"/>
  <c r="AU50" i="1"/>
  <c r="AV50" i="1"/>
  <c r="AZ50" i="1"/>
  <c r="AU51" i="1"/>
  <c r="AV51" i="1"/>
  <c r="AZ51" i="1"/>
  <c r="AU52" i="1"/>
  <c r="AV52" i="1"/>
  <c r="AZ52" i="1"/>
  <c r="AR51" i="1"/>
  <c r="D51" i="1"/>
  <c r="AZ103" i="1" l="1"/>
  <c r="AZ16" i="1"/>
  <c r="AZ104" i="1"/>
  <c r="AZ105" i="1"/>
  <c r="AZ20" i="1"/>
  <c r="AZ19" i="1"/>
  <c r="AZ21" i="1"/>
  <c r="AZ108" i="1"/>
  <c r="AZ109" i="1"/>
  <c r="AZ110" i="1"/>
  <c r="AZ111" i="1"/>
  <c r="AZ24" i="1"/>
  <c r="AZ112" i="1"/>
  <c r="AZ25" i="1"/>
  <c r="AZ114" i="1"/>
  <c r="AZ27" i="1"/>
  <c r="AZ116" i="1"/>
  <c r="AZ26" i="1"/>
  <c r="AZ117" i="1"/>
  <c r="AZ28" i="1"/>
  <c r="AZ120" i="1"/>
  <c r="AZ121" i="1"/>
  <c r="AZ123" i="1"/>
  <c r="AZ124" i="1"/>
  <c r="AZ125" i="1"/>
  <c r="AZ127" i="1"/>
  <c r="AZ128" i="1"/>
  <c r="AZ129" i="1"/>
  <c r="AZ130" i="1"/>
  <c r="AZ131" i="1"/>
  <c r="AZ132" i="1"/>
  <c r="AZ133" i="1"/>
  <c r="AZ134" i="1"/>
  <c r="AZ135" i="1"/>
  <c r="AZ136" i="1"/>
  <c r="AZ137" i="1"/>
  <c r="AZ138" i="1"/>
  <c r="AZ139" i="1"/>
  <c r="AZ140" i="1"/>
  <c r="AZ142" i="1"/>
  <c r="AZ143" i="1"/>
  <c r="AZ144" i="1"/>
  <c r="AZ145" i="1"/>
  <c r="AZ146" i="1"/>
  <c r="AZ147" i="1"/>
  <c r="AZ148" i="1"/>
  <c r="AZ149" i="1"/>
  <c r="AZ150" i="1"/>
  <c r="AZ151" i="1"/>
  <c r="AZ152" i="1"/>
  <c r="AZ153" i="1"/>
  <c r="AZ154" i="1"/>
  <c r="AZ155" i="1"/>
  <c r="AZ156" i="1"/>
  <c r="AZ157" i="1"/>
  <c r="AZ158" i="1"/>
  <c r="AZ159" i="1"/>
  <c r="AZ160" i="1"/>
  <c r="AZ161" i="1"/>
  <c r="AZ6" i="1"/>
  <c r="AZ7" i="1"/>
  <c r="AZ8" i="1"/>
  <c r="AZ9" i="1"/>
  <c r="AZ10" i="1"/>
  <c r="AZ43" i="1"/>
  <c r="AZ46" i="1"/>
  <c r="AZ49" i="1"/>
  <c r="AZ53" i="1"/>
  <c r="AZ54" i="1"/>
  <c r="AZ55" i="1"/>
  <c r="AZ56" i="1"/>
  <c r="AZ57" i="1"/>
  <c r="AZ58" i="1"/>
  <c r="AZ59" i="1"/>
  <c r="AZ61" i="1"/>
  <c r="AZ62" i="1"/>
  <c r="AZ63" i="1"/>
  <c r="AZ64" i="1"/>
  <c r="AZ66" i="1"/>
  <c r="AZ67" i="1"/>
  <c r="AZ68" i="1"/>
  <c r="AZ69" i="1"/>
  <c r="AZ70" i="1"/>
  <c r="AZ71" i="1"/>
  <c r="AZ72" i="1"/>
  <c r="AZ74" i="1"/>
  <c r="AZ75" i="1"/>
  <c r="AZ76" i="1"/>
  <c r="AZ78" i="1"/>
  <c r="AZ79" i="1"/>
  <c r="AZ80" i="1"/>
  <c r="AZ81" i="1"/>
  <c r="AZ82" i="1"/>
  <c r="AZ83" i="1"/>
  <c r="AZ86" i="1"/>
  <c r="AZ34" i="1"/>
  <c r="AZ89" i="1"/>
  <c r="AZ90" i="1"/>
  <c r="AZ91" i="1"/>
  <c r="AZ92" i="1"/>
  <c r="AZ12" i="1"/>
  <c r="AZ94" i="1"/>
  <c r="AZ13" i="1"/>
  <c r="AZ95" i="1"/>
  <c r="AZ96" i="1"/>
  <c r="AZ98" i="1"/>
  <c r="AZ99" i="1"/>
  <c r="AZ100" i="1"/>
  <c r="AZ101" i="1"/>
  <c r="AZ102" i="1"/>
  <c r="AZ17" i="1"/>
  <c r="BA34" i="1"/>
  <c r="BA28" i="1"/>
  <c r="BA26" i="1"/>
  <c r="BA27" i="1"/>
  <c r="BA25" i="1"/>
  <c r="BA24" i="1"/>
  <c r="BA21" i="1"/>
  <c r="BA19" i="1"/>
  <c r="BA20" i="1"/>
  <c r="BA16" i="1"/>
  <c r="BA17" i="1"/>
  <c r="BA13" i="1"/>
  <c r="BA12" i="1"/>
  <c r="BE101" i="1" l="1"/>
  <c r="BA101" i="1"/>
  <c r="AV101" i="1"/>
  <c r="AU101" i="1"/>
  <c r="AR101" i="1"/>
  <c r="D101" i="1"/>
  <c r="BE13" i="1"/>
  <c r="AV13" i="1"/>
  <c r="AU13" i="1"/>
  <c r="AR13" i="1"/>
  <c r="D13" i="1"/>
  <c r="AR81" i="1" l="1"/>
  <c r="AR82" i="1"/>
  <c r="AR83" i="1"/>
  <c r="AR34" i="1"/>
  <c r="AR89" i="1"/>
  <c r="AR90" i="1"/>
  <c r="AR91" i="1"/>
  <c r="AR92" i="1"/>
  <c r="AR12" i="1"/>
  <c r="AR94" i="1"/>
  <c r="AR95" i="1"/>
  <c r="AR96" i="1"/>
  <c r="AR98" i="1"/>
  <c r="AR99" i="1"/>
  <c r="AR100" i="1"/>
  <c r="AR102" i="1"/>
  <c r="AR17" i="1"/>
  <c r="AR103" i="1"/>
  <c r="AR16" i="1"/>
  <c r="AR104" i="1"/>
  <c r="AR105" i="1"/>
  <c r="AR20" i="1"/>
  <c r="AR19" i="1"/>
  <c r="AR21" i="1"/>
  <c r="AR108" i="1"/>
  <c r="AR109" i="1"/>
  <c r="AR110" i="1"/>
  <c r="AR111" i="1"/>
  <c r="AR24" i="1"/>
  <c r="AR112" i="1"/>
  <c r="AR25" i="1"/>
  <c r="AR114" i="1"/>
  <c r="AR27" i="1"/>
  <c r="AR116" i="1"/>
  <c r="AR26" i="1"/>
  <c r="AR117" i="1"/>
  <c r="AR28" i="1"/>
  <c r="AR120" i="1"/>
  <c r="AR121" i="1"/>
  <c r="AR123" i="1"/>
  <c r="AR124" i="1"/>
  <c r="AR125" i="1"/>
  <c r="AR127" i="1"/>
  <c r="AR128" i="1"/>
  <c r="AR129" i="1"/>
  <c r="AR130" i="1"/>
  <c r="AR131" i="1"/>
  <c r="AR132" i="1"/>
  <c r="AR133" i="1"/>
  <c r="AR134" i="1"/>
  <c r="AR135" i="1"/>
  <c r="AR136" i="1"/>
  <c r="AR137" i="1"/>
  <c r="AR138" i="1"/>
  <c r="AR139" i="1"/>
  <c r="AR140" i="1"/>
  <c r="AR142" i="1"/>
  <c r="AR143" i="1"/>
  <c r="AR144" i="1"/>
  <c r="AR145" i="1"/>
  <c r="AR146" i="1"/>
  <c r="AR147" i="1"/>
  <c r="AR148" i="1"/>
  <c r="AR149" i="1"/>
  <c r="AR150" i="1"/>
  <c r="AR151" i="1"/>
  <c r="AR152" i="1"/>
  <c r="AR153" i="1"/>
  <c r="AR154" i="1"/>
  <c r="AR155" i="1"/>
  <c r="AR156" i="1"/>
  <c r="AR157" i="1"/>
  <c r="AR158" i="1"/>
  <c r="AR159" i="1"/>
  <c r="AR160" i="1"/>
  <c r="AR161" i="1"/>
  <c r="AR6" i="1"/>
  <c r="AR7" i="1"/>
  <c r="AR8" i="1"/>
  <c r="AR9" i="1"/>
  <c r="AR10" i="1"/>
  <c r="AR43" i="1"/>
  <c r="AR46" i="1"/>
  <c r="AR49" i="1"/>
  <c r="AR50" i="1"/>
  <c r="AR52" i="1"/>
  <c r="AR53" i="1"/>
  <c r="AR54" i="1"/>
  <c r="AR55" i="1"/>
  <c r="AR56" i="1"/>
  <c r="AR57" i="1"/>
  <c r="AR58" i="1"/>
  <c r="AR59" i="1"/>
  <c r="AR61" i="1"/>
  <c r="AR62" i="1"/>
  <c r="AR63" i="1"/>
  <c r="AR64" i="1"/>
  <c r="AR66" i="1"/>
  <c r="AR67" i="1"/>
  <c r="AR68" i="1"/>
  <c r="AR69" i="1"/>
  <c r="AR70" i="1"/>
  <c r="AR71" i="1"/>
  <c r="AR72" i="1"/>
  <c r="AR74" i="1"/>
  <c r="AR76" i="1"/>
  <c r="AR75" i="1"/>
  <c r="AR78" i="1"/>
  <c r="AR79" i="1"/>
  <c r="AR80" i="1"/>
  <c r="AR86" i="1"/>
  <c r="BE86" i="1"/>
  <c r="BA86" i="1"/>
  <c r="AV86" i="1"/>
  <c r="AU86" i="1"/>
  <c r="D86" i="1"/>
  <c r="BA46" i="1" l="1"/>
  <c r="BA49" i="1"/>
  <c r="BA50" i="1"/>
  <c r="BA52" i="1"/>
  <c r="BA53" i="1"/>
  <c r="BA54" i="1"/>
  <c r="BA55" i="1"/>
  <c r="BA56" i="1"/>
  <c r="BA57" i="1"/>
  <c r="BA58" i="1"/>
  <c r="BA59" i="1"/>
  <c r="BA61" i="1"/>
  <c r="BA62" i="1"/>
  <c r="BA63" i="1"/>
  <c r="BA64" i="1"/>
  <c r="BA66" i="1"/>
  <c r="BA67" i="1"/>
  <c r="BA68" i="1"/>
  <c r="BA69" i="1"/>
  <c r="BA70" i="1"/>
  <c r="BA71" i="1"/>
  <c r="BA72" i="1"/>
  <c r="BA74" i="1"/>
  <c r="BA76" i="1"/>
  <c r="BA75" i="1"/>
  <c r="BA78" i="1"/>
  <c r="BA79" i="1"/>
  <c r="BA80" i="1"/>
  <c r="BA81" i="1"/>
  <c r="BA82" i="1"/>
  <c r="BA83" i="1"/>
  <c r="BA89" i="1"/>
  <c r="BA90" i="1"/>
  <c r="BA91" i="1"/>
  <c r="BA92" i="1"/>
  <c r="BA94" i="1"/>
  <c r="BA95" i="1"/>
  <c r="BA96" i="1"/>
  <c r="BA98" i="1"/>
  <c r="BA99" i="1"/>
  <c r="BA100" i="1"/>
  <c r="BA102" i="1"/>
  <c r="BA103" i="1"/>
  <c r="BA104" i="1"/>
  <c r="BA105" i="1"/>
  <c r="BA108" i="1"/>
  <c r="BA109" i="1"/>
  <c r="BA110" i="1"/>
  <c r="BA111" i="1"/>
  <c r="BA112" i="1"/>
  <c r="BA114" i="1"/>
  <c r="BA116" i="1"/>
  <c r="BA117" i="1"/>
  <c r="BA120" i="1"/>
  <c r="BA121" i="1"/>
  <c r="BA123" i="1"/>
  <c r="BA124" i="1"/>
  <c r="BA125" i="1"/>
  <c r="BA127" i="1"/>
  <c r="BA128" i="1"/>
  <c r="BA129" i="1"/>
  <c r="BA130" i="1"/>
  <c r="BA131" i="1"/>
  <c r="BA132" i="1"/>
  <c r="BA133" i="1"/>
  <c r="BA134" i="1"/>
  <c r="BA135" i="1"/>
  <c r="BA136" i="1"/>
  <c r="BA137" i="1"/>
  <c r="BA138" i="1"/>
  <c r="BA139" i="1"/>
  <c r="BA140" i="1"/>
  <c r="BA142" i="1"/>
  <c r="BA143" i="1"/>
  <c r="BA144" i="1"/>
  <c r="BA145" i="1"/>
  <c r="BA146" i="1"/>
  <c r="BA147" i="1"/>
  <c r="BA148" i="1"/>
  <c r="BA149" i="1"/>
  <c r="BA150" i="1"/>
  <c r="BA151" i="1"/>
  <c r="BA152" i="1"/>
  <c r="BA153" i="1"/>
  <c r="BA154" i="1"/>
  <c r="BA155" i="1"/>
  <c r="BA156" i="1"/>
  <c r="BA157" i="1"/>
  <c r="BA158" i="1"/>
  <c r="BA159" i="1"/>
  <c r="BA160" i="1"/>
  <c r="BA161" i="1"/>
  <c r="BA6" i="1"/>
  <c r="BA7" i="1"/>
  <c r="BA8" i="1"/>
  <c r="BA9" i="1"/>
  <c r="BA10" i="1"/>
  <c r="BA43" i="1"/>
  <c r="BE75" i="1" l="1"/>
  <c r="BE78" i="1"/>
  <c r="AU71" i="1"/>
  <c r="AV71" i="1"/>
  <c r="AU72" i="1"/>
  <c r="AV72" i="1"/>
  <c r="AU74" i="1"/>
  <c r="AV74" i="1"/>
  <c r="AU76" i="1"/>
  <c r="AV76" i="1"/>
  <c r="AU75" i="1"/>
  <c r="AV75" i="1"/>
  <c r="D75" i="1"/>
  <c r="D78" i="1"/>
  <c r="D79" i="1"/>
  <c r="BE71" i="1" l="1"/>
  <c r="D70" i="1"/>
  <c r="D71" i="1"/>
  <c r="D72" i="1"/>
  <c r="D74" i="1"/>
  <c r="D76" i="1"/>
  <c r="AU63" i="1" l="1"/>
  <c r="AV63" i="1"/>
  <c r="AU64" i="1"/>
  <c r="AV64" i="1"/>
  <c r="AU66" i="1"/>
  <c r="AV66" i="1"/>
  <c r="AU67" i="1"/>
  <c r="AV67" i="1"/>
  <c r="AU68" i="1"/>
  <c r="AV68" i="1"/>
  <c r="AU69" i="1"/>
  <c r="AV69" i="1"/>
  <c r="AU70" i="1"/>
  <c r="AV70" i="1"/>
  <c r="AU78" i="1"/>
  <c r="AV78" i="1"/>
  <c r="AU79" i="1"/>
  <c r="AV79" i="1"/>
  <c r="AU80" i="1"/>
  <c r="AV80" i="1"/>
  <c r="AU81" i="1"/>
  <c r="AV81" i="1"/>
  <c r="AU82" i="1"/>
  <c r="AV82" i="1"/>
  <c r="AU83" i="1"/>
  <c r="AV83" i="1"/>
  <c r="AU34" i="1"/>
  <c r="AV34" i="1"/>
  <c r="AU89" i="1"/>
  <c r="AV89" i="1"/>
  <c r="AU90" i="1"/>
  <c r="AV90" i="1"/>
  <c r="AU91" i="1"/>
  <c r="AV91" i="1"/>
  <c r="AU92" i="1"/>
  <c r="AV92" i="1"/>
  <c r="AU12" i="1"/>
  <c r="AV12" i="1"/>
  <c r="AU94" i="1"/>
  <c r="AV94" i="1"/>
  <c r="AU95" i="1"/>
  <c r="AV95" i="1"/>
  <c r="AU96" i="1"/>
  <c r="AV96" i="1"/>
  <c r="AU98" i="1"/>
  <c r="AV98" i="1"/>
  <c r="AU99" i="1"/>
  <c r="AV99" i="1"/>
  <c r="AU100" i="1"/>
  <c r="AV100" i="1"/>
  <c r="AU102" i="1"/>
  <c r="AV102" i="1"/>
  <c r="AU17" i="1"/>
  <c r="AV17" i="1"/>
  <c r="AU103" i="1"/>
  <c r="AV103" i="1"/>
  <c r="AU16" i="1"/>
  <c r="AV16" i="1"/>
  <c r="AU104" i="1"/>
  <c r="AV104" i="1"/>
  <c r="AU105" i="1"/>
  <c r="AV105" i="1"/>
  <c r="AU20" i="1"/>
  <c r="AV20" i="1"/>
  <c r="AU19" i="1"/>
  <c r="AV19" i="1"/>
  <c r="AU21" i="1"/>
  <c r="AV21" i="1"/>
  <c r="AU108" i="1"/>
  <c r="AV108" i="1"/>
  <c r="AU109" i="1"/>
  <c r="AV109" i="1"/>
  <c r="AU110" i="1"/>
  <c r="AV110" i="1"/>
  <c r="AU111" i="1"/>
  <c r="AV111" i="1"/>
  <c r="AU24" i="1"/>
  <c r="AV24" i="1"/>
  <c r="AU112" i="1"/>
  <c r="AV112" i="1"/>
  <c r="AU25" i="1"/>
  <c r="AV25" i="1"/>
  <c r="AU114" i="1"/>
  <c r="AV114" i="1"/>
  <c r="AU27" i="1"/>
  <c r="AV27" i="1"/>
  <c r="AU116" i="1"/>
  <c r="AV116" i="1"/>
  <c r="AU26" i="1"/>
  <c r="AV26" i="1"/>
  <c r="AU117" i="1"/>
  <c r="AV117" i="1"/>
  <c r="AU28" i="1"/>
  <c r="AV28" i="1"/>
  <c r="AU120" i="1"/>
  <c r="AV120" i="1"/>
  <c r="AU121" i="1"/>
  <c r="AV121" i="1"/>
  <c r="AU123" i="1"/>
  <c r="AV123" i="1"/>
  <c r="AU124" i="1"/>
  <c r="AV124" i="1"/>
  <c r="AU125" i="1"/>
  <c r="AV125" i="1"/>
  <c r="AU127" i="1"/>
  <c r="AV127" i="1"/>
  <c r="AU128" i="1"/>
  <c r="AV128" i="1"/>
  <c r="AU129" i="1"/>
  <c r="AV129" i="1"/>
  <c r="AU130" i="1"/>
  <c r="AV130" i="1"/>
  <c r="AU131" i="1"/>
  <c r="AV131" i="1"/>
  <c r="AU132" i="1"/>
  <c r="AV132" i="1"/>
  <c r="AU133" i="1"/>
  <c r="AV133" i="1"/>
  <c r="AU134" i="1"/>
  <c r="AV134" i="1"/>
  <c r="AU135" i="1"/>
  <c r="AV135" i="1"/>
  <c r="AU136" i="1"/>
  <c r="AV136" i="1"/>
  <c r="AU137" i="1"/>
  <c r="AV137" i="1"/>
  <c r="AU138" i="1"/>
  <c r="AV138" i="1"/>
  <c r="AU139" i="1"/>
  <c r="AV139" i="1"/>
  <c r="AU140" i="1"/>
  <c r="AV140" i="1"/>
  <c r="AU142" i="1"/>
  <c r="AV142" i="1"/>
  <c r="AU143" i="1"/>
  <c r="AV143" i="1"/>
  <c r="AU144" i="1"/>
  <c r="AV144" i="1"/>
  <c r="AU145" i="1"/>
  <c r="AV145" i="1"/>
  <c r="AU146" i="1"/>
  <c r="AV146" i="1"/>
  <c r="AU147" i="1"/>
  <c r="AV147" i="1"/>
  <c r="AU148" i="1"/>
  <c r="AV148" i="1"/>
  <c r="AU149" i="1"/>
  <c r="AV149" i="1"/>
  <c r="AU150" i="1"/>
  <c r="AV150" i="1"/>
  <c r="AU151" i="1"/>
  <c r="AV151" i="1"/>
  <c r="AU152" i="1"/>
  <c r="AV152" i="1"/>
  <c r="AU153" i="1"/>
  <c r="AV153" i="1"/>
  <c r="AU154" i="1"/>
  <c r="AV154" i="1"/>
  <c r="AU155" i="1"/>
  <c r="AV155" i="1"/>
  <c r="AU156" i="1"/>
  <c r="AV156" i="1"/>
  <c r="AU157" i="1"/>
  <c r="AV157" i="1"/>
  <c r="AU158" i="1"/>
  <c r="AV158" i="1"/>
  <c r="AU159" i="1"/>
  <c r="AV159" i="1"/>
  <c r="AU160" i="1"/>
  <c r="AV160" i="1"/>
  <c r="AU161" i="1"/>
  <c r="AV161" i="1"/>
  <c r="AU6" i="1"/>
  <c r="AV6" i="1"/>
  <c r="AU7" i="1"/>
  <c r="AV7" i="1"/>
  <c r="AU8" i="1"/>
  <c r="AV8" i="1"/>
  <c r="AU9" i="1"/>
  <c r="AV9" i="1"/>
  <c r="AU10" i="1"/>
  <c r="AV10" i="1"/>
  <c r="AU46" i="1"/>
  <c r="AV46" i="1"/>
  <c r="AU49" i="1"/>
  <c r="AV49" i="1"/>
  <c r="AU53" i="1"/>
  <c r="AV53" i="1"/>
  <c r="AU54" i="1"/>
  <c r="AV54" i="1"/>
  <c r="AU55" i="1"/>
  <c r="AV55" i="1"/>
  <c r="AU56" i="1"/>
  <c r="AV56" i="1"/>
  <c r="AU57" i="1"/>
  <c r="AV57" i="1"/>
  <c r="AU58" i="1"/>
  <c r="AV58" i="1"/>
  <c r="AU59" i="1"/>
  <c r="AV59" i="1"/>
  <c r="AU61" i="1"/>
  <c r="AV61" i="1"/>
  <c r="AU62" i="1"/>
  <c r="AV62" i="1"/>
  <c r="AV43" i="1"/>
  <c r="AU43" i="1"/>
  <c r="D46" i="1"/>
  <c r="D49" i="1"/>
  <c r="D50" i="1"/>
  <c r="D52" i="1"/>
  <c r="D53" i="1"/>
  <c r="D54" i="1"/>
  <c r="D55" i="1"/>
  <c r="D56" i="1"/>
  <c r="D57" i="1"/>
  <c r="D58" i="1"/>
  <c r="D59" i="1"/>
  <c r="D61" i="1"/>
  <c r="D62" i="1"/>
  <c r="D63" i="1"/>
  <c r="D64" i="1"/>
  <c r="D66" i="1"/>
  <c r="D67" i="1"/>
  <c r="D68" i="1"/>
  <c r="D69" i="1"/>
  <c r="D80" i="1"/>
  <c r="D81" i="1"/>
  <c r="D82" i="1"/>
  <c r="D83" i="1"/>
  <c r="D34" i="1"/>
  <c r="D89" i="1"/>
  <c r="D90" i="1"/>
  <c r="D91" i="1"/>
  <c r="D92" i="1"/>
  <c r="D12" i="1"/>
  <c r="D94" i="1"/>
  <c r="D95" i="1"/>
  <c r="D96" i="1"/>
  <c r="D98" i="1"/>
  <c r="D99" i="1"/>
  <c r="D100" i="1"/>
  <c r="D102" i="1"/>
  <c r="D17" i="1"/>
  <c r="D103" i="1"/>
  <c r="D16" i="1"/>
  <c r="D104" i="1"/>
  <c r="D105" i="1"/>
  <c r="D20" i="1"/>
  <c r="D19" i="1"/>
  <c r="D21" i="1"/>
  <c r="D108" i="1"/>
  <c r="D109" i="1"/>
  <c r="D110" i="1"/>
  <c r="D111" i="1"/>
  <c r="D24" i="1"/>
  <c r="D112" i="1"/>
  <c r="D25" i="1"/>
  <c r="D114" i="1"/>
  <c r="D27" i="1"/>
  <c r="D116" i="1"/>
  <c r="D26" i="1"/>
  <c r="D117" i="1"/>
  <c r="D28" i="1"/>
  <c r="D120" i="1"/>
  <c r="D121" i="1"/>
  <c r="D123" i="1"/>
  <c r="D124" i="1"/>
  <c r="D125" i="1"/>
  <c r="D127" i="1"/>
  <c r="D128" i="1"/>
  <c r="D129" i="1"/>
  <c r="D130" i="1"/>
  <c r="D131" i="1"/>
  <c r="D132" i="1"/>
  <c r="D133" i="1"/>
  <c r="D134" i="1"/>
  <c r="D135" i="1"/>
  <c r="D136" i="1"/>
  <c r="D137" i="1"/>
  <c r="D138" i="1"/>
  <c r="D139" i="1"/>
  <c r="D140" i="1"/>
  <c r="D142" i="1"/>
  <c r="D143" i="1"/>
  <c r="D144" i="1"/>
  <c r="D145" i="1"/>
  <c r="D146" i="1"/>
  <c r="D147" i="1"/>
  <c r="D148" i="1"/>
  <c r="D149" i="1"/>
  <c r="D150" i="1"/>
  <c r="D151" i="1"/>
  <c r="D152" i="1"/>
  <c r="D153" i="1"/>
  <c r="D154" i="1"/>
  <c r="D155" i="1"/>
  <c r="D156" i="1"/>
  <c r="D157" i="1"/>
  <c r="D158" i="1"/>
  <c r="D159" i="1"/>
  <c r="D160" i="1"/>
  <c r="D161" i="1"/>
  <c r="D6" i="1"/>
  <c r="D7" i="1"/>
  <c r="D8" i="1"/>
  <c r="D9" i="1"/>
  <c r="D10" i="1"/>
  <c r="D43" i="1"/>
  <c r="BE43" i="1"/>
  <c r="BE140" i="1"/>
  <c r="B3" i="2" l="1"/>
  <c r="B4" i="2"/>
  <c r="B5" i="2"/>
  <c r="B6" i="2"/>
  <c r="B7" i="2" s="1"/>
  <c r="BE9" i="1" l="1"/>
  <c r="BE10" i="1" l="1"/>
  <c r="BE8" i="1"/>
  <c r="BE7" i="1" l="1"/>
  <c r="BE6" i="1"/>
  <c r="BE46" i="1"/>
  <c r="BE49" i="1"/>
  <c r="BE50" i="1"/>
  <c r="BE54" i="1"/>
  <c r="BE52" i="1"/>
  <c r="BE53" i="1"/>
  <c r="BE55" i="1"/>
  <c r="BE56" i="1"/>
  <c r="BE57" i="1"/>
  <c r="BE58" i="1"/>
  <c r="BE59" i="1"/>
  <c r="BE61" i="1"/>
  <c r="BE62" i="1"/>
  <c r="BE63" i="1"/>
  <c r="BE64" i="1"/>
  <c r="BE66" i="1"/>
  <c r="BE67" i="1"/>
  <c r="BE68" i="1"/>
  <c r="BE69" i="1"/>
  <c r="BE70" i="1"/>
  <c r="BE72" i="1"/>
  <c r="BE74" i="1"/>
  <c r="BE76" i="1"/>
  <c r="BE79" i="1"/>
  <c r="BE80" i="1"/>
  <c r="BE81" i="1"/>
  <c r="BE82" i="1"/>
  <c r="BE83" i="1"/>
  <c r="BE34" i="1"/>
  <c r="BE89" i="1"/>
  <c r="BE90" i="1"/>
  <c r="BE91" i="1"/>
  <c r="BE92" i="1"/>
  <c r="BE12" i="1"/>
  <c r="BE94" i="1"/>
  <c r="BE95" i="1"/>
  <c r="BE96" i="1"/>
  <c r="BE98" i="1"/>
  <c r="BE99" i="1"/>
  <c r="BE100" i="1"/>
  <c r="BE102" i="1"/>
  <c r="BE17" i="1"/>
  <c r="BE103" i="1"/>
  <c r="BE16" i="1"/>
  <c r="BE104" i="1"/>
  <c r="BE105" i="1"/>
  <c r="BE20" i="1"/>
  <c r="BE19" i="1"/>
  <c r="BE21" i="1"/>
  <c r="BE108" i="1"/>
  <c r="BE109" i="1"/>
  <c r="BE110" i="1"/>
  <c r="BE111" i="1"/>
  <c r="BE24" i="1"/>
  <c r="BE112" i="1"/>
  <c r="BE25" i="1"/>
  <c r="BE114" i="1"/>
  <c r="BE27" i="1"/>
  <c r="BE116" i="1"/>
  <c r="BE26" i="1"/>
  <c r="BE117" i="1"/>
  <c r="BE28" i="1"/>
  <c r="BE120" i="1"/>
  <c r="BE121" i="1"/>
  <c r="BE123" i="1"/>
  <c r="BE124" i="1"/>
  <c r="BE125" i="1"/>
  <c r="BE127" i="1"/>
  <c r="BE128" i="1"/>
  <c r="BE129" i="1"/>
  <c r="BE130" i="1"/>
  <c r="BE131" i="1"/>
  <c r="BE132" i="1"/>
  <c r="BE133" i="1"/>
  <c r="BE134" i="1"/>
  <c r="BE135" i="1"/>
  <c r="BE136" i="1"/>
  <c r="BE137" i="1"/>
  <c r="BE138" i="1"/>
  <c r="BE139" i="1"/>
  <c r="BE142" i="1"/>
  <c r="BE143" i="1"/>
  <c r="BE144" i="1"/>
  <c r="BE145" i="1"/>
  <c r="BE146" i="1"/>
  <c r="BE147" i="1"/>
  <c r="BE148" i="1"/>
  <c r="BE149" i="1"/>
  <c r="BE150" i="1"/>
  <c r="BE151" i="1"/>
  <c r="BE152" i="1"/>
  <c r="BE153" i="1"/>
  <c r="BE154" i="1"/>
  <c r="BE155" i="1"/>
  <c r="BE156" i="1"/>
  <c r="BE157" i="1"/>
  <c r="BE158" i="1"/>
  <c r="BE159" i="1"/>
  <c r="BE160" i="1"/>
  <c r="BE161" i="1"/>
</calcChain>
</file>

<file path=xl/sharedStrings.xml><?xml version="1.0" encoding="utf-8"?>
<sst xmlns="http://schemas.openxmlformats.org/spreadsheetml/2006/main" count="1800" uniqueCount="695">
  <si>
    <t>Leyland Badger</t>
  </si>
  <si>
    <t>Leyland Octopus</t>
  </si>
  <si>
    <t>Leyland Beaver</t>
  </si>
  <si>
    <t>Foden S21</t>
  </si>
  <si>
    <t>Foden S20</t>
  </si>
  <si>
    <t>AEC Mandator V8</t>
  </si>
  <si>
    <t>Leyland T45</t>
  </si>
  <si>
    <t>Cost normalising factor:</t>
  </si>
  <si>
    <t>Foden 5 ton steam wagon</t>
  </si>
  <si>
    <t>Type</t>
  </si>
  <si>
    <t>Vehicle Type</t>
  </si>
  <si>
    <t>Base ID</t>
  </si>
  <si>
    <t>Bus</t>
  </si>
  <si>
    <t>Heavy Goods</t>
  </si>
  <si>
    <t>Light Goods</t>
  </si>
  <si>
    <t>Foden Alpha</t>
  </si>
  <si>
    <t>Scania 3 Series</t>
  </si>
  <si>
    <t>Scania 4 Series</t>
  </si>
  <si>
    <t>Scania R Series</t>
  </si>
  <si>
    <t>Guy Big J4T</t>
  </si>
  <si>
    <t>Guy Big J6</t>
  </si>
  <si>
    <t>170hp</t>
  </si>
  <si>
    <t>Leyland X Type</t>
  </si>
  <si>
    <t>Stagecoach</t>
  </si>
  <si>
    <t>LGOC B-Type</t>
  </si>
  <si>
    <t>Bedford VAL</t>
  </si>
  <si>
    <t>AEC Regent I</t>
  </si>
  <si>
    <t>AEC Regent II</t>
  </si>
  <si>
    <t>AEC Routemaster</t>
  </si>
  <si>
    <t>BMMO CM5T</t>
  </si>
  <si>
    <t>ERF C-Series</t>
  </si>
  <si>
    <t>ERF E-Series</t>
  </si>
  <si>
    <t>Leyland Olympian</t>
  </si>
  <si>
    <t>Dennis Enviro400</t>
  </si>
  <si>
    <t>Volvo B10M</t>
  </si>
  <si>
    <t>Volvo B12M</t>
  </si>
  <si>
    <t>Hancock Enterprise</t>
  </si>
  <si>
    <t>Ford Transit Mk1</t>
  </si>
  <si>
    <t>Ford Transit Mk3</t>
  </si>
  <si>
    <t>Leyland Steam Van</t>
  </si>
  <si>
    <t>Bedford Rascal</t>
  </si>
  <si>
    <t>Ford Transit Custom</t>
  </si>
  <si>
    <t>Mercedes-Benz Sprinter</t>
  </si>
  <si>
    <t>Northern General SE6</t>
  </si>
  <si>
    <t>Leyland Tiger TS</t>
  </si>
  <si>
    <t>Leyland National</t>
  </si>
  <si>
    <t>Dennis Dart</t>
  </si>
  <si>
    <t>Sentinel Steam Bus</t>
  </si>
  <si>
    <t>Car</t>
  </si>
  <si>
    <t>Austin FX4</t>
  </si>
  <si>
    <t>LTI TX1</t>
  </si>
  <si>
    <t>Ford Cortina</t>
  </si>
  <si>
    <t>Vauxhall Omega</t>
  </si>
  <si>
    <t>Toyota Prius</t>
  </si>
  <si>
    <t>Volvo S40 T5</t>
  </si>
  <si>
    <t>68hp</t>
  </si>
  <si>
    <t>88hp</t>
  </si>
  <si>
    <t>Ford Model T</t>
  </si>
  <si>
    <t>Mercedes-Benz Citaro</t>
  </si>
  <si>
    <t>Leyland Leopard</t>
  </si>
  <si>
    <t>Sentinel DG4</t>
  </si>
  <si>
    <t>AEC Mammoth Major 8</t>
  </si>
  <si>
    <t>Commer FC</t>
  </si>
  <si>
    <t>Austin 10hp</t>
  </si>
  <si>
    <t>Optare Solo</t>
  </si>
  <si>
    <t>Optare Solo SR</t>
  </si>
  <si>
    <t>Wrightbus New Routemaster</t>
  </si>
  <si>
    <t>Length Scale</t>
  </si>
  <si>
    <t>Height Scale</t>
  </si>
  <si>
    <t>Width Scale</t>
  </si>
  <si>
    <t>Scammell 7.5 Ton</t>
  </si>
  <si>
    <t>Leyland Sherpa</t>
  </si>
  <si>
    <t>Scammell Scarab</t>
  </si>
  <si>
    <t>Ford Cargo</t>
  </si>
  <si>
    <t>Bedford TK</t>
  </si>
  <si>
    <t>Ford D Series</t>
  </si>
  <si>
    <t>Iveco Eurocargo</t>
  </si>
  <si>
    <t>Mitsubishi Fuso Canter</t>
  </si>
  <si>
    <t>175hp</t>
  </si>
  <si>
    <t>90hp</t>
  </si>
  <si>
    <t>82hp</t>
  </si>
  <si>
    <t>72hp</t>
  </si>
  <si>
    <t>105hp</t>
  </si>
  <si>
    <t>Saviem SM</t>
  </si>
  <si>
    <t>Renault Magnum</t>
  </si>
  <si>
    <t>Bristol LS</t>
  </si>
  <si>
    <t>Bristol Lodekka</t>
  </si>
  <si>
    <t>120hp</t>
  </si>
  <si>
    <t>Mercedes LK</t>
  </si>
  <si>
    <t>136hp</t>
  </si>
  <si>
    <t>DAF LF</t>
  </si>
  <si>
    <t>207hp</t>
  </si>
  <si>
    <t>Bristol L</t>
  </si>
  <si>
    <t>AEC S-Type</t>
  </si>
  <si>
    <t>MCW Metrobus</t>
  </si>
  <si>
    <t>Volvo F10</t>
  </si>
  <si>
    <t>280hp</t>
  </si>
  <si>
    <t>Renault Agora</t>
  </si>
  <si>
    <t>249hp</t>
  </si>
  <si>
    <t>Ford Transit Mk3 Minibus</t>
  </si>
  <si>
    <t>Renault Trafic Minibus</t>
  </si>
  <si>
    <t>Dennis Ace</t>
  </si>
  <si>
    <t>Volvo FM9</t>
  </si>
  <si>
    <t>380hp</t>
  </si>
  <si>
    <t>Tram</t>
  </si>
  <si>
    <t>Horse-Drawn Tram</t>
  </si>
  <si>
    <t>Grantham's Steam Tram</t>
  </si>
  <si>
    <t>Coronation Tram</t>
  </si>
  <si>
    <t>Conduit Car</t>
  </si>
  <si>
    <t>Marton Box Car</t>
  </si>
  <si>
    <t>Standard Car</t>
  </si>
  <si>
    <t>Fleetwood Box Car</t>
  </si>
  <si>
    <t>Jubilee Tram</t>
  </si>
  <si>
    <t>Centenary Tram</t>
  </si>
  <si>
    <t>LHB P86 Stock</t>
  </si>
  <si>
    <t>Bombardier B07 Stock</t>
  </si>
  <si>
    <t>MER Tunnel Car</t>
  </si>
  <si>
    <t>MER Winter Saloon</t>
  </si>
  <si>
    <t>80hp</t>
  </si>
  <si>
    <t>UEC Blackpool "Toastrack"</t>
  </si>
  <si>
    <t>English Electric Balloon</t>
  </si>
  <si>
    <t>114hp</t>
  </si>
  <si>
    <t>56+66 pax, 114hp</t>
  </si>
  <si>
    <t>180hp</t>
  </si>
  <si>
    <t>10hp</t>
  </si>
  <si>
    <t>60hp</t>
  </si>
  <si>
    <t>Bombardier CR4000</t>
  </si>
  <si>
    <t>480hp</t>
  </si>
  <si>
    <t>375hp, 2 car</t>
  </si>
  <si>
    <t>375hp, 3 car</t>
  </si>
  <si>
    <t>50hp</t>
  </si>
  <si>
    <t>GF Milne Tram</t>
  </si>
  <si>
    <t>Progress Twin Car</t>
  </si>
  <si>
    <t>Vossloh Class 399</t>
  </si>
  <si>
    <t>1180hp</t>
  </si>
  <si>
    <t>Flexity 2</t>
  </si>
  <si>
    <t>640hp, 5 car</t>
  </si>
  <si>
    <t>Cargo Tram</t>
  </si>
  <si>
    <t>J70 0-6-0</t>
  </si>
  <si>
    <t>Y6 0-4-0</t>
  </si>
  <si>
    <t>Y10 "Super Sentinel"</t>
  </si>
  <si>
    <t>Drewry Shunter</t>
  </si>
  <si>
    <t>FC Hibberd Planet</t>
  </si>
  <si>
    <t>name</t>
  </si>
  <si>
    <t>id</t>
  </si>
  <si>
    <t>template</t>
  </si>
  <si>
    <t>numeric_id</t>
  </si>
  <si>
    <t>intro_year</t>
  </si>
  <si>
    <t>year_order</t>
  </si>
  <si>
    <t>top_speed</t>
  </si>
  <si>
    <t>capacity</t>
  </si>
  <si>
    <t>vehicle_life</t>
  </si>
  <si>
    <t>power</t>
  </si>
  <si>
    <t>cost</t>
  </si>
  <si>
    <t>running_cost</t>
  </si>
  <si>
    <t>length</t>
  </si>
  <si>
    <t>width</t>
  </si>
  <si>
    <t>height</t>
  </si>
  <si>
    <t>voxel_size</t>
  </si>
  <si>
    <t>notes</t>
  </si>
  <si>
    <t>stagecoach</t>
  </si>
  <si>
    <t>aec_regent_2</t>
  </si>
  <si>
    <t>aec_regent_1</t>
  </si>
  <si>
    <t>hancock_enterprise</t>
  </si>
  <si>
    <t>lgoc_b_type</t>
  </si>
  <si>
    <t>aec_s_type</t>
  </si>
  <si>
    <t>sentinel_steam_bus</t>
  </si>
  <si>
    <t>leyland_tiger_ts</t>
  </si>
  <si>
    <t>northern_general_se6</t>
  </si>
  <si>
    <t>dennis_ace</t>
  </si>
  <si>
    <t>bristol_l</t>
  </si>
  <si>
    <t>bristol_lodekka</t>
  </si>
  <si>
    <t>bristol_ls</t>
  </si>
  <si>
    <t>aec_routemaster</t>
  </si>
  <si>
    <t>bmmo_cm5t</t>
  </si>
  <si>
    <t>leyland_leopard</t>
  </si>
  <si>
    <t>bedford_val</t>
  </si>
  <si>
    <t>leyland_national</t>
  </si>
  <si>
    <t>mcw_metrobus</t>
  </si>
  <si>
    <t>volvo_b10m</t>
  </si>
  <si>
    <t>leyland_olympian</t>
  </si>
  <si>
    <t>dennis_dart</t>
  </si>
  <si>
    <t>renault_agora</t>
  </si>
  <si>
    <t>optare_solo</t>
  </si>
  <si>
    <t>mercedes_citaro</t>
  </si>
  <si>
    <t>dennis_enviro_400</t>
  </si>
  <si>
    <t>wright_pulsar</t>
  </si>
  <si>
    <t>wright_nb4l</t>
  </si>
  <si>
    <t>optare_solo_sr</t>
  </si>
  <si>
    <t>mammoth_major_8</t>
  </si>
  <si>
    <t>aec_mandator</t>
  </si>
  <si>
    <t>bedford_tk</t>
  </si>
  <si>
    <t>daf_lf</t>
  </si>
  <si>
    <t>dray</t>
  </si>
  <si>
    <t>erf_c_series</t>
  </si>
  <si>
    <t>erf_e_series</t>
  </si>
  <si>
    <t>foden_5t</t>
  </si>
  <si>
    <t>foden_alpha</t>
  </si>
  <si>
    <t>foden_s20</t>
  </si>
  <si>
    <t>foden_s21</t>
  </si>
  <si>
    <t>ford_cargo</t>
  </si>
  <si>
    <t>ford_cortina</t>
  </si>
  <si>
    <t>horse_tram</t>
  </si>
  <si>
    <t>horse_wagons</t>
  </si>
  <si>
    <t>iveco_eurocargo</t>
  </si>
  <si>
    <t>jubilee_tram</t>
  </si>
  <si>
    <t>leyland_badger</t>
  </si>
  <si>
    <t>leyland_beaver</t>
  </si>
  <si>
    <t>leyland_octopus</t>
  </si>
  <si>
    <t>leyland_sherpa</t>
  </si>
  <si>
    <t>leyland_t45</t>
  </si>
  <si>
    <t>lti_tx1</t>
  </si>
  <si>
    <t>mercedes_lk</t>
  </si>
  <si>
    <t>mercedes_sprinter</t>
  </si>
  <si>
    <t>mitsubishi_canter</t>
  </si>
  <si>
    <t>renault_magnum</t>
  </si>
  <si>
    <t>saviem_sm</t>
  </si>
  <si>
    <t>scammell_scarab</t>
  </si>
  <si>
    <t>sentinel_dg4</t>
  </si>
  <si>
    <t>standard_car</t>
  </si>
  <si>
    <t>toyota_prius</t>
  </si>
  <si>
    <t>vauxhall_omega</t>
  </si>
  <si>
    <t>volvo_f10</t>
  </si>
  <si>
    <t>volvo_fm9</t>
  </si>
  <si>
    <t>ford_d_series</t>
  </si>
  <si>
    <t>guy_big_j4</t>
  </si>
  <si>
    <t>guy_big_j6</t>
  </si>
  <si>
    <t>leyland_steam_van</t>
  </si>
  <si>
    <t>leyland_x_type</t>
  </si>
  <si>
    <t>scammell_75_ton</t>
  </si>
  <si>
    <t>scania_3_series</t>
  </si>
  <si>
    <t>scania_4_series</t>
  </si>
  <si>
    <t>scania_r_series</t>
  </si>
  <si>
    <t>thornycroft_type_j</t>
  </si>
  <si>
    <t>Thornycroft Type J</t>
  </si>
  <si>
    <t>drewry_shunter</t>
  </si>
  <si>
    <t>fc_hibberd_planet</t>
  </si>
  <si>
    <t>j70</t>
  </si>
  <si>
    <t>y10</t>
  </si>
  <si>
    <t>y6</t>
  </si>
  <si>
    <t>balloon_tram</t>
  </si>
  <si>
    <t>bombardier_cr4000</t>
  </si>
  <si>
    <t>centenary_tram</t>
  </si>
  <si>
    <t>conduit_car</t>
  </si>
  <si>
    <t>coronation_tram</t>
  </si>
  <si>
    <t>dlr_b07</t>
  </si>
  <si>
    <t>dlr_p86</t>
  </si>
  <si>
    <t>fleetwood_box_car</t>
  </si>
  <si>
    <t>flexity_2</t>
  </si>
  <si>
    <t>gf_milne_tram</t>
  </si>
  <si>
    <t>grantham_steam_tram</t>
  </si>
  <si>
    <t>marton_box_car</t>
  </si>
  <si>
    <t>mer_tunnel_car</t>
  </si>
  <si>
    <t>mer_winter_saloon</t>
  </si>
  <si>
    <t>progress_twin_car</t>
  </si>
  <si>
    <t>uec_toastrack</t>
  </si>
  <si>
    <t>vossloh_class_399</t>
  </si>
  <si>
    <t>austin_10hp</t>
  </si>
  <si>
    <t>austin_fx4</t>
  </si>
  <si>
    <t>bedford_rascal</t>
  </si>
  <si>
    <t>BMW 335d Touring</t>
  </si>
  <si>
    <t>commer_fc</t>
  </si>
  <si>
    <t>ford_model_t</t>
  </si>
  <si>
    <t>ford_thames_400e</t>
  </si>
  <si>
    <t>Ford Thames 400E</t>
  </si>
  <si>
    <t>ford_transit_custom</t>
  </si>
  <si>
    <t>ford_transit_mk1</t>
  </si>
  <si>
    <t>ford_transit_mk3</t>
  </si>
  <si>
    <t>ford_transit_mk3_minibus</t>
  </si>
  <si>
    <t>renault_trafic_minibus</t>
  </si>
  <si>
    <t>volvo_s40</t>
  </si>
  <si>
    <t>text</t>
  </si>
  <si>
    <t>Stagecoaches were designed to swap horses regularly for faster journeys.</t>
  </si>
  <si>
    <t>Walter Hancock's steam buses were the first successful self-propelled road vehicles.</t>
  </si>
  <si>
    <t>The B-type was built in Walthamstow, London and gained electric lighting from 1912</t>
  </si>
  <si>
    <t>volvo_b12m</t>
  </si>
  <si>
    <t>horses</t>
  </si>
  <si>
    <t>intro_month</t>
  </si>
  <si>
    <t>model_life</t>
  </si>
  <si>
    <t>loading_speed</t>
  </si>
  <si>
    <t>weight</t>
  </si>
  <si>
    <t>running_cost_bias</t>
  </si>
  <si>
    <t>kmish_speed</t>
  </si>
  <si>
    <t>articulated_units</t>
  </si>
  <si>
    <t>capacity_per_unit</t>
  </si>
  <si>
    <t>bus</t>
  </si>
  <si>
    <t>engine</t>
  </si>
  <si>
    <t>horse</t>
  </si>
  <si>
    <t>steam</t>
  </si>
  <si>
    <t>diesel</t>
  </si>
  <si>
    <t>The AEC S-type was an evolution of the K-type chassis which placed the driver alongside the engine for a shorter overall length.</t>
  </si>
  <si>
    <t>open_bus</t>
  </si>
  <si>
    <t>The Bristol Lodekka was designed for routes with low bridges, being shorter than a standard double-decker body.</t>
  </si>
  <si>
    <t>The Bristol LS was one of the first successful buses with an underfloor engine, and featured unitary construction rather than a separate body and chassis.</t>
  </si>
  <si>
    <t>reliability</t>
  </si>
  <si>
    <t>powerful</t>
  </si>
  <si>
    <t>The "Midland Red" motorway services featured this turbocharged coach, capable of high speeds in the era before motorway speed limits.</t>
  </si>
  <si>
    <t>limiter_speed</t>
  </si>
  <si>
    <t>kmish_limiter_speed</t>
  </si>
  <si>
    <t>coach</t>
  </si>
  <si>
    <t>The Leyland Leopard was common throughout the UK, with some examples still in commercial use in the early 2000s.</t>
  </si>
  <si>
    <t>The Bedford VAL had a distinguished film career, featuring prominently in The Italian Job with Harrington Legionnaire coachwork and in Magical Mystery Tour with a Plaxton Panorama body.</t>
  </si>
  <si>
    <t>The Leyland National was designed to be simple and easy to service. Many operators extended the life of their Nationals by fitting newer engine models.</t>
  </si>
  <si>
    <t>The MCW Metrobus was built by Metro Cammell Weymann and saw use mainly in urban areas.</t>
  </si>
  <si>
    <t>The Volvo B10M sold very well in the UK and was used widely by charter coach companies.</t>
  </si>
  <si>
    <t>The Routemaster is the quintessential London bus, with an long service life including use on dedicated heritage routes even after most were withdrawn.</t>
  </si>
  <si>
    <t>AEC restarted post-war bus production with the Regent II, a minor update of the Regent I chassis.</t>
  </si>
  <si>
    <t>The Bristol L was a single decker bus with art deco interior styling.</t>
  </si>
  <si>
    <t>The Dennis Ace was a smaller bus based on a small lorry chassis.</t>
  </si>
  <si>
    <t>The SE6 used a side-mounted engine to give more passenger space, and pioneered many features used in modern single-decker buses.</t>
  </si>
  <si>
    <t>Several buses were built on Sentinel steam lorry chassis.</t>
  </si>
  <si>
    <t>The Tilling-bodied AEC Regent has a covered upper deck for passenger comfort in all weather.</t>
  </si>
  <si>
    <t>The Leyland Tiger coach featured a powerful 6-cylinder petrol engine.</t>
  </si>
  <si>
    <t>The Olympian was the last bus to be manufactured under the Leyland name.</t>
  </si>
  <si>
    <t>The Dennis Dart was a small single decker bus produced with several body variants and a low-floor version called Dart SLF</t>
  </si>
  <si>
    <t>The Renault (later Irisbus) Agora is a low floor bus used across Europe, with 23 Optare-bodied models used for the Norwich park and ride service.</t>
  </si>
  <si>
    <t>The Solo, named for its low floor, is a unitary construction bus with an unsual front axle layout</t>
  </si>
  <si>
    <t>The Solo SR is an updated version of the Solo with reduced weight and better fuel economy</t>
  </si>
  <si>
    <t>The B12M is an updated version of the Volvo B10M</t>
  </si>
  <si>
    <t>The Dennis Enviro400 is an updated version of the earlier Dennis Trident that is widely used across the UK for both city and rural services.</t>
  </si>
  <si>
    <t>Wrightbus Pulsar (Hydrogen)</t>
  </si>
  <si>
    <t>hydrogen</t>
  </si>
  <si>
    <t>This unusual hydrogen-powered bus, based on a VDL SB200 chassis, was used in London for the RV1 tourist route</t>
  </si>
  <si>
    <t>Despite early teething problems with air conditioning and increased fare evasion due to the open rear platform, the "new bus for London" saw wide usage across the capital.</t>
  </si>
  <si>
    <t>articulated_bus</t>
  </si>
  <si>
    <t>Although criticised for its length in inner cities and early problems with reliability, the Citaro "bendy bus" offers fast loading speeds on busy routes.</t>
  </si>
  <si>
    <t>smoke_location</t>
  </si>
  <si>
    <t>lorry</t>
  </si>
  <si>
    <t>The Ford D Series was built to compete with the Bedford TK and introduced a new range of diesel engines</t>
  </si>
  <si>
    <t>The Leyland Steam van was the first vehicle produced by Leyland. It only offered a small advantage over its horse-drawn counterparts.</t>
  </si>
  <si>
    <t>has_flatbed</t>
  </si>
  <si>
    <t>yes</t>
  </si>
  <si>
    <t>The Foden 5 ton wagon was an example of an "overtype" steam lorry in which the engine was mounted above the boiler.</t>
  </si>
  <si>
    <t>The Leyland X Type used a large petrol engine for its motive power</t>
  </si>
  <si>
    <t>Steam lorries were popular into the 1930s due to their high power and speed compared to early internal combustion engines.</t>
  </si>
  <si>
    <t>The Mammoth was AEC's heaviest model and could carry large loads.</t>
  </si>
  <si>
    <t>The Leyland Badger was typical of Leyland's petrol-powered trucks from the 1930s. They could be converted to 6x4 chassis to improve drivability on rough roads.</t>
  </si>
  <si>
    <t>Eight wheeled "octopus" lorries could carry heavy loads while still keeping relatively low axle weights to reduce road damage.</t>
  </si>
  <si>
    <t>The S20's cab used a traditional construction of both wood and metal, despite the streamlined appearance.</t>
  </si>
  <si>
    <t>The Bedford TK was a versatile small lorry that was adapted to many derivatives, including a telephone pole installation vehicle and the four-wheel-drive military Bedford MK</t>
  </si>
  <si>
    <t>The Foden S21 featured a futuristic cab design and a two-stroke diesel engine.</t>
  </si>
  <si>
    <t>Designed for motorway operation, the Guy Big J featured a high-revving Cummins engine. This is the rigid version.</t>
  </si>
  <si>
    <t>Designed for motorway operation, the Guy Big J featured a high-revving Cummins engine. This is the articulated version.</t>
  </si>
  <si>
    <t>has_covered_goods</t>
  </si>
  <si>
    <t>The Saviem SM Europe was the result of a collaboration between Saviem and MAN, where Saviem supplied cabs and MAN provided engines. Although more common in France a few were used in the UK.</t>
  </si>
  <si>
    <t>Drays were sturdy, low-sided wagons used for transporting heavy cargo. Some breweries still use horse-drawn drays to deliver beer locally.</t>
  </si>
  <si>
    <t>has_piece_goods_tanker</t>
  </si>
  <si>
    <t>Horse-Drawn Dray</t>
  </si>
  <si>
    <t>articulated_lorry</t>
  </si>
  <si>
    <t>trailer</t>
  </si>
  <si>
    <t>prewar_trailer</t>
  </si>
  <si>
    <t>Prewar Trailer</t>
  </si>
  <si>
    <t>t45_trailer</t>
  </si>
  <si>
    <t>modern_trailer</t>
  </si>
  <si>
    <t>1970s Trailer</t>
  </si>
  <si>
    <t>Modern Trailer</t>
  </si>
  <si>
    <t>clean</t>
  </si>
  <si>
    <t>petrol</t>
  </si>
  <si>
    <t>t5</t>
  </si>
  <si>
    <t>35d</t>
  </si>
  <si>
    <t>van</t>
  </si>
  <si>
    <t>taxi</t>
  </si>
  <si>
    <t>custom_cargo_aging</t>
  </si>
  <si>
    <t>bmw_f31</t>
  </si>
  <si>
    <t>is_tram</t>
  </si>
  <si>
    <t>electric</t>
  </si>
  <si>
    <t>horse_type</t>
  </si>
  <si>
    <t>has_alternate_livery</t>
  </si>
  <si>
    <t>special/bmw</t>
  </si>
  <si>
    <t>articulated_capacities</t>
  </si>
  <si>
    <t>80,60</t>
  </si>
  <si>
    <t>articulated_configuration</t>
  </si>
  <si>
    <t>front,rear</t>
  </si>
  <si>
    <t>6,4</t>
  </si>
  <si>
    <t>56,66</t>
  </si>
  <si>
    <t>8,8</t>
  </si>
  <si>
    <t>72,72,72,72</t>
  </si>
  <si>
    <t>front,rear,front,rear</t>
  </si>
  <si>
    <t>8,8,8,8</t>
  </si>
  <si>
    <t>articulated_graphics</t>
  </si>
  <si>
    <t>1,1</t>
  </si>
  <si>
    <t>76,76,76,76,76,76</t>
  </si>
  <si>
    <t>front,rear,front,rear,front,rear</t>
  </si>
  <si>
    <t>8,8,8,8,8,8</t>
  </si>
  <si>
    <t>front,mid_1,mid_2,rear</t>
  </si>
  <si>
    <t>44,50,32,50,44</t>
  </si>
  <si>
    <t>front,mid_1,mid_2,mid_1,rear</t>
  </si>
  <si>
    <t>6,5,4,5,6</t>
  </si>
  <si>
    <t>front,mid,rear</t>
  </si>
  <si>
    <t>75,87,75</t>
  </si>
  <si>
    <t>8,8,8</t>
  </si>
  <si>
    <t>tram_trailer</t>
  </si>
  <si>
    <t>has_alternate_goods</t>
  </si>
  <si>
    <t>Tram Trailer</t>
  </si>
  <si>
    <t>capacity_per_trailer</t>
  </si>
  <si>
    <t>1,2,3,4,5,6</t>
  </si>
  <si>
    <t>1,2,3,4</t>
  </si>
  <si>
    <t>articulated_visual_effects</t>
  </si>
  <si>
    <t>,1</t>
  </si>
  <si>
    <t>1,</t>
  </si>
  <si>
    <t>1,,1,,1,</t>
  </si>
  <si>
    <t>,,1,,</t>
  </si>
  <si>
    <t>,1,</t>
  </si>
  <si>
    <t>1,2</t>
  </si>
  <si>
    <t>4,5,5,5,5,5</t>
  </si>
  <si>
    <t>1,11</t>
  </si>
  <si>
    <t>horses,</t>
  </si>
  <si>
    <t>4,8</t>
  </si>
  <si>
    <t>1,2,3</t>
  </si>
  <si>
    <t>Dray Trailer</t>
  </si>
  <si>
    <t>dray_trailer</t>
  </si>
  <si>
    <t>The GF Milne "Car No. 1" holds the Guinness World Record for oldest tram still operating on its original line.</t>
  </si>
  <si>
    <t>The Tunnel Cars were named after their long interiors, originally fitted with longitudinal seating.</t>
  </si>
  <si>
    <t>Despite the name, enclosed winter saloon trams were often operated year-round.</t>
  </si>
  <si>
    <t>Fleetwood box cars operated between Blackpool and Fleetwood in the early 20th century.</t>
  </si>
  <si>
    <t>Toastrack trams were very popular with tourists during summer months.</t>
  </si>
  <si>
    <t>The "Balloon" tram was so named due to its bulbous streamlined shape.</t>
  </si>
  <si>
    <t>Although technically advanced, the Coronation tram had high power requirements and poor reliability.</t>
  </si>
  <si>
    <t>The Progress Twin Cars were rebuilt from earlier Blackpool trams.</t>
  </si>
  <si>
    <t>The Jubilee trams were extended and rebodied Balloon trams.</t>
  </si>
  <si>
    <t>Centenary trams used large numbers of bus parts.</t>
  </si>
  <si>
    <t>The CR4000 was the first tram to run in London since the end of the original system in 1952.</t>
  </si>
  <si>
    <t>The Flexity 2 is a modern low-floor tram with a large capacity and multiple doors for fast loading.</t>
  </si>
  <si>
    <t>John Grantham's steam tramcar was an early attempt to replace horse-drawn trams.</t>
  </si>
  <si>
    <t>The P86 stock was used both on London's DLR system as a light rail vehicle and in the German city of Essen as a tram.</t>
  </si>
  <si>
    <t>The Vossloh Class 399 is a powerful and advanced tram/train hybrid vehicle.</t>
  </si>
  <si>
    <t>B07 stock was the first type to operate as a 3-car train on London's DLR.</t>
  </si>
  <si>
    <t>The Y6 steam tram was designed for running on public roads.</t>
  </si>
  <si>
    <t>The J70 steam tram was a more powerful version of the Y6 designed to handle more cargo.</t>
  </si>
  <si>
    <t>This Sentinel tram engine had two engines and a two-speed gearbox.</t>
  </si>
  <si>
    <t>Diesel shunters with special tramway adaptations were used to replace steam trams in East Anglia.</t>
  </si>
  <si>
    <t>FC Hibberd built many different types of locomotive under the "Planet" nameplate, often using a Dorman engine.</t>
  </si>
  <si>
    <t>Horse drawn cargo tramway systems were the precursor to modern railways.</t>
  </si>
  <si>
    <t>Standard trams were an attempt to replace the many different varieties of tram operating on Blackpool's tramways with a standardised model.</t>
  </si>
  <si>
    <t>The Marton box cars, named for their sharp edges, had narrow entrances and were unpopular with passengers.</t>
  </si>
  <si>
    <t>Conduit trams drew their power from a conduit running in the ground. This system was widely used on early London tramways.</t>
  </si>
  <si>
    <t>With the low friction of steel rails, horses could draw many more passengers on level ground when attached to a tram.</t>
  </si>
  <si>
    <t>The Scarab was traditionally used to transport goods and mail from stations to nearby towns.</t>
  </si>
  <si>
    <t>special/scarab</t>
  </si>
  <si>
    <t>2,6</t>
  </si>
  <si>
    <t>Scarab Trailer</t>
  </si>
  <si>
    <t>special/scarab_trailer</t>
  </si>
  <si>
    <t>scammell_scarab_trailer</t>
  </si>
  <si>
    <t>The Renault Trafic is popular as a minibus, and is used for everything from schools to ski transfers.</t>
  </si>
  <si>
    <t>The hybrid Prius can operate on battery power alone at lower speeds, making it a popular minicab in tows and cities.</t>
  </si>
  <si>
    <t>The Volvo S40 T5 featured the same five-cylinder engine as the Focus ST in a comfortable saloon car.</t>
  </si>
  <si>
    <t>The 335d Touring offers more than 300bhp from a 3-litre twin turbo diesel engine, giving 0-60 in under five seconds.</t>
  </si>
  <si>
    <t>The TX1 was the first truly successful attempt to replace the venerable Austin FX4.</t>
  </si>
  <si>
    <t>The Vauxhall Omega was the last of the large rear-wheel-drive saloons from a mainstream manufacturer, with higher specification models featuring a V6 petrol engine.</t>
  </si>
  <si>
    <t>The Mk3 Transit introduced a new aerodynamic body shell to the model.</t>
  </si>
  <si>
    <t>The Cortina consistently topped best selling lists throughout its life. The squared-off Mk4 was introduced in 1976.</t>
  </si>
  <si>
    <t>The Leyland Sherpa saw use across the UK with many government agencies. It also had a cameo in the James Bond film 'The Spy Who Loved Me', being torn apart by Jaws</t>
  </si>
  <si>
    <t>The Austin FX4 is the definitive London taxi, with modern models still imitating its classic shape.</t>
  </si>
  <si>
    <t>The Transit Custom continues the long Transit line with a modern van.</t>
  </si>
  <si>
    <t>The Sprinter is famed in the van world for its powerful engine options and high top speed.</t>
  </si>
  <si>
    <t>The Bedford Rascal (also Suzuki Carry) was a tiny van for economical local deliveries, with a 970cc engine.</t>
  </si>
  <si>
    <t>The Mk3 Transit introduced a new aerodynamic body shell to the model. It was often sold in minibus form.</t>
  </si>
  <si>
    <t>The Transit was a huge leap on from the narrow-tracked delivery vans it replaced, with a stable chassis and performance suitable for the expanding network of motorways.</t>
  </si>
  <si>
    <t>The Ford Thames was designed to bring Ford's van offering up to the standards of its more modern competitors.</t>
  </si>
  <si>
    <t>The Austin 10hp was a van derived from the car of the same name.</t>
  </si>
  <si>
    <t>The Ford Model T was produced in many forms over its long life, with delivery vans being a common option.</t>
  </si>
  <si>
    <t>The Volvo FM range is part of Volvo's strategy to build a global family of trucks.</t>
  </si>
  <si>
    <t>Although earlier generations were not commonly seen in the UK, the 2004 model has been popular with many firms.</t>
  </si>
  <si>
    <t>The Scania R series continues Scania's truck line, with the option of powerful V8s.</t>
  </si>
  <si>
    <t>The DAF LF is a development of the earlier Leyland Roadrunner, and is available with many powertrain options including a hybrid.</t>
  </si>
  <si>
    <t>The Renault Magnum has aerodynamic design ideas from Renault prototypes to reduce fuel consumption.</t>
  </si>
  <si>
    <t>The Alpha was the last truck to bear the Foden nameplate.</t>
  </si>
  <si>
    <t>The Scania 3 series has an excellent reputation for reliability and was well-regarded in its era.</t>
  </si>
  <si>
    <t>The Scania 4 series modernised the 3 series design, and could be configured with powerful V8 engines.</t>
  </si>
  <si>
    <t>The Iveco Eurocargo is a medium duty lorry useful for routes with lower cargo demands.</t>
  </si>
  <si>
    <t>The E-series sold widely in the UK, and Cummins-engined models had a distinctive exhaust note.</t>
  </si>
  <si>
    <t>The Mercedes LK featured angular lines and a tilting cab.</t>
  </si>
  <si>
    <t>The ERF C-series introduced an improved cab design and several chassis improvements.</t>
  </si>
  <si>
    <t>The Leyland Beaver was one of many trucks fitted with the "Ergomatic" cab design, designed for efficient use of space and driver comfort.</t>
  </si>
  <si>
    <t>The AEC Mandator V8 had a powerful engine for its day, and drivers would often claim high speeds even with a fully loaded lorry.</t>
  </si>
  <si>
    <t>The Volvo F10 spearheaded a wave of powerful European trucks arriving in the UK.</t>
  </si>
  <si>
    <t>The Leyland T45 was an attempt to revitalise the commercial vehicles offering of British Leyland. It was a common sight in the '80s and early '90s.</t>
  </si>
  <si>
    <t>The Ford Cargo featured styling details from Ford's early 1980s car range.</t>
  </si>
  <si>
    <t>The Thornycroft Type J was widely used in the First World War.</t>
  </si>
  <si>
    <t>The Scammell 7.5 ton had a low axle weight, allowing it to carry heavier loads than contemporary lorries.</t>
  </si>
  <si>
    <t>The Commer FC is a classic British van. The forward-control layout and hard to reach engine made it harder to maintain than more conventional vans such as Ford's Transit.</t>
  </si>
  <si>
    <t>MCW Metrorider</t>
  </si>
  <si>
    <t>mcw_metrorider</t>
  </si>
  <si>
    <t>The MCW Metrorider was a big improvement over van-based small buses. When MCW ended bus production in 1989 the rights to the design were bought by Optare, who continued making it until 2000.</t>
  </si>
  <si>
    <t>Dennis Trident 2</t>
  </si>
  <si>
    <t>The Dennis Trident with Alexander ALX400 bodywork was used by a large variety of UK bus operators.</t>
  </si>
  <si>
    <t>dennis_trident_2</t>
  </si>
  <si>
    <t>has_open_livestock</t>
  </si>
  <si>
    <t>1,47</t>
  </si>
  <si>
    <t>Dennis Enviro400H MMC</t>
  </si>
  <si>
    <t>The Dennis Enviro400H MMC has a hybrid system which improves acceleration away from a stop while reducing fuel use and emissions at the same time.</t>
  </si>
  <si>
    <t>dennis_enviro_400_mmc</t>
  </si>
  <si>
    <t>Beardmore Python</t>
  </si>
  <si>
    <t>beardmore_python</t>
  </si>
  <si>
    <t>Beardmore was a taxi manufacturer that bought the rights to manufacture a French-designed tractor unit.</t>
  </si>
  <si>
    <t>Thompson Autotanker</t>
  </si>
  <si>
    <t>thompson_autotanker</t>
  </si>
  <si>
    <t>special/tanker</t>
  </si>
  <si>
    <t>The futuristic Autotanker used a rear-engined Leyland Dromedary chassis, built for the prototype. Unfortunately the real vehicle was not used commercially, although thousands of Matchbox toy versions were produced.</t>
  </si>
  <si>
    <t>virtual_units</t>
  </si>
  <si>
    <t>roadtype</t>
  </si>
  <si>
    <t>ROAD</t>
  </si>
  <si>
    <t>RAIL</t>
  </si>
  <si>
    <t>ELRL</t>
  </si>
  <si>
    <t>Guy BTX</t>
  </si>
  <si>
    <t>guy_btx</t>
  </si>
  <si>
    <t>ELRD</t>
  </si>
  <si>
    <t xml:space="preserve">The Guy BTX was a modification of an existing bus chassis, fitting an electric motor powered from trolley wires. </t>
  </si>
  <si>
    <t>DIRT_ROAD</t>
  </si>
  <si>
    <t>Daimler Charabanc</t>
  </si>
  <si>
    <t>daimler_charabanc</t>
  </si>
  <si>
    <t>Charabancs were open buses, typically used for short works outings due to their uncomfortable seating.</t>
  </si>
  <si>
    <t>ttd_len</t>
  </si>
  <si>
    <t>2 Horses</t>
  </si>
  <si>
    <t>5,5,5</t>
  </si>
  <si>
    <t>5,4</t>
  </si>
  <si>
    <t>Horse in a Zorb</t>
  </si>
  <si>
    <t>zorb_horse</t>
  </si>
  <si>
    <t>special/zorb_horse</t>
  </si>
  <si>
    <t>It is the business of the future to be dangerous. And to find new ways of transporting horses.</t>
  </si>
  <si>
    <t>enable_param</t>
  </si>
  <si>
    <t>enable_trams</t>
  </si>
  <si>
    <t>enable_lorries</t>
  </si>
  <si>
    <t>enable_buses</t>
  </si>
  <si>
    <t>enable_easter_eggs</t>
  </si>
  <si>
    <t>has_year_dependent_cargo</t>
  </si>
  <si>
    <t>5,5,5,5,5,5</t>
  </si>
  <si>
    <t>4,5,5,5</t>
  </si>
  <si>
    <t>cars</t>
  </si>
  <si>
    <t>layout</t>
  </si>
  <si>
    <t>y6,tram_trailer_flatbed,tram_trailer_goods,tram_trailer_flatbed</t>
  </si>
  <si>
    <t>j70,tram_trailer_flatbed,tram_trailer_goods,tram_trailer_flatbed,tram_trailer_goods,tram_trailer_flatbed</t>
  </si>
  <si>
    <t>y10,tram_trailer_flatbed,tram_trailer_goods,tram_trailer_flatbed,tram_trailer_goods,tram_trailer_flatbed</t>
  </si>
  <si>
    <t>fc_hibberd_planet,tram_trailer_flatbed,tram_trailer_goods,tram_trailer_flatbed,tram_trailer_goods,tram_trailer_flatbed</t>
  </si>
  <si>
    <t>drewry_shunter,tram_trailer_flatbed,tram_trailer_goods,tram_trailer_flatbed,tram_trailer_goods,tram_trailer_flatbed</t>
  </si>
  <si>
    <t>scammell_75_ton,prewar_trailer_flatbed</t>
  </si>
  <si>
    <t>beardmore_python,prewar_trailer_flatbed</t>
  </si>
  <si>
    <t>leyland_beaver,t45_trailer_goods</t>
  </si>
  <si>
    <t>guy_big_j4,t45_trailer_goods</t>
  </si>
  <si>
    <t>volvo_f10,t45_trailer_goods</t>
  </si>
  <si>
    <t>aec_mandator,t45_trailer_goods</t>
  </si>
  <si>
    <t>leyland_t45,t45_trailer_goods</t>
  </si>
  <si>
    <t>scania_3_series,modern_trailer_goods</t>
  </si>
  <si>
    <t>scania_4_series,modern_trailer_goods</t>
  </si>
  <si>
    <t>scania_r_series,modern_trailer_goods</t>
  </si>
  <si>
    <t>renault_magnum,modern_trailer_goods</t>
  </si>
  <si>
    <t>volvo_fm9,modern_trailer_goods</t>
  </si>
  <si>
    <t>scammell_scarab,scammell_scarab_trailer</t>
  </si>
  <si>
    <t>mercedes_citaro_front,mercedes_citaro_rear</t>
  </si>
  <si>
    <t>progress_twin_car_front,progress_twin_car_rear</t>
  </si>
  <si>
    <t>dlr_p86_front,dlr_p86_rear,dlr_p86_front,dlr_p86_rear</t>
  </si>
  <si>
    <t>bombardier_cr4000_front,bombardier_cr4000_rear</t>
  </si>
  <si>
    <t>dlr_b07_front,dlr_b07_rear,dlr_b07_front,dlr_b07_rear,dlr_b07_front,dlr_b07_rear</t>
  </si>
  <si>
    <t>vossloh_class_399_front,vossloh_class_399_mid,vossloh_class_399_rear</t>
  </si>
  <si>
    <t>tram_trailer_goods</t>
  </si>
  <si>
    <t>t45_trailer_goods</t>
  </si>
  <si>
    <t>modern_trailer_goods</t>
  </si>
  <si>
    <t>prewar_trailer_flatbed</t>
  </si>
  <si>
    <t>horses,stagecoach</t>
  </si>
  <si>
    <t>horses,dray_trailer</t>
  </si>
  <si>
    <t>horses,tram_trailer_flatbed,tram_trailer_goods</t>
  </si>
  <si>
    <t>horses,horse_tram</t>
  </si>
  <si>
    <t>articulated_lengths</t>
  </si>
  <si>
    <t>run_cost_modifier</t>
  </si>
  <si>
    <t>rubber_tyred_horse_cart</t>
  </si>
  <si>
    <t>rubber_tyred_horse_cart_flatbed</t>
  </si>
  <si>
    <t>Rubber Horse Cart Trailer</t>
  </si>
  <si>
    <t>Rubber-Tyred Horse Cart</t>
  </si>
  <si>
    <t>rubber_horse_cart</t>
  </si>
  <si>
    <t>horses,rubber_tyred_horse_cart</t>
  </si>
  <si>
    <t>Pneumatic tyres offered lower rolling resistance on bumpy ground, and more cushioning for delicate cargo.</t>
  </si>
  <si>
    <t>Rubber Tyred Cart</t>
  </si>
  <si>
    <t>rubber_tyred_cart</t>
  </si>
  <si>
    <t>Traction Engine</t>
  </si>
  <si>
    <t>traction_engine</t>
  </si>
  <si>
    <t>Traction engines were developed from portable steam engines, applying the power to the wheels so the engine could be driven to where it was needed without requiring horses.</t>
  </si>
  <si>
    <t>traction_engine,rubber_tyred_cart,rubber_tyred_cart</t>
  </si>
  <si>
    <t>flexity_2_front,flexity_2_mid_1,flexity_2_mid_2,flexity_2_mid_1,flexity_2_rear</t>
  </si>
  <si>
    <t>roe_trolleybus</t>
  </si>
  <si>
    <t>Sunbeam F4A Roe</t>
  </si>
  <si>
    <t>Although most UK trolleybus systems were being (or had been) decommissioned by the early 1960s, new bodywork was still produced for the Sunbeam chassis.</t>
  </si>
  <si>
    <t>Sunbeam F4 Park Royal</t>
  </si>
  <si>
    <t>sunbeam_park_royal</t>
  </si>
  <si>
    <t>Sunbeam Commercial Vehicles had started as an independent manufacturer, but by the 1950s had been sold to Guy Motors, the resultant conglomerate being the largest British trolleybus manufacturer.</t>
  </si>
  <si>
    <t>3,8,2</t>
  </si>
  <si>
    <t>Horse Cart Trailer</t>
  </si>
  <si>
    <t>Horse-Drawn Cart</t>
  </si>
  <si>
    <t>1 Horse</t>
  </si>
  <si>
    <t>horse_cart_trailer</t>
  </si>
  <si>
    <t>horse_cart</t>
  </si>
  <si>
    <t>Early two-wheeled horse carts used rigid shafts, with the horse itself balancing the weight of the cart.</t>
  </si>
  <si>
    <t>horse,horse_cart_trailer</t>
  </si>
  <si>
    <t>5,3</t>
  </si>
  <si>
    <t>Horse-Drawn Carriage</t>
  </si>
  <si>
    <t>horse_carriage</t>
  </si>
  <si>
    <t>Early carriages used unsprung solid axles and were uncomfortable to ride for more than short distances.</t>
  </si>
  <si>
    <t>horses,horse_carriage</t>
  </si>
  <si>
    <t>Vulcan Lorry</t>
  </si>
  <si>
    <t>vulcan_lorry</t>
  </si>
  <si>
    <t>Vulcan was a lorry manufacturer in Southport, whose vehicles were advertised on their dependability.</t>
  </si>
  <si>
    <t>Vulcan Mk.II</t>
  </si>
  <si>
    <t>vulcan_mk2</t>
  </si>
  <si>
    <t>The Vulcan Mk.II was sadly short-lived; parent company Tillings-Stevens was taken over by the Rootes Group in 1950, and by 1953 Rootes had developed their own range of heavy commercial vehicles.</t>
  </si>
  <si>
    <t>dennis_enviro_400_ev</t>
  </si>
  <si>
    <t>BYD/ADL Enviro400EV</t>
  </si>
  <si>
    <t>electric_with_bong</t>
  </si>
  <si>
    <t>The Enviro400 EV is a joint venture, using BYD's experience in producing all-electric buses to provide a city double decker that can run all day on a single charge.</t>
  </si>
  <si>
    <t>Seddon Atkinson 400</t>
  </si>
  <si>
    <t>seddon_atkinson_400</t>
  </si>
  <si>
    <t>The Seddon Atkinson 400 was one of the most popular trucks of the 1970s.</t>
  </si>
  <si>
    <t>ERF A-Series</t>
  </si>
  <si>
    <t>erf_a_series</t>
  </si>
  <si>
    <t>erf_lv</t>
  </si>
  <si>
    <t>ERF 8LV</t>
  </si>
  <si>
    <t>Often confused with the A series due to similar cabs, most rigid ERFs of the early 1970s were updated variants of the LV chassis.</t>
  </si>
  <si>
    <t>The A Series was a new, modular chassis design. All but a handful were built as 4x2 tractor units.</t>
  </si>
  <si>
    <t>erf_a_series,t45_trailer_goods</t>
  </si>
  <si>
    <t>Volvo FH12</t>
  </si>
  <si>
    <t>volvo_fh12</t>
  </si>
  <si>
    <t>Volvo's FH12 was a clean sheet design, and won Truck of the Year in 1994.</t>
  </si>
  <si>
    <t>DAF CF</t>
  </si>
  <si>
    <t>daf_cf</t>
  </si>
  <si>
    <t>DAF's CF is a large truck with many chassis options, a development of the earlier 65/75/85 series.</t>
  </si>
  <si>
    <t>Scania T142</t>
  </si>
  <si>
    <t>scania_t142</t>
  </si>
  <si>
    <t>The T142 was a bonneted version of Scania's 2 series. In the UK it was most commonly deployed on bedroom carpets, as a popular Matchbox toy.</t>
  </si>
  <si>
    <t>6,8,2</t>
  </si>
  <si>
    <t>scania_t142,modern_trailer_goods</t>
  </si>
  <si>
    <t>karrier_bantam</t>
  </si>
  <si>
    <t>Karrier Bantam</t>
  </si>
  <si>
    <t>Karrier built smaller lorries and tractor units after being taken over by the Rootes Group in 1934, with larger vehicles built by sister company Commer.</t>
  </si>
  <si>
    <t>karrier_bantam,prewar_trailer_flatbed</t>
  </si>
  <si>
    <t>0x0x0</t>
  </si>
  <si>
    <t>Volvo B6BLE</t>
  </si>
  <si>
    <t>volvo_b6ble</t>
  </si>
  <si>
    <t>The B6BLE is a small low entry bus from Volvo, with the ability to kneel the front suspension. This variant has Wright Crusader 2 bodywork.</t>
  </si>
  <si>
    <t>Optare MetroCity</t>
  </si>
  <si>
    <t>optare_metrocity</t>
  </si>
  <si>
    <t>The Optare MetroCity replaced the Tempo SR in the UK after poor sales of the latter.</t>
  </si>
  <si>
    <t>MAN TGS</t>
  </si>
  <si>
    <t>man_tgs</t>
  </si>
  <si>
    <t>The MAN TGS replaced the earlier TG-series models in 2007, offering a range of engines including turbocharged V8s.</t>
  </si>
  <si>
    <t>Fordson Snow Machine</t>
  </si>
  <si>
    <t>fordson_snow_machine</t>
  </si>
  <si>
    <t>DIRT_ONLY</t>
  </si>
  <si>
    <t>Horse should not be used in deep loose snow. Use Fordson Snow Machine!</t>
  </si>
  <si>
    <t>fordson_snow_machine,rubber_tyred_cart</t>
  </si>
  <si>
    <t>4,4</t>
  </si>
  <si>
    <t>special/milk_float</t>
  </si>
  <si>
    <t>Milk floats were a familiar sight in the UK up until the 1990s, when the shift to supermarket-bought milk made short range door-to-door delivery and its specialised vehicles unviable.</t>
  </si>
  <si>
    <t>milkfloat</t>
  </si>
  <si>
    <t>Wales &amp; Edwards milk float</t>
  </si>
  <si>
    <t>Inshaw Steam Carriage</t>
  </si>
  <si>
    <t>inshaw_steam_carriage</t>
  </si>
  <si>
    <t>John Inshaw built a steam carriage for use in Birmingham, but sadly the Red Flag Act limiting carriage speeds was not lifted until 1896, so it remained at the prototype stage.</t>
  </si>
  <si>
    <t>Bedford CF</t>
  </si>
  <si>
    <t>bedford_cf</t>
  </si>
  <si>
    <t>The Bedford CF was GM's competitor for the Ford Transit, and was the base vehicle for many an ice cream van or camper conversion.</t>
  </si>
  <si>
    <t>Volvo Olympian</t>
  </si>
  <si>
    <t>volvo_olympian</t>
  </si>
  <si>
    <t>After Volvo took over Leyland's bus operations, they continued to manufacture the Olympian. Although similar in layout, many changes were made to the chassis with Leyland systems replaced by Volvo's own.</t>
  </si>
  <si>
    <t>1,4</t>
  </si>
  <si>
    <t>6,5,5</t>
  </si>
  <si>
    <t>Irizar ie tram</t>
  </si>
  <si>
    <t>irizar_ie_tram</t>
  </si>
  <si>
    <t>The Irizar ie tram is a new style of bus with a tram-style internal layout, maximising standing room for passengers.</t>
  </si>
  <si>
    <t>Wright Streetdeck HEV</t>
  </si>
  <si>
    <t>The Wright Streetdeck is a hybrid-powered bus with distinctive 'Stealth' front end styling.</t>
  </si>
  <si>
    <t>wright_streetdeck</t>
  </si>
  <si>
    <t>Horse-Drawn Wagons</t>
  </si>
  <si>
    <t>2020s Trailer</t>
  </si>
  <si>
    <t>2020s_trailer</t>
  </si>
  <si>
    <t>2020s_trailer_goods</t>
  </si>
  <si>
    <t>Renault T evolution</t>
  </si>
  <si>
    <t>renault_t_evo</t>
  </si>
  <si>
    <t>The Renault T range was revised in 2021, and was the first time a truck was available in a game (Euro Truck Simulator 2) before you could buy a real one.</t>
  </si>
  <si>
    <t>460hp</t>
  </si>
  <si>
    <t>renault_t_evo,2020s_trailer_goods</t>
  </si>
  <si>
    <t>Renault E-Tech D</t>
  </si>
  <si>
    <t>renault_etech_d</t>
  </si>
  <si>
    <t>The Renault E-Tech version of the D series is designed for urban usage, with a fully-electric drivetrain.</t>
  </si>
  <si>
    <t>sort_order</t>
  </si>
  <si>
    <t>sort_feature</t>
  </si>
  <si>
    <t>FEAT_ROADVEHS</t>
  </si>
  <si>
    <t>Shillibeer Omnibus</t>
  </si>
  <si>
    <t>shillibeer_omnibus</t>
  </si>
  <si>
    <t>Omnibus services originated in France, carrying more passengers than stagecoaches without needing to be booked. George Shillibeer built some of these early omnibuses, and brought them to London.</t>
  </si>
  <si>
    <t>horses,shillibeer_omnibus</t>
  </si>
  <si>
    <t>1,17</t>
  </si>
  <si>
    <t>Double Decker Horsebus</t>
  </si>
  <si>
    <t>double_decker_horsebus</t>
  </si>
  <si>
    <t>1,25</t>
  </si>
  <si>
    <t>horses,double_decker_horsebus</t>
  </si>
  <si>
    <t>As coachbuilding technology improved, horse buses moved on from their stagecoach based origins into a vehicle more suited for urban passenger transport.</t>
  </si>
  <si>
    <t>articulated_open_bus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</si>
</sst>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1" fontId="0" fillId="0" borderId="0" xfId="0" applyNumberFormat="1"/>
    <xf numFmtId="164" fontId="0" fillId="0" borderId="0" xfId="0" applyNumberFormat="1"/>
    <xf numFmtId="1" fontId="1" fillId="0" borderId="0" xfId="0" applyNumberFormat="1" applyFont="1"/>
    <xf numFmtId="3"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F161"/>
  <sheetViews>
    <sheetView tabSelected="1" zoomScaleNormal="100" workbookViewId="0">
      <pane xSplit="2904" ySplit="600" topLeftCell="AM116" activePane="bottomRight"/>
      <selection pane="topRight" activeCell="AS1" sqref="AS1"/>
      <selection pane="bottomLeft" activeCell="A142" sqref="A142"/>
      <selection pane="bottomRight" activeCell="AS143" sqref="AS143"/>
    </sheetView>
  </sheetViews>
  <sheetFormatPr defaultRowHeight="14.4" x14ac:dyDescent="0.3"/>
  <cols>
    <col min="1" max="1" width="24" bestFit="1" customWidth="1"/>
    <col min="2" max="3" width="24" customWidth="1"/>
    <col min="4" max="4" width="13.33203125" bestFit="1" customWidth="1"/>
    <col min="5" max="6" width="13.33203125" customWidth="1"/>
    <col min="7" max="7" width="12" bestFit="1" customWidth="1"/>
    <col min="8" max="8" width="12" customWidth="1"/>
    <col min="9" max="10" width="12.88671875" customWidth="1"/>
    <col min="11" max="12" width="12.44140625" customWidth="1"/>
    <col min="13" max="13" width="12.5546875" customWidth="1"/>
    <col min="14" max="14" width="15.6640625" customWidth="1"/>
    <col min="15" max="15" width="13.6640625" bestFit="1" customWidth="1"/>
    <col min="16" max="16" width="15.6640625" customWidth="1"/>
    <col min="17" max="17" width="10.44140625" customWidth="1"/>
    <col min="18" max="18" width="9" bestFit="1" customWidth="1"/>
    <col min="19" max="19" width="5.6640625" customWidth="1"/>
    <col min="20" max="20" width="15.6640625" customWidth="1"/>
    <col min="21" max="21" width="19.109375" customWidth="1"/>
    <col min="22" max="22" width="11.5546875" customWidth="1"/>
    <col min="23" max="23" width="17.44140625" customWidth="1"/>
    <col min="24" max="25" width="14.88671875" customWidth="1"/>
    <col min="26" max="28" width="21" customWidth="1"/>
    <col min="29" max="33" width="23.6640625" customWidth="1"/>
    <col min="34" max="34" width="15.88671875" bestFit="1" customWidth="1"/>
    <col min="35" max="41" width="20.5546875" customWidth="1"/>
    <col min="42" max="42" width="9.88671875" bestFit="1" customWidth="1"/>
    <col min="43" max="43" width="9.88671875" customWidth="1"/>
    <col min="44" max="44" width="7.109375" bestFit="1" customWidth="1"/>
    <col min="45" max="45" width="7.109375" customWidth="1"/>
    <col min="46" max="46" width="14.88671875" bestFit="1" customWidth="1"/>
    <col min="47" max="48" width="14.88671875" style="2" customWidth="1"/>
    <col min="49" max="49" width="6.6640625" style="2" bestFit="1" customWidth="1"/>
    <col min="50" max="50" width="18.44140625" bestFit="1" customWidth="1"/>
    <col min="51" max="51" width="14.88671875" customWidth="1"/>
    <col min="52" max="52" width="19.109375" bestFit="1" customWidth="1"/>
    <col min="53" max="53" width="21.109375" bestFit="1" customWidth="1"/>
    <col min="54" max="57" width="12.5546875" customWidth="1"/>
  </cols>
  <sheetData>
    <row r="1" spans="1:58" x14ac:dyDescent="0.3">
      <c r="A1" s="1" t="s">
        <v>143</v>
      </c>
      <c r="B1" s="1" t="s">
        <v>144</v>
      </c>
      <c r="C1" s="1" t="s">
        <v>145</v>
      </c>
      <c r="D1" s="1" t="s">
        <v>146</v>
      </c>
      <c r="E1" s="1" t="s">
        <v>681</v>
      </c>
      <c r="F1" s="1" t="s">
        <v>682</v>
      </c>
      <c r="G1" s="1" t="s">
        <v>147</v>
      </c>
      <c r="H1" s="1" t="s">
        <v>277</v>
      </c>
      <c r="I1" s="1" t="s">
        <v>148</v>
      </c>
      <c r="J1" s="1" t="s">
        <v>520</v>
      </c>
      <c r="K1" s="1" t="s">
        <v>9</v>
      </c>
      <c r="L1" s="1" t="s">
        <v>500</v>
      </c>
      <c r="M1" s="1" t="s">
        <v>149</v>
      </c>
      <c r="N1" s="1" t="s">
        <v>278</v>
      </c>
      <c r="O1" s="1" t="s">
        <v>151</v>
      </c>
      <c r="P1" s="1" t="s">
        <v>279</v>
      </c>
      <c r="Q1" s="1" t="s">
        <v>280</v>
      </c>
      <c r="R1" s="1" t="s">
        <v>152</v>
      </c>
      <c r="S1" s="1" t="s">
        <v>294</v>
      </c>
      <c r="T1" s="1" t="s">
        <v>150</v>
      </c>
      <c r="U1" s="1" t="s">
        <v>281</v>
      </c>
      <c r="V1" s="1" t="s">
        <v>286</v>
      </c>
      <c r="W1" s="1" t="s">
        <v>326</v>
      </c>
      <c r="X1" s="1" t="s">
        <v>271</v>
      </c>
      <c r="Y1" s="1" t="s">
        <v>330</v>
      </c>
      <c r="Z1" s="1" t="s">
        <v>343</v>
      </c>
      <c r="AA1" s="1" t="s">
        <v>392</v>
      </c>
      <c r="AB1" s="1" t="s">
        <v>525</v>
      </c>
      <c r="AC1" s="1" t="s">
        <v>487</v>
      </c>
      <c r="AD1" s="1" t="s">
        <v>346</v>
      </c>
      <c r="AE1" s="1" t="s">
        <v>367</v>
      </c>
      <c r="AF1" s="1" t="s">
        <v>349</v>
      </c>
      <c r="AG1" s="1" t="s">
        <v>362</v>
      </c>
      <c r="AH1" s="1" t="s">
        <v>297</v>
      </c>
      <c r="AI1" s="1" t="s">
        <v>379</v>
      </c>
      <c r="AJ1" s="1" t="s">
        <v>397</v>
      </c>
      <c r="AK1" s="1" t="s">
        <v>369</v>
      </c>
      <c r="AL1" s="1" t="s">
        <v>371</v>
      </c>
      <c r="AM1" s="1" t="s">
        <v>562</v>
      </c>
      <c r="AN1" s="1" t="s">
        <v>529</v>
      </c>
      <c r="AO1" s="1" t="s">
        <v>512</v>
      </c>
      <c r="AP1" s="1" t="s">
        <v>364</v>
      </c>
      <c r="AQ1" s="1" t="s">
        <v>366</v>
      </c>
      <c r="AR1" s="1" t="s">
        <v>153</v>
      </c>
      <c r="AS1" s="1" t="s">
        <v>563</v>
      </c>
      <c r="AT1" s="1" t="s">
        <v>154</v>
      </c>
      <c r="AU1" s="4" t="s">
        <v>282</v>
      </c>
      <c r="AV1" s="4" t="s">
        <v>298</v>
      </c>
      <c r="AW1" s="4" t="s">
        <v>528</v>
      </c>
      <c r="AX1" s="1" t="s">
        <v>283</v>
      </c>
      <c r="AY1" s="1" t="s">
        <v>499</v>
      </c>
      <c r="AZ1" s="1" t="s">
        <v>284</v>
      </c>
      <c r="BA1" s="1" t="s">
        <v>394</v>
      </c>
      <c r="BB1" s="1" t="s">
        <v>155</v>
      </c>
      <c r="BC1" s="1" t="s">
        <v>156</v>
      </c>
      <c r="BD1" s="1" t="s">
        <v>157</v>
      </c>
      <c r="BE1" s="1" t="s">
        <v>158</v>
      </c>
      <c r="BF1" s="1" t="s">
        <v>159</v>
      </c>
    </row>
    <row r="2" spans="1:58" x14ac:dyDescent="0.3">
      <c r="A2" t="s">
        <v>587</v>
      </c>
      <c r="B2" t="s">
        <v>287</v>
      </c>
      <c r="C2" t="s">
        <v>276</v>
      </c>
      <c r="D2">
        <v>0</v>
      </c>
      <c r="E2">
        <v>-1</v>
      </c>
      <c r="X2" s="2"/>
      <c r="Y2" s="2"/>
      <c r="Z2" s="2"/>
      <c r="AA2" s="2"/>
      <c r="AB2" s="2"/>
      <c r="AC2" s="2"/>
      <c r="AD2" s="2"/>
      <c r="AE2" s="2"/>
      <c r="AF2" s="2"/>
      <c r="AG2" s="2"/>
      <c r="AO2">
        <v>5</v>
      </c>
      <c r="AR2" s="2"/>
      <c r="AS2" s="2"/>
      <c r="AT2" s="2"/>
      <c r="AX2" s="2"/>
      <c r="AY2" s="2"/>
      <c r="AZ2" s="2"/>
      <c r="BA2" s="2"/>
      <c r="BB2" s="3"/>
      <c r="BC2" s="3"/>
      <c r="BD2" s="3"/>
      <c r="BE2" s="2"/>
    </row>
    <row r="3" spans="1:58" x14ac:dyDescent="0.3">
      <c r="A3" t="s">
        <v>513</v>
      </c>
      <c r="B3" t="s">
        <v>276</v>
      </c>
      <c r="C3" t="s">
        <v>276</v>
      </c>
      <c r="D3">
        <v>0</v>
      </c>
      <c r="E3">
        <v>-1</v>
      </c>
      <c r="X3" s="2"/>
      <c r="Y3" s="2"/>
      <c r="Z3" s="2"/>
      <c r="AA3" s="2"/>
      <c r="AB3" s="2"/>
      <c r="AC3" s="2"/>
      <c r="AD3" s="2"/>
      <c r="AE3" s="2"/>
      <c r="AF3" s="2"/>
      <c r="AG3" s="2"/>
      <c r="AO3">
        <v>5</v>
      </c>
      <c r="AR3" s="2"/>
      <c r="AS3" s="2"/>
      <c r="AT3" s="2"/>
      <c r="AX3" s="2"/>
      <c r="AY3" s="2"/>
      <c r="AZ3" s="2"/>
      <c r="BA3" s="2"/>
      <c r="BB3" s="3"/>
      <c r="BC3" s="3"/>
      <c r="BD3" s="3"/>
      <c r="BE3" s="2"/>
    </row>
    <row r="4" spans="1:58" x14ac:dyDescent="0.3">
      <c r="A4" t="s">
        <v>393</v>
      </c>
      <c r="B4" t="s">
        <v>391</v>
      </c>
      <c r="C4" t="s">
        <v>349</v>
      </c>
      <c r="D4">
        <v>0</v>
      </c>
      <c r="E4">
        <v>-1</v>
      </c>
      <c r="Y4" t="s">
        <v>331</v>
      </c>
      <c r="AA4" t="s">
        <v>331</v>
      </c>
      <c r="AB4" t="s">
        <v>331</v>
      </c>
      <c r="AN4" t="s">
        <v>554</v>
      </c>
      <c r="AO4">
        <v>5</v>
      </c>
    </row>
    <row r="5" spans="1:58" x14ac:dyDescent="0.3">
      <c r="A5" t="s">
        <v>669</v>
      </c>
      <c r="B5" t="s">
        <v>203</v>
      </c>
      <c r="C5" t="s">
        <v>348</v>
      </c>
      <c r="D5">
        <f>IF(G5 &gt; 2020, ((G5-2020)*4)+1610+I5,IF(G5 &gt; 1900, ((G5-1900)*10)+400+I5, ((G5-1730)*2)+I5))+VLOOKUP(K5,'ID Scheme'!$A$2:$B$7,2, FALSE)</f>
        <v>10721</v>
      </c>
      <c r="E5">
        <v>10721</v>
      </c>
      <c r="F5" t="s">
        <v>683</v>
      </c>
      <c r="G5">
        <v>1790</v>
      </c>
      <c r="H5">
        <v>1</v>
      </c>
      <c r="I5">
        <v>1</v>
      </c>
      <c r="J5" t="s">
        <v>521</v>
      </c>
      <c r="K5" t="s">
        <v>137</v>
      </c>
      <c r="L5" t="s">
        <v>502</v>
      </c>
      <c r="M5">
        <v>16</v>
      </c>
      <c r="N5">
        <v>110</v>
      </c>
      <c r="O5">
        <v>12</v>
      </c>
      <c r="P5">
        <v>5</v>
      </c>
      <c r="Q5">
        <v>2</v>
      </c>
      <c r="R5">
        <v>10</v>
      </c>
      <c r="S5">
        <v>20</v>
      </c>
      <c r="T5">
        <v>18</v>
      </c>
      <c r="U5">
        <v>1</v>
      </c>
      <c r="V5" t="s">
        <v>287</v>
      </c>
      <c r="W5">
        <v>0</v>
      </c>
      <c r="X5" s="2" t="s">
        <v>432</v>
      </c>
      <c r="Y5" s="2" t="s">
        <v>331</v>
      </c>
      <c r="Z5" s="2"/>
      <c r="AA5" s="2" t="s">
        <v>331</v>
      </c>
      <c r="AB5" s="2" t="s">
        <v>331</v>
      </c>
      <c r="AC5" s="2"/>
      <c r="AD5" s="2"/>
      <c r="AE5" s="2"/>
      <c r="AF5" s="2" t="s">
        <v>391</v>
      </c>
      <c r="AG5" s="2"/>
      <c r="AL5" t="s">
        <v>408</v>
      </c>
      <c r="AM5" t="s">
        <v>514</v>
      </c>
      <c r="AN5" t="s">
        <v>560</v>
      </c>
      <c r="AO5">
        <v>5</v>
      </c>
      <c r="AP5">
        <v>1</v>
      </c>
      <c r="AQ5" t="s">
        <v>276</v>
      </c>
      <c r="AR5" s="2">
        <v>20</v>
      </c>
      <c r="AS5" s="2"/>
      <c r="AT5" s="2">
        <v>20</v>
      </c>
      <c r="AU5" s="2">
        <f t="shared" ref="AU5" si="0">M5/1.24</f>
        <v>12.903225806451614</v>
      </c>
      <c r="AV5" s="2">
        <f t="shared" ref="AV5" si="1">AH5/1.24</f>
        <v>0</v>
      </c>
      <c r="AW5" s="2">
        <v>2</v>
      </c>
      <c r="AX5" s="2">
        <v>3</v>
      </c>
      <c r="AY5" s="2">
        <v>3</v>
      </c>
      <c r="AZ5" s="2">
        <f t="shared" ref="AZ5" si="2">T5/AY5</f>
        <v>6</v>
      </c>
      <c r="BA5" s="2">
        <f t="shared" ref="BA5" si="3">(T5)/MAX(AX5-1, 1)</f>
        <v>9</v>
      </c>
      <c r="BD5" s="3"/>
      <c r="BE5" s="2" t="str">
        <f>CONCATENATE(
ROUND(BB5*VLOOKUP(K5,'ID Scheme'!$A$2:$E$7,3),0), "x",
ROUND(BC5*VLOOKUP(K5,'ID Scheme'!$A$2:$E$7,5),0), "x",
ROUND(BD5*VLOOKUP(K5,'ID Scheme'!$A$2:$E$7,4),0))</f>
        <v>0x0x0</v>
      </c>
    </row>
    <row r="6" spans="1:58" x14ac:dyDescent="0.3">
      <c r="A6" t="s">
        <v>139</v>
      </c>
      <c r="B6" t="s">
        <v>239</v>
      </c>
      <c r="C6" t="s">
        <v>348</v>
      </c>
      <c r="D6">
        <f>IF(G6 &gt; 2020, ((G6-2020)*4)+1610+I6,IF(G6 &gt; 1900, ((G6-1900)*10)+400+I6, ((G6-1730)*2)+I6))+VLOOKUP(K6,'ID Scheme'!$A$2:$B$7,2, FALSE)</f>
        <v>10907</v>
      </c>
      <c r="E6">
        <v>10907</v>
      </c>
      <c r="F6" t="s">
        <v>683</v>
      </c>
      <c r="G6">
        <v>1883</v>
      </c>
      <c r="H6">
        <v>1</v>
      </c>
      <c r="I6">
        <v>1</v>
      </c>
      <c r="J6" t="s">
        <v>521</v>
      </c>
      <c r="K6" t="s">
        <v>137</v>
      </c>
      <c r="L6" t="s">
        <v>502</v>
      </c>
      <c r="M6">
        <v>22</v>
      </c>
      <c r="N6">
        <v>30</v>
      </c>
      <c r="O6">
        <v>30</v>
      </c>
      <c r="P6">
        <v>5</v>
      </c>
      <c r="Q6">
        <v>19</v>
      </c>
      <c r="R6">
        <v>50</v>
      </c>
      <c r="S6">
        <v>20</v>
      </c>
      <c r="T6">
        <v>36</v>
      </c>
      <c r="U6">
        <v>1</v>
      </c>
      <c r="V6" t="s">
        <v>288</v>
      </c>
      <c r="W6">
        <v>-1</v>
      </c>
      <c r="X6" s="2" t="s">
        <v>427</v>
      </c>
      <c r="Y6" s="2" t="s">
        <v>331</v>
      </c>
      <c r="Z6" s="2"/>
      <c r="AA6" s="2" t="s">
        <v>331</v>
      </c>
      <c r="AB6" s="2" t="s">
        <v>331</v>
      </c>
      <c r="AC6" s="2"/>
      <c r="AD6" s="2"/>
      <c r="AE6" s="2"/>
      <c r="AF6" s="2" t="s">
        <v>391</v>
      </c>
      <c r="AG6" s="2"/>
      <c r="AJ6">
        <v>1</v>
      </c>
      <c r="AL6" t="s">
        <v>396</v>
      </c>
      <c r="AM6" t="s">
        <v>527</v>
      </c>
      <c r="AN6" t="s">
        <v>530</v>
      </c>
      <c r="AO6">
        <v>4</v>
      </c>
      <c r="AP6">
        <v>1</v>
      </c>
      <c r="AR6" s="2">
        <f>(SQRT(M6*T6)*POWER((MIN(O6,20)+SQRT(MAX(O6-20,0))),0.9)*Data!$B$1)*(1-(U6-1))</f>
        <v>35.704831781745895</v>
      </c>
      <c r="AS6" s="2"/>
      <c r="AT6" s="2">
        <f>((POWER((M6*M6*T6), 0.33)*LOG10(R6)*10*Data!$B$1)*U6)+AS6</f>
        <v>31.97612031589599</v>
      </c>
      <c r="AU6" s="2">
        <f t="shared" ref="AU6:AU10" si="4">M6/1.24</f>
        <v>17.741935483870968</v>
      </c>
      <c r="AV6" s="2">
        <f t="shared" ref="AV6:AV10" si="5">AH6/1.24</f>
        <v>0</v>
      </c>
      <c r="AW6" s="2">
        <v>3</v>
      </c>
      <c r="AX6" s="2">
        <v>4</v>
      </c>
      <c r="AY6" s="2">
        <v>4</v>
      </c>
      <c r="AZ6" s="2">
        <f t="shared" ref="AZ6:AZ10" si="6">T6/AY6</f>
        <v>9</v>
      </c>
      <c r="BA6" s="2">
        <f t="shared" ref="BA6:BA10" si="7">(T6)/MAX(AX6-1, 1)</f>
        <v>12</v>
      </c>
      <c r="BB6">
        <v>6</v>
      </c>
      <c r="BD6" s="3"/>
      <c r="BE6" s="2" t="str">
        <f>CONCATENATE(
ROUND(BB6*VLOOKUP(K6,'ID Scheme'!$A$2:$E$7,3),0), "x",
ROUND(BC6*VLOOKUP(K6,'ID Scheme'!$A$2:$E$7,5),0), "x",
ROUND(BD6*VLOOKUP(K6,'ID Scheme'!$A$2:$E$7,4),0))</f>
        <v>56x0x0</v>
      </c>
    </row>
    <row r="7" spans="1:58" x14ac:dyDescent="0.3">
      <c r="A7" t="s">
        <v>138</v>
      </c>
      <c r="B7" t="s">
        <v>237</v>
      </c>
      <c r="C7" t="s">
        <v>348</v>
      </c>
      <c r="D7">
        <f>IF(G7 &gt; 2020, ((G7-2020)*4)+1610+I7,IF(G7 &gt; 1900, ((G7-1900)*10)+400+I7, ((G7-1730)*2)+I7))+VLOOKUP(K7,'ID Scheme'!$A$2:$B$7,2, FALSE)</f>
        <v>11031</v>
      </c>
      <c r="E7">
        <v>11031</v>
      </c>
      <c r="F7" t="s">
        <v>683</v>
      </c>
      <c r="G7">
        <v>1903</v>
      </c>
      <c r="H7">
        <v>1</v>
      </c>
      <c r="I7">
        <v>1</v>
      </c>
      <c r="J7" t="s">
        <v>521</v>
      </c>
      <c r="K7" t="s">
        <v>137</v>
      </c>
      <c r="L7" t="s">
        <v>502</v>
      </c>
      <c r="M7">
        <v>22</v>
      </c>
      <c r="N7">
        <v>30</v>
      </c>
      <c r="O7">
        <v>30</v>
      </c>
      <c r="P7">
        <v>5</v>
      </c>
      <c r="Q7">
        <v>24</v>
      </c>
      <c r="R7">
        <v>60</v>
      </c>
      <c r="S7">
        <v>20</v>
      </c>
      <c r="T7">
        <v>60</v>
      </c>
      <c r="U7">
        <v>1</v>
      </c>
      <c r="V7" t="s">
        <v>288</v>
      </c>
      <c r="W7">
        <v>-1</v>
      </c>
      <c r="X7" s="2" t="s">
        <v>428</v>
      </c>
      <c r="Y7" s="2" t="s">
        <v>331</v>
      </c>
      <c r="Z7" s="2"/>
      <c r="AA7" s="2" t="s">
        <v>331</v>
      </c>
      <c r="AB7" s="2" t="s">
        <v>331</v>
      </c>
      <c r="AC7" s="2"/>
      <c r="AD7" s="2"/>
      <c r="AE7" s="2"/>
      <c r="AF7" s="2" t="s">
        <v>391</v>
      </c>
      <c r="AG7" s="2"/>
      <c r="AJ7">
        <v>1</v>
      </c>
      <c r="AL7" t="s">
        <v>395</v>
      </c>
      <c r="AM7" t="s">
        <v>404</v>
      </c>
      <c r="AN7" t="s">
        <v>531</v>
      </c>
      <c r="AO7">
        <v>4</v>
      </c>
      <c r="AP7">
        <v>1</v>
      </c>
      <c r="AR7" s="2">
        <f>(SQRT(M7*T7)*POWER((MIN(O7,20)+SQRT(MAX(O7-20,0))),0.9)*Data!$B$1)*(1-(U7-1))</f>
        <v>46.094739623279715</v>
      </c>
      <c r="AS7" s="2"/>
      <c r="AT7" s="2">
        <f>((POWER((M7*M7*T7), 0.33)*LOG10(R7)*10*Data!$B$1)*U7)+AS7</f>
        <v>39.61127712007552</v>
      </c>
      <c r="AU7" s="2">
        <f t="shared" si="4"/>
        <v>17.741935483870968</v>
      </c>
      <c r="AV7" s="2">
        <f t="shared" si="5"/>
        <v>0</v>
      </c>
      <c r="AW7" s="2">
        <v>5</v>
      </c>
      <c r="AX7" s="2">
        <v>6</v>
      </c>
      <c r="AY7" s="2">
        <v>6</v>
      </c>
      <c r="AZ7" s="2">
        <f t="shared" si="6"/>
        <v>10</v>
      </c>
      <c r="BA7" s="2">
        <f t="shared" si="7"/>
        <v>12</v>
      </c>
      <c r="BB7">
        <v>6</v>
      </c>
      <c r="BD7" s="3"/>
      <c r="BE7" s="2" t="str">
        <f>CONCATENATE(
ROUND(BB7*VLOOKUP(K7,'ID Scheme'!$A$2:$E$7,3),0), "x",
ROUND(BC7*VLOOKUP(K7,'ID Scheme'!$A$2:$E$7,5),0), "x",
ROUND(BD7*VLOOKUP(K7,'ID Scheme'!$A$2:$E$7,4),0))</f>
        <v>56x0x0</v>
      </c>
    </row>
    <row r="8" spans="1:58" x14ac:dyDescent="0.3">
      <c r="A8" t="s">
        <v>140</v>
      </c>
      <c r="B8" t="s">
        <v>238</v>
      </c>
      <c r="C8" t="s">
        <v>348</v>
      </c>
      <c r="D8">
        <f>IF(G8 &gt; 2020, ((G8-2020)*4)+1610+I8,IF(G8 &gt; 1900, ((G8-1900)*10)+400+I8, ((G8-1730)*2)+I8))+VLOOKUP(K8,'ID Scheme'!$A$2:$B$7,2, FALSE)</f>
        <v>11301</v>
      </c>
      <c r="E8">
        <v>11301</v>
      </c>
      <c r="F8" t="s">
        <v>683</v>
      </c>
      <c r="G8">
        <v>1930</v>
      </c>
      <c r="H8">
        <v>9</v>
      </c>
      <c r="I8">
        <v>1</v>
      </c>
      <c r="J8" t="s">
        <v>521</v>
      </c>
      <c r="K8" t="s">
        <v>137</v>
      </c>
      <c r="L8" t="s">
        <v>502</v>
      </c>
      <c r="M8">
        <v>24</v>
      </c>
      <c r="N8">
        <v>32</v>
      </c>
      <c r="O8">
        <v>26</v>
      </c>
      <c r="P8">
        <v>5</v>
      </c>
      <c r="Q8">
        <v>24</v>
      </c>
      <c r="R8">
        <v>200</v>
      </c>
      <c r="S8">
        <v>20</v>
      </c>
      <c r="T8">
        <v>60</v>
      </c>
      <c r="U8">
        <v>1</v>
      </c>
      <c r="V8" t="s">
        <v>288</v>
      </c>
      <c r="W8">
        <v>0</v>
      </c>
      <c r="X8" s="2" t="s">
        <v>429</v>
      </c>
      <c r="Y8" s="2" t="s">
        <v>331</v>
      </c>
      <c r="Z8" s="2"/>
      <c r="AA8" s="2" t="s">
        <v>331</v>
      </c>
      <c r="AB8" s="2" t="s">
        <v>331</v>
      </c>
      <c r="AC8" s="2"/>
      <c r="AD8" s="2"/>
      <c r="AE8" s="2"/>
      <c r="AF8" s="2" t="s">
        <v>391</v>
      </c>
      <c r="AG8" s="2"/>
      <c r="AJ8">
        <v>1</v>
      </c>
      <c r="AL8" t="s">
        <v>395</v>
      </c>
      <c r="AM8" t="s">
        <v>526</v>
      </c>
      <c r="AN8" t="s">
        <v>532</v>
      </c>
      <c r="AO8">
        <v>5</v>
      </c>
      <c r="AP8">
        <v>1</v>
      </c>
      <c r="AR8" s="2">
        <f>(SQRT(M8*T8)*POWER((MIN(O8,20)+SQRT(MAX(O8-20,0))),0.9)*Data!$B$1)*(1-(U8-1))</f>
        <v>46.808889320396581</v>
      </c>
      <c r="AS8" s="2"/>
      <c r="AT8" s="2">
        <f>((POWER((M8*M8*T8), 0.33)*LOG10(R8)*10*Data!$B$1)*U8)+AS8</f>
        <v>54.289129200123334</v>
      </c>
      <c r="AU8" s="2">
        <f t="shared" si="4"/>
        <v>19.35483870967742</v>
      </c>
      <c r="AV8" s="2">
        <f t="shared" si="5"/>
        <v>0</v>
      </c>
      <c r="AW8" s="2">
        <v>5</v>
      </c>
      <c r="AX8" s="2">
        <v>6</v>
      </c>
      <c r="AY8" s="2">
        <v>6</v>
      </c>
      <c r="AZ8" s="2">
        <f t="shared" si="6"/>
        <v>10</v>
      </c>
      <c r="BA8" s="2">
        <f t="shared" si="7"/>
        <v>12</v>
      </c>
      <c r="BB8">
        <v>7</v>
      </c>
      <c r="BD8" s="3"/>
      <c r="BE8" s="2" t="str">
        <f>CONCATENATE(
ROUND(BB8*VLOOKUP(K8,'ID Scheme'!$A$2:$E$7,3),0), "x",
ROUND(BC8*VLOOKUP(K8,'ID Scheme'!$A$2:$E$7,5),0), "x",
ROUND(BD8*VLOOKUP(K8,'ID Scheme'!$A$2:$E$7,4),0))</f>
        <v>65x0x0</v>
      </c>
    </row>
    <row r="9" spans="1:58" x14ac:dyDescent="0.3">
      <c r="A9" t="s">
        <v>142</v>
      </c>
      <c r="B9" t="s">
        <v>236</v>
      </c>
      <c r="C9" t="s">
        <v>348</v>
      </c>
      <c r="D9">
        <f>IF(G9 &gt; 2020, ((G9-2020)*4)+1610+I9,IF(G9 &gt; 1900, ((G9-1900)*10)+400+I9, ((G9-1730)*2)+I9))+VLOOKUP(K9,'ID Scheme'!$A$2:$B$7,2, FALSE)</f>
        <v>11481</v>
      </c>
      <c r="E9">
        <v>11481</v>
      </c>
      <c r="F9" t="s">
        <v>683</v>
      </c>
      <c r="G9">
        <v>1948</v>
      </c>
      <c r="H9">
        <v>1</v>
      </c>
      <c r="I9">
        <v>1</v>
      </c>
      <c r="J9" t="s">
        <v>521</v>
      </c>
      <c r="K9" t="s">
        <v>137</v>
      </c>
      <c r="L9" t="s">
        <v>502</v>
      </c>
      <c r="M9">
        <v>25</v>
      </c>
      <c r="N9">
        <v>-1</v>
      </c>
      <c r="O9">
        <v>30</v>
      </c>
      <c r="P9">
        <v>5</v>
      </c>
      <c r="Q9">
        <v>22</v>
      </c>
      <c r="R9">
        <v>123</v>
      </c>
      <c r="S9">
        <v>20</v>
      </c>
      <c r="T9">
        <v>60</v>
      </c>
      <c r="U9">
        <v>1</v>
      </c>
      <c r="V9" t="s">
        <v>289</v>
      </c>
      <c r="W9">
        <v>-1</v>
      </c>
      <c r="X9" s="2" t="s">
        <v>431</v>
      </c>
      <c r="Y9" s="2" t="s">
        <v>331</v>
      </c>
      <c r="Z9" s="2"/>
      <c r="AA9" s="2" t="s">
        <v>331</v>
      </c>
      <c r="AB9" s="2" t="s">
        <v>331</v>
      </c>
      <c r="AC9" s="2"/>
      <c r="AD9" s="2"/>
      <c r="AE9" s="2"/>
      <c r="AF9" s="2" t="s">
        <v>391</v>
      </c>
      <c r="AG9" s="2"/>
      <c r="AJ9">
        <v>1</v>
      </c>
      <c r="AL9" t="s">
        <v>395</v>
      </c>
      <c r="AM9" t="s">
        <v>404</v>
      </c>
      <c r="AN9" t="s">
        <v>533</v>
      </c>
      <c r="AO9">
        <v>4</v>
      </c>
      <c r="AP9">
        <v>1</v>
      </c>
      <c r="AR9" s="2">
        <f>(SQRT(M9*T9)*POWER((MIN(O9,20)+SQRT(MAX(O9-20,0))),0.9)*Data!$B$1)*(1-(U9-1))</f>
        <v>49.137157539542891</v>
      </c>
      <c r="AS9" s="2"/>
      <c r="AT9" s="2">
        <f>((POWER((M9*M9*T9), 0.33)*LOG10(R9)*10*Data!$B$1)*U9)+AS9</f>
        <v>50.654513648978117</v>
      </c>
      <c r="AU9" s="2">
        <f t="shared" si="4"/>
        <v>20.161290322580644</v>
      </c>
      <c r="AV9" s="2">
        <f t="shared" si="5"/>
        <v>0</v>
      </c>
      <c r="AW9" s="2">
        <v>5</v>
      </c>
      <c r="AX9" s="2">
        <v>6</v>
      </c>
      <c r="AY9" s="2">
        <v>6</v>
      </c>
      <c r="AZ9" s="2">
        <f t="shared" si="6"/>
        <v>10</v>
      </c>
      <c r="BA9" s="2">
        <f t="shared" si="7"/>
        <v>12</v>
      </c>
      <c r="BB9">
        <v>6</v>
      </c>
      <c r="BD9" s="3"/>
      <c r="BE9" s="2" t="str">
        <f>CONCATENATE(
ROUND(BB9*VLOOKUP(K9,'ID Scheme'!$A$2:$E$7,3),0), "x",
ROUND(BC9*VLOOKUP(K9,'ID Scheme'!$A$2:$E$7,5),0), "x",
ROUND(BD9*VLOOKUP(K9,'ID Scheme'!$A$2:$E$7,4),0))</f>
        <v>56x0x0</v>
      </c>
    </row>
    <row r="10" spans="1:58" x14ac:dyDescent="0.3">
      <c r="A10" t="s">
        <v>141</v>
      </c>
      <c r="B10" t="s">
        <v>235</v>
      </c>
      <c r="C10" t="s">
        <v>348</v>
      </c>
      <c r="D10">
        <f>IF(G10 &gt; 2020, ((G10-2020)*4)+1610+I10,IF(G10 &gt; 1900, ((G10-1900)*10)+400+I10, ((G10-1730)*2)+I10))+VLOOKUP(K10,'ID Scheme'!$A$2:$B$7,2, FALSE)</f>
        <v>11522</v>
      </c>
      <c r="E10">
        <v>11522</v>
      </c>
      <c r="F10" t="s">
        <v>683</v>
      </c>
      <c r="G10">
        <v>1952</v>
      </c>
      <c r="H10">
        <v>1</v>
      </c>
      <c r="I10">
        <v>2</v>
      </c>
      <c r="J10" t="s">
        <v>521</v>
      </c>
      <c r="K10" t="s">
        <v>137</v>
      </c>
      <c r="L10" t="s">
        <v>502</v>
      </c>
      <c r="M10">
        <v>27</v>
      </c>
      <c r="N10">
        <v>-1</v>
      </c>
      <c r="O10">
        <v>26</v>
      </c>
      <c r="P10">
        <v>5</v>
      </c>
      <c r="Q10">
        <v>31</v>
      </c>
      <c r="R10">
        <v>152</v>
      </c>
      <c r="S10">
        <v>20</v>
      </c>
      <c r="T10">
        <v>60</v>
      </c>
      <c r="U10">
        <v>1</v>
      </c>
      <c r="V10" t="s">
        <v>289</v>
      </c>
      <c r="W10">
        <v>-1</v>
      </c>
      <c r="X10" s="2" t="s">
        <v>430</v>
      </c>
      <c r="Y10" s="2" t="s">
        <v>331</v>
      </c>
      <c r="Z10" s="2"/>
      <c r="AA10" s="2" t="s">
        <v>331</v>
      </c>
      <c r="AB10" s="2" t="s">
        <v>331</v>
      </c>
      <c r="AC10" s="2"/>
      <c r="AD10" s="2"/>
      <c r="AE10" s="2"/>
      <c r="AF10" s="2" t="s">
        <v>391</v>
      </c>
      <c r="AG10" s="2"/>
      <c r="AJ10">
        <v>1</v>
      </c>
      <c r="AL10" t="s">
        <v>395</v>
      </c>
      <c r="AM10" t="s">
        <v>526</v>
      </c>
      <c r="AN10" t="s">
        <v>534</v>
      </c>
      <c r="AO10">
        <v>5</v>
      </c>
      <c r="AP10">
        <v>1</v>
      </c>
      <c r="AR10" s="2">
        <f>(SQRT(M10*T10)*POWER((MIN(O10,20)+SQRT(MAX(O10-20,0))),0.9)*Data!$B$1)*(1-(U10-1))</f>
        <v>49.648324587394477</v>
      </c>
      <c r="AS10" s="2"/>
      <c r="AT10" s="2">
        <f>((POWER((M10*M10*T10), 0.33)*LOG10(R10)*10*Data!$B$1)*U10)+AS10</f>
        <v>55.638430948840913</v>
      </c>
      <c r="AU10" s="2">
        <f t="shared" si="4"/>
        <v>21.774193548387096</v>
      </c>
      <c r="AV10" s="2">
        <f t="shared" si="5"/>
        <v>0</v>
      </c>
      <c r="AW10" s="2">
        <v>5</v>
      </c>
      <c r="AX10" s="2">
        <v>6</v>
      </c>
      <c r="AY10" s="2">
        <v>6</v>
      </c>
      <c r="AZ10" s="2">
        <f t="shared" si="6"/>
        <v>10</v>
      </c>
      <c r="BA10" s="2">
        <f t="shared" si="7"/>
        <v>12</v>
      </c>
      <c r="BB10">
        <v>7</v>
      </c>
      <c r="BD10" s="3"/>
      <c r="BE10" s="2" t="str">
        <f>CONCATENATE(
ROUND(BB10*VLOOKUP(K10,'ID Scheme'!$A$2:$E$7,3),0), "x",
ROUND(BC10*VLOOKUP(K10,'ID Scheme'!$A$2:$E$7,5),0), "x",
ROUND(BD10*VLOOKUP(K10,'ID Scheme'!$A$2:$E$7,4),0))</f>
        <v>65x0x0</v>
      </c>
    </row>
    <row r="11" spans="1:58" x14ac:dyDescent="0.3">
      <c r="A11" t="s">
        <v>351</v>
      </c>
      <c r="B11" t="s">
        <v>350</v>
      </c>
      <c r="C11" t="s">
        <v>349</v>
      </c>
      <c r="D11">
        <v>0</v>
      </c>
      <c r="E11">
        <v>-1</v>
      </c>
      <c r="Y11" t="s">
        <v>331</v>
      </c>
      <c r="AC11" t="s">
        <v>331</v>
      </c>
      <c r="AN11" t="s">
        <v>557</v>
      </c>
      <c r="AO11">
        <v>8</v>
      </c>
      <c r="AT11" s="2"/>
    </row>
    <row r="12" spans="1:58" x14ac:dyDescent="0.3">
      <c r="A12" t="s">
        <v>70</v>
      </c>
      <c r="B12" t="s">
        <v>229</v>
      </c>
      <c r="C12" t="s">
        <v>348</v>
      </c>
      <c r="D12">
        <f>IF(G12 &gt; 2020, ((G12-2020)*4)+1610+I12,IF(G12 &gt; 1900, ((G12-1900)*10)+400+I12, ((G12-1730)*2)+I12))+VLOOKUP(K12,'ID Scheme'!$A$2:$B$7,2, FALSE)</f>
        <v>3201</v>
      </c>
      <c r="E12">
        <v>3201</v>
      </c>
      <c r="F12" t="s">
        <v>683</v>
      </c>
      <c r="G12">
        <v>1920</v>
      </c>
      <c r="H12">
        <v>4</v>
      </c>
      <c r="I12">
        <v>1</v>
      </c>
      <c r="J12" t="s">
        <v>522</v>
      </c>
      <c r="K12" t="s">
        <v>13</v>
      </c>
      <c r="L12" t="s">
        <v>501</v>
      </c>
      <c r="M12">
        <v>18</v>
      </c>
      <c r="N12">
        <v>20</v>
      </c>
      <c r="O12">
        <v>18</v>
      </c>
      <c r="P12">
        <v>5</v>
      </c>
      <c r="Q12">
        <v>5</v>
      </c>
      <c r="R12">
        <v>80</v>
      </c>
      <c r="S12">
        <v>20</v>
      </c>
      <c r="T12">
        <v>28</v>
      </c>
      <c r="U12">
        <v>1</v>
      </c>
      <c r="V12" t="s">
        <v>289</v>
      </c>
      <c r="W12">
        <v>-4</v>
      </c>
      <c r="X12" s="2" t="s">
        <v>479</v>
      </c>
      <c r="Y12" s="2"/>
      <c r="Z12" s="2"/>
      <c r="AA12" s="2"/>
      <c r="AB12" s="2"/>
      <c r="AC12" s="2" t="s">
        <v>331</v>
      </c>
      <c r="AD12" s="2"/>
      <c r="AE12" s="2"/>
      <c r="AF12" s="2" t="s">
        <v>350</v>
      </c>
      <c r="AG12" s="2"/>
      <c r="AJ12" t="s">
        <v>399</v>
      </c>
      <c r="AL12" t="s">
        <v>403</v>
      </c>
      <c r="AM12" t="s">
        <v>439</v>
      </c>
      <c r="AN12" t="s">
        <v>535</v>
      </c>
      <c r="AO12">
        <v>2</v>
      </c>
      <c r="AR12" s="2">
        <f>(SQRT(M12*T12)*POWER((MIN(O12,20)+SQRT(MAX(O12-20,0))),0.9)*Data!$B$1)*(1-(U12-1))</f>
        <v>22.69978721594271</v>
      </c>
      <c r="AS12" s="2"/>
      <c r="AT12" s="2">
        <f>((POWER((M12*M12*T12), 0.33)*LOG10(R12)*10*Data!$B$1)*U12)+AS12</f>
        <v>28.877699401096308</v>
      </c>
      <c r="AU12" s="2">
        <f>M12/1.24</f>
        <v>14.516129032258064</v>
      </c>
      <c r="AV12" s="2">
        <f>AH12/1.24</f>
        <v>0</v>
      </c>
      <c r="AX12" s="2">
        <v>2</v>
      </c>
      <c r="AY12" s="2">
        <v>2</v>
      </c>
      <c r="AZ12" s="2">
        <f>T12/AY12</f>
        <v>14</v>
      </c>
      <c r="BA12" s="2">
        <f>(T12)/MAX(AX12-1, 1)</f>
        <v>28</v>
      </c>
      <c r="BB12" s="3">
        <v>3.4</v>
      </c>
      <c r="BC12" s="3">
        <v>2</v>
      </c>
      <c r="BD12" s="3">
        <v>2.5</v>
      </c>
      <c r="BE12" s="2" t="str">
        <f>CONCATENATE(
ROUND(BB12*VLOOKUP(K12,'ID Scheme'!$A$2:$E$7,3),0), "x",
ROUND(BC12*VLOOKUP(K12,'ID Scheme'!$A$2:$E$7,5),0), "x",
ROUND(BD12*VLOOKUP(K12,'ID Scheme'!$A$2:$E$7,4),0))</f>
        <v>32x29x24</v>
      </c>
    </row>
    <row r="13" spans="1:58" x14ac:dyDescent="0.3">
      <c r="A13" t="s">
        <v>492</v>
      </c>
      <c r="B13" t="s">
        <v>493</v>
      </c>
      <c r="C13" t="s">
        <v>348</v>
      </c>
      <c r="D13">
        <f>IF(G13 &gt; 2020, ((G13-2020)*4)+1610+I13,IF(G13 &gt; 1900, ((G13-1900)*10)+400+I13, ((G13-1730)*2)+I13))+VLOOKUP(K13,'ID Scheme'!$A$2:$B$7,2, FALSE)</f>
        <v>3321</v>
      </c>
      <c r="E13">
        <v>3321</v>
      </c>
      <c r="F13" t="s">
        <v>683</v>
      </c>
      <c r="G13">
        <v>1932</v>
      </c>
      <c r="H13">
        <v>6</v>
      </c>
      <c r="I13">
        <v>1</v>
      </c>
      <c r="J13" t="s">
        <v>522</v>
      </c>
      <c r="K13" t="s">
        <v>13</v>
      </c>
      <c r="L13" t="s">
        <v>501</v>
      </c>
      <c r="M13">
        <v>32</v>
      </c>
      <c r="N13">
        <v>20</v>
      </c>
      <c r="O13">
        <v>15</v>
      </c>
      <c r="P13">
        <v>5</v>
      </c>
      <c r="Q13">
        <v>4.5</v>
      </c>
      <c r="R13">
        <v>65</v>
      </c>
      <c r="S13">
        <v>20</v>
      </c>
      <c r="T13">
        <v>30</v>
      </c>
      <c r="U13">
        <v>1</v>
      </c>
      <c r="V13" t="s">
        <v>289</v>
      </c>
      <c r="W13">
        <v>-4</v>
      </c>
      <c r="X13" s="2" t="s">
        <v>494</v>
      </c>
      <c r="Y13" s="2"/>
      <c r="Z13" s="2"/>
      <c r="AA13" s="2"/>
      <c r="AB13" s="2"/>
      <c r="AC13" s="2" t="s">
        <v>331</v>
      </c>
      <c r="AD13" s="2"/>
      <c r="AE13" s="2"/>
      <c r="AF13" s="2" t="s">
        <v>350</v>
      </c>
      <c r="AG13" s="2"/>
      <c r="AJ13" t="s">
        <v>399</v>
      </c>
      <c r="AL13" t="s">
        <v>403</v>
      </c>
      <c r="AM13" t="s">
        <v>439</v>
      </c>
      <c r="AN13" t="s">
        <v>536</v>
      </c>
      <c r="AO13">
        <v>2</v>
      </c>
      <c r="AR13" s="2">
        <f>(SQRT(M13*T13)*POWER((MIN(O13,20)+SQRT(MAX(O13-20,0))),0.9)*Data!$B$1)*(1-(U13-1))</f>
        <v>26.587592451565005</v>
      </c>
      <c r="AS13" s="2"/>
      <c r="AT13" s="2">
        <f>((POWER((M13*M13*T13), 0.33)*LOG10(R13)*10*Data!$B$1)*U13)+AS13</f>
        <v>41.142181123813366</v>
      </c>
      <c r="AU13" s="2">
        <f>M13/1.24</f>
        <v>25.806451612903228</v>
      </c>
      <c r="AV13" s="2">
        <f>AH13/1.24</f>
        <v>0</v>
      </c>
      <c r="AX13" s="2">
        <v>2</v>
      </c>
      <c r="AY13" s="2">
        <v>2</v>
      </c>
      <c r="AZ13" s="2">
        <f>T13/AY13</f>
        <v>15</v>
      </c>
      <c r="BA13" s="2">
        <f>(T13)/MAX(AX13-1, 1)</f>
        <v>30</v>
      </c>
      <c r="BB13" s="3">
        <v>3.4</v>
      </c>
      <c r="BC13" s="3">
        <v>2</v>
      </c>
      <c r="BD13" s="3">
        <v>2.5</v>
      </c>
      <c r="BE13" s="2" t="str">
        <f>CONCATENATE(
ROUND(BB13*VLOOKUP(K13,'ID Scheme'!$A$2:$E$7,3),0), "x",
ROUND(BC13*VLOOKUP(K13,'ID Scheme'!$A$2:$E$7,5),0), "x",
ROUND(BD13*VLOOKUP(K13,'ID Scheme'!$A$2:$E$7,4),0))</f>
        <v>32x29x24</v>
      </c>
    </row>
    <row r="14" spans="1:58" x14ac:dyDescent="0.3">
      <c r="A14" t="s">
        <v>629</v>
      </c>
      <c r="B14" t="s">
        <v>628</v>
      </c>
      <c r="C14" t="s">
        <v>348</v>
      </c>
      <c r="D14">
        <f>IF(G14 &gt; 2020, ((G14-2020)*4)+1610+I14,IF(G14 &gt; 1900, ((G14-1900)*10)+400+I14, ((G14-1730)*2)+I14))+VLOOKUP(K14,'ID Scheme'!$A$2:$B$7,2, FALSE)</f>
        <v>3482</v>
      </c>
      <c r="E14">
        <v>3482</v>
      </c>
      <c r="F14" t="s">
        <v>683</v>
      </c>
      <c r="G14">
        <v>1948</v>
      </c>
      <c r="H14">
        <v>7</v>
      </c>
      <c r="I14">
        <v>2</v>
      </c>
      <c r="J14" t="s">
        <v>522</v>
      </c>
      <c r="K14" t="s">
        <v>13</v>
      </c>
      <c r="L14" t="s">
        <v>501</v>
      </c>
      <c r="M14">
        <v>38</v>
      </c>
      <c r="N14">
        <v>18</v>
      </c>
      <c r="O14">
        <v>14</v>
      </c>
      <c r="P14">
        <v>5</v>
      </c>
      <c r="Q14">
        <v>4</v>
      </c>
      <c r="R14">
        <v>50</v>
      </c>
      <c r="S14">
        <v>20</v>
      </c>
      <c r="T14">
        <v>30</v>
      </c>
      <c r="U14">
        <v>1</v>
      </c>
      <c r="V14" t="s">
        <v>289</v>
      </c>
      <c r="W14">
        <v>-4</v>
      </c>
      <c r="X14" s="2" t="s">
        <v>630</v>
      </c>
      <c r="Y14" s="2"/>
      <c r="Z14" s="2"/>
      <c r="AA14" s="2"/>
      <c r="AB14" s="2"/>
      <c r="AC14" s="2" t="s">
        <v>331</v>
      </c>
      <c r="AD14" s="2"/>
      <c r="AE14" s="2"/>
      <c r="AF14" s="2" t="s">
        <v>350</v>
      </c>
      <c r="AG14" s="2"/>
      <c r="AJ14" t="s">
        <v>399</v>
      </c>
      <c r="AL14" t="s">
        <v>403</v>
      </c>
      <c r="AM14" t="s">
        <v>439</v>
      </c>
      <c r="AN14" t="s">
        <v>631</v>
      </c>
      <c r="AO14">
        <v>2</v>
      </c>
      <c r="AR14" s="2">
        <f>(SQRT(M14*T14)*POWER((MIN(O14,20)+SQRT(MAX(O14-20,0))),0.9)*Data!$B$1)*(1-(U14-1))</f>
        <v>27.228826282042128</v>
      </c>
      <c r="AS14" s="2"/>
      <c r="AT14" s="2">
        <f>((POWER((M14*M14*T14), 0.33)*LOG10(R14)*10*Data!$B$1)*U14)+AS14</f>
        <v>43.187111963297234</v>
      </c>
      <c r="AU14" s="2">
        <f>M14/1.24</f>
        <v>30.64516129032258</v>
      </c>
      <c r="AV14" s="2">
        <f>AH14/1.24</f>
        <v>0</v>
      </c>
      <c r="AX14" s="2">
        <v>2</v>
      </c>
      <c r="AY14" s="2">
        <v>2</v>
      </c>
      <c r="AZ14" s="2">
        <f>T14/AY14</f>
        <v>15</v>
      </c>
      <c r="BA14" s="2">
        <f>(T14)/MAX(AX14-1, 1)</f>
        <v>30</v>
      </c>
      <c r="BB14" s="3">
        <v>3.4</v>
      </c>
      <c r="BC14" s="3">
        <v>2</v>
      </c>
      <c r="BD14" s="3">
        <v>2.5</v>
      </c>
      <c r="BE14" s="2" t="str">
        <f>CONCATENATE(
ROUND(BB14*VLOOKUP(K14,'ID Scheme'!$A$2:$E$7,3),0), "x",
ROUND(BC14*VLOOKUP(K14,'ID Scheme'!$A$2:$E$7,5),0), "x",
ROUND(BD14*VLOOKUP(K14,'ID Scheme'!$A$2:$E$7,4),0))</f>
        <v>32x29x24</v>
      </c>
    </row>
    <row r="15" spans="1:58" x14ac:dyDescent="0.3">
      <c r="A15" t="s">
        <v>354</v>
      </c>
      <c r="B15" t="s">
        <v>352</v>
      </c>
      <c r="C15" t="s">
        <v>349</v>
      </c>
      <c r="D15">
        <v>0</v>
      </c>
      <c r="E15">
        <v>-1</v>
      </c>
      <c r="Y15" t="s">
        <v>331</v>
      </c>
      <c r="Z15" t="s">
        <v>331</v>
      </c>
      <c r="AN15" t="s">
        <v>555</v>
      </c>
      <c r="AO15">
        <v>8</v>
      </c>
      <c r="AT15" s="2"/>
    </row>
    <row r="16" spans="1:58" x14ac:dyDescent="0.3">
      <c r="A16" t="s">
        <v>2</v>
      </c>
      <c r="B16" t="s">
        <v>207</v>
      </c>
      <c r="C16" t="s">
        <v>348</v>
      </c>
      <c r="D16">
        <f>IF(G16 &gt; 2020, ((G16-2020)*4)+1610+I16,IF(G16 &gt; 1900, ((G16-1900)*10)+400+I16, ((G16-1730)*2)+I16))+VLOOKUP(K16,'ID Scheme'!$A$2:$B$7,2, FALSE)</f>
        <v>3651</v>
      </c>
      <c r="E16">
        <v>3651</v>
      </c>
      <c r="F16" t="s">
        <v>683</v>
      </c>
      <c r="G16">
        <v>1965</v>
      </c>
      <c r="H16">
        <v>6</v>
      </c>
      <c r="I16">
        <v>1</v>
      </c>
      <c r="J16" t="s">
        <v>522</v>
      </c>
      <c r="K16" t="s">
        <v>13</v>
      </c>
      <c r="L16" t="s">
        <v>501</v>
      </c>
      <c r="M16">
        <v>55</v>
      </c>
      <c r="N16">
        <v>20</v>
      </c>
      <c r="O16">
        <v>15</v>
      </c>
      <c r="P16">
        <v>5</v>
      </c>
      <c r="Q16">
        <v>9.5</v>
      </c>
      <c r="R16">
        <v>140</v>
      </c>
      <c r="S16">
        <v>20</v>
      </c>
      <c r="T16">
        <v>36</v>
      </c>
      <c r="U16">
        <v>1</v>
      </c>
      <c r="V16" t="s">
        <v>289</v>
      </c>
      <c r="W16">
        <v>-4</v>
      </c>
      <c r="X16" s="2" t="s">
        <v>473</v>
      </c>
      <c r="Y16" s="2"/>
      <c r="Z16" s="2" t="s">
        <v>331</v>
      </c>
      <c r="AA16" s="2"/>
      <c r="AB16" s="2"/>
      <c r="AC16" s="2"/>
      <c r="AD16" s="2"/>
      <c r="AE16" s="2"/>
      <c r="AF16" s="2" t="s">
        <v>352</v>
      </c>
      <c r="AG16" s="2"/>
      <c r="AJ16">
        <v>1</v>
      </c>
      <c r="AL16" t="s">
        <v>408</v>
      </c>
      <c r="AM16" t="s">
        <v>584</v>
      </c>
      <c r="AN16" t="s">
        <v>537</v>
      </c>
      <c r="AO16">
        <v>2</v>
      </c>
      <c r="AR16" s="2">
        <f>(SQRT(M16*T16)*POWER((MIN(O16,20)+SQRT(MAX(O16-20,0))),0.9)*Data!$B$1)*(1-(U16-1))</f>
        <v>38.183522614659189</v>
      </c>
      <c r="AS16" s="2"/>
      <c r="AT16" s="2">
        <f>((POWER((M16*M16*T16), 0.33)*LOG10(R16)*10*Data!$B$1)*U16)+AS16</f>
        <v>73.949644689024566</v>
      </c>
      <c r="AU16" s="2">
        <f t="shared" ref="AU16:AU21" si="8">M16/1.24</f>
        <v>44.354838709677416</v>
      </c>
      <c r="AV16" s="2">
        <f t="shared" ref="AV16:AV21" si="9">AH16/1.24</f>
        <v>0</v>
      </c>
      <c r="AX16" s="2">
        <v>2</v>
      </c>
      <c r="AY16" s="2">
        <v>3</v>
      </c>
      <c r="AZ16" s="2">
        <f t="shared" ref="AZ16:AZ21" si="10">T16/AY16</f>
        <v>12</v>
      </c>
      <c r="BA16" s="2">
        <f t="shared" ref="BA16:BA21" si="11">(T16)/MAX(AX16-1, 1)</f>
        <v>36</v>
      </c>
      <c r="BB16" s="3"/>
      <c r="BC16" s="3"/>
      <c r="BD16" s="3"/>
      <c r="BE16" s="2" t="str">
        <f>CONCATENATE(
ROUND(BB16*VLOOKUP(K16,'ID Scheme'!$A$2:$E$7,3),0), "x",
ROUND(BC16*VLOOKUP(K16,'ID Scheme'!$A$2:$E$7,5),0), "x",
ROUND(BD16*VLOOKUP(K16,'ID Scheme'!$A$2:$E$7,4),0))</f>
        <v>0x0x0</v>
      </c>
    </row>
    <row r="17" spans="1:58" x14ac:dyDescent="0.3">
      <c r="A17" t="s">
        <v>19</v>
      </c>
      <c r="B17" t="s">
        <v>225</v>
      </c>
      <c r="C17" t="s">
        <v>348</v>
      </c>
      <c r="D17">
        <f>IF(G17 &gt; 2020, ((G17-2020)*4)+1610+I17,IF(G17 &gt; 1900, ((G17-1900)*10)+400+I17, ((G17-1730)*2)+I17))+VLOOKUP(K17,'ID Scheme'!$A$2:$B$7,2, FALSE)</f>
        <v>3641</v>
      </c>
      <c r="E17">
        <v>3641</v>
      </c>
      <c r="F17" t="s">
        <v>683</v>
      </c>
      <c r="G17">
        <v>1964</v>
      </c>
      <c r="H17">
        <v>9</v>
      </c>
      <c r="I17">
        <v>1</v>
      </c>
      <c r="J17" t="s">
        <v>522</v>
      </c>
      <c r="K17" t="s">
        <v>13</v>
      </c>
      <c r="L17" t="s">
        <v>501</v>
      </c>
      <c r="M17">
        <v>57</v>
      </c>
      <c r="N17">
        <v>20</v>
      </c>
      <c r="O17">
        <v>15</v>
      </c>
      <c r="P17">
        <v>5</v>
      </c>
      <c r="Q17">
        <v>9.5</v>
      </c>
      <c r="R17">
        <v>192</v>
      </c>
      <c r="S17">
        <v>20</v>
      </c>
      <c r="T17">
        <v>36</v>
      </c>
      <c r="U17">
        <v>1</v>
      </c>
      <c r="V17" t="s">
        <v>289</v>
      </c>
      <c r="W17">
        <v>-4</v>
      </c>
      <c r="X17" s="2" t="s">
        <v>342</v>
      </c>
      <c r="Y17" s="2"/>
      <c r="Z17" s="2" t="s">
        <v>331</v>
      </c>
      <c r="AA17" s="2"/>
      <c r="AB17" s="2"/>
      <c r="AC17" s="2"/>
      <c r="AD17" s="2"/>
      <c r="AE17" s="2"/>
      <c r="AF17" s="2" t="s">
        <v>352</v>
      </c>
      <c r="AG17" s="2"/>
      <c r="AH17">
        <v>56</v>
      </c>
      <c r="AJ17">
        <v>1</v>
      </c>
      <c r="AL17" t="s">
        <v>408</v>
      </c>
      <c r="AM17" t="s">
        <v>584</v>
      </c>
      <c r="AN17" t="s">
        <v>538</v>
      </c>
      <c r="AO17">
        <v>2</v>
      </c>
      <c r="AR17" s="2">
        <f>(SQRT(M17*T17)*POWER((MIN(O17,20)+SQRT(MAX(O17-20,0))),0.9)*Data!$B$1)*(1-(U17-1))</f>
        <v>38.871569362349888</v>
      </c>
      <c r="AS17" s="2"/>
      <c r="AT17" s="2">
        <f>((POWER((M17*M17*T17), 0.33)*LOG10(R17)*10*Data!$B$1)*U17)+AS17</f>
        <v>80.552997117621018</v>
      </c>
      <c r="AU17" s="2">
        <f t="shared" si="8"/>
        <v>45.967741935483872</v>
      </c>
      <c r="AV17" s="2">
        <f t="shared" si="9"/>
        <v>45.161290322580648</v>
      </c>
      <c r="AX17" s="2">
        <v>2</v>
      </c>
      <c r="AY17" s="2">
        <v>3</v>
      </c>
      <c r="AZ17" s="2">
        <f t="shared" si="10"/>
        <v>12</v>
      </c>
      <c r="BA17" s="2">
        <f t="shared" si="11"/>
        <v>36</v>
      </c>
      <c r="BB17" s="3"/>
      <c r="BC17" s="3"/>
      <c r="BD17" s="3"/>
      <c r="BE17" s="2" t="str">
        <f>CONCATENATE(
ROUND(BB17*VLOOKUP(K17,'ID Scheme'!$A$2:$E$7,3),0), "x",
ROUND(BC17*VLOOKUP(K17,'ID Scheme'!$A$2:$E$7,5),0), "x",
ROUND(BD17*VLOOKUP(K17,'ID Scheme'!$A$2:$E$7,4),0))</f>
        <v>0x0x0</v>
      </c>
    </row>
    <row r="18" spans="1:58" x14ac:dyDescent="0.3">
      <c r="A18" t="s">
        <v>610</v>
      </c>
      <c r="B18" t="s">
        <v>611</v>
      </c>
      <c r="C18" t="s">
        <v>348</v>
      </c>
      <c r="D18">
        <f>IF(G18 &gt; 2020, ((G18-2020)*4)+1610+I18,IF(G18 &gt; 1900, ((G18-1900)*10)+400+I18, ((G18-1730)*2)+I18))+VLOOKUP(K18,'ID Scheme'!$A$2:$B$7,2, FALSE)</f>
        <v>3721</v>
      </c>
      <c r="E18">
        <v>3721</v>
      </c>
      <c r="F18" t="s">
        <v>683</v>
      </c>
      <c r="G18">
        <v>1972</v>
      </c>
      <c r="H18">
        <v>3</v>
      </c>
      <c r="I18">
        <v>1</v>
      </c>
      <c r="J18" t="s">
        <v>522</v>
      </c>
      <c r="K18" t="s">
        <v>13</v>
      </c>
      <c r="L18" t="s">
        <v>501</v>
      </c>
      <c r="M18">
        <v>55</v>
      </c>
      <c r="N18">
        <v>22</v>
      </c>
      <c r="O18">
        <v>18</v>
      </c>
      <c r="P18">
        <v>5</v>
      </c>
      <c r="Q18">
        <v>9.5</v>
      </c>
      <c r="R18">
        <v>220</v>
      </c>
      <c r="S18">
        <v>20</v>
      </c>
      <c r="T18">
        <v>39</v>
      </c>
      <c r="U18">
        <v>1</v>
      </c>
      <c r="V18" t="s">
        <v>289</v>
      </c>
      <c r="W18">
        <v>-4</v>
      </c>
      <c r="X18" s="2" t="s">
        <v>615</v>
      </c>
      <c r="Y18" s="2"/>
      <c r="Z18" s="2" t="s">
        <v>331</v>
      </c>
      <c r="AA18" s="2"/>
      <c r="AB18" s="2"/>
      <c r="AC18" s="2"/>
      <c r="AD18" s="2"/>
      <c r="AE18" s="2"/>
      <c r="AF18" s="2" t="s">
        <v>352</v>
      </c>
      <c r="AG18" s="2"/>
      <c r="AH18">
        <v>56</v>
      </c>
      <c r="AJ18">
        <v>1</v>
      </c>
      <c r="AL18" t="s">
        <v>408</v>
      </c>
      <c r="AM18" t="s">
        <v>584</v>
      </c>
      <c r="AN18" t="s">
        <v>616</v>
      </c>
      <c r="AO18">
        <v>2</v>
      </c>
      <c r="AR18" s="2">
        <f>(SQRT(M18*T18)*POWER((MIN(O18,20)+SQRT(MAX(O18-20,0))),0.9)*Data!$B$1)*(1-(U18-1))</f>
        <v>46.82956959430053</v>
      </c>
      <c r="AS18" s="2"/>
      <c r="AT18" s="2">
        <f>((POWER((M18*M18*T18), 0.33)*LOG10(R18)*10*Data!$B$1)*U18)+AS18</f>
        <v>82.873794341980769</v>
      </c>
      <c r="AU18" s="2">
        <f t="shared" si="8"/>
        <v>44.354838709677416</v>
      </c>
      <c r="AV18" s="2">
        <f t="shared" si="9"/>
        <v>45.161290322580648</v>
      </c>
      <c r="AX18" s="2">
        <v>2</v>
      </c>
      <c r="AY18" s="2">
        <v>3</v>
      </c>
      <c r="AZ18" s="2">
        <f t="shared" si="10"/>
        <v>13</v>
      </c>
      <c r="BA18" s="2">
        <f t="shared" si="11"/>
        <v>39</v>
      </c>
      <c r="BB18" s="3"/>
      <c r="BC18" s="3"/>
      <c r="BD18" s="3"/>
      <c r="BE18" s="2" t="str">
        <f>CONCATENATE(
ROUND(BB18*VLOOKUP(K18,'ID Scheme'!$A$2:$E$7,3),0), "x",
ROUND(BC18*VLOOKUP(K18,'ID Scheme'!$A$2:$E$7,5),0), "x",
ROUND(BD18*VLOOKUP(K18,'ID Scheme'!$A$2:$E$7,4),0))</f>
        <v>0x0x0</v>
      </c>
    </row>
    <row r="19" spans="1:58" x14ac:dyDescent="0.3">
      <c r="A19" t="s">
        <v>95</v>
      </c>
      <c r="B19" t="s">
        <v>222</v>
      </c>
      <c r="C19" t="s">
        <v>348</v>
      </c>
      <c r="D19">
        <f>IF(G19 &gt; 2020, ((G19-2020)*4)+1610+I19,IF(G19 &gt; 1900, ((G19-1900)*10)+400+I19, ((G19-1730)*2)+I19))+VLOOKUP(K19,'ID Scheme'!$A$2:$B$7,2, FALSE)</f>
        <v>3771</v>
      </c>
      <c r="E19">
        <v>3771</v>
      </c>
      <c r="F19" t="s">
        <v>683</v>
      </c>
      <c r="G19">
        <v>1977</v>
      </c>
      <c r="H19">
        <v>1</v>
      </c>
      <c r="I19">
        <v>1</v>
      </c>
      <c r="J19" t="s">
        <v>522</v>
      </c>
      <c r="K19" t="s">
        <v>13</v>
      </c>
      <c r="L19" t="s">
        <v>501</v>
      </c>
      <c r="M19">
        <v>60</v>
      </c>
      <c r="N19">
        <v>16</v>
      </c>
      <c r="O19">
        <v>18</v>
      </c>
      <c r="P19">
        <v>5</v>
      </c>
      <c r="Q19">
        <v>9.5</v>
      </c>
      <c r="R19">
        <v>280</v>
      </c>
      <c r="S19">
        <v>20</v>
      </c>
      <c r="T19">
        <v>39</v>
      </c>
      <c r="U19">
        <v>1</v>
      </c>
      <c r="V19" t="s">
        <v>289</v>
      </c>
      <c r="W19">
        <v>-3</v>
      </c>
      <c r="X19" s="2" t="s">
        <v>475</v>
      </c>
      <c r="Y19" s="2"/>
      <c r="Z19" s="2" t="s">
        <v>331</v>
      </c>
      <c r="AA19" s="2"/>
      <c r="AB19" s="2"/>
      <c r="AC19" s="2"/>
      <c r="AD19" s="2"/>
      <c r="AE19" s="2"/>
      <c r="AF19" s="2" t="s">
        <v>352</v>
      </c>
      <c r="AG19" s="2"/>
      <c r="AH19">
        <v>56</v>
      </c>
      <c r="AJ19">
        <v>1</v>
      </c>
      <c r="AL19" t="s">
        <v>408</v>
      </c>
      <c r="AM19" t="s">
        <v>584</v>
      </c>
      <c r="AN19" t="s">
        <v>539</v>
      </c>
      <c r="AO19">
        <v>2</v>
      </c>
      <c r="AR19" s="2">
        <f>(SQRT(M19*T19)*POWER((MIN(O19,20)+SQRT(MAX(O19-20,0))),0.9)*Data!$B$1)*(1-(U19-1))</f>
        <v>48.911890226340333</v>
      </c>
      <c r="AS19" s="2"/>
      <c r="AT19" s="2">
        <f>((POWER((M19*M19*T19), 0.33)*LOG10(R19)*10*Data!$B$1)*U19)+AS19</f>
        <v>91.696851682976998</v>
      </c>
      <c r="AU19" s="2">
        <f t="shared" si="8"/>
        <v>48.387096774193552</v>
      </c>
      <c r="AV19" s="2">
        <f t="shared" si="9"/>
        <v>45.161290322580648</v>
      </c>
      <c r="AX19" s="2">
        <v>2</v>
      </c>
      <c r="AY19" s="2">
        <v>3</v>
      </c>
      <c r="AZ19" s="2">
        <f t="shared" si="10"/>
        <v>13</v>
      </c>
      <c r="BA19" s="2">
        <f t="shared" si="11"/>
        <v>39</v>
      </c>
      <c r="BB19" s="3"/>
      <c r="BC19" s="3"/>
      <c r="BD19" s="3"/>
      <c r="BE19" s="2" t="str">
        <f>CONCATENATE(
ROUND(BB19*VLOOKUP(K19,'ID Scheme'!$A$2:$E$7,3),0), "x",
ROUND(BC19*VLOOKUP(K19,'ID Scheme'!$A$2:$E$7,5),0), "x",
ROUND(BD19*VLOOKUP(K19,'ID Scheme'!$A$2:$E$7,4),0))</f>
        <v>0x0x0</v>
      </c>
      <c r="BF19" t="s">
        <v>96</v>
      </c>
    </row>
    <row r="20" spans="1:58" x14ac:dyDescent="0.3">
      <c r="A20" t="s">
        <v>5</v>
      </c>
      <c r="B20" t="s">
        <v>190</v>
      </c>
      <c r="C20" t="s">
        <v>348</v>
      </c>
      <c r="D20">
        <f>IF(G20 &gt; 2020, ((G20-2020)*4)+1610+I20,IF(G20 &gt; 1900, ((G20-1900)*10)+400+I20, ((G20-1730)*2)+I20))+VLOOKUP(K20,'ID Scheme'!$A$2:$B$7,2, FALSE)</f>
        <v>3681</v>
      </c>
      <c r="E20">
        <v>3681</v>
      </c>
      <c r="F20" t="s">
        <v>683</v>
      </c>
      <c r="G20">
        <v>1968</v>
      </c>
      <c r="H20">
        <v>1</v>
      </c>
      <c r="I20">
        <v>1</v>
      </c>
      <c r="J20" t="s">
        <v>522</v>
      </c>
      <c r="K20" t="s">
        <v>13</v>
      </c>
      <c r="L20" t="s">
        <v>501</v>
      </c>
      <c r="M20">
        <v>68</v>
      </c>
      <c r="N20">
        <v>12</v>
      </c>
      <c r="O20">
        <v>15</v>
      </c>
      <c r="P20">
        <v>5</v>
      </c>
      <c r="Q20">
        <v>10</v>
      </c>
      <c r="R20">
        <v>247</v>
      </c>
      <c r="S20">
        <v>25</v>
      </c>
      <c r="T20">
        <v>36</v>
      </c>
      <c r="U20">
        <v>1</v>
      </c>
      <c r="V20" t="s">
        <v>295</v>
      </c>
      <c r="W20">
        <v>-3</v>
      </c>
      <c r="X20" s="2" t="s">
        <v>474</v>
      </c>
      <c r="Y20" s="2"/>
      <c r="Z20" s="2" t="s">
        <v>331</v>
      </c>
      <c r="AA20" s="2"/>
      <c r="AB20" s="2"/>
      <c r="AC20" s="2"/>
      <c r="AD20" s="2"/>
      <c r="AE20" s="2"/>
      <c r="AF20" s="2" t="s">
        <v>352</v>
      </c>
      <c r="AG20" s="2"/>
      <c r="AH20">
        <v>56</v>
      </c>
      <c r="AJ20">
        <v>1</v>
      </c>
      <c r="AL20" t="s">
        <v>408</v>
      </c>
      <c r="AM20" t="s">
        <v>584</v>
      </c>
      <c r="AN20" t="s">
        <v>540</v>
      </c>
      <c r="AO20">
        <v>2</v>
      </c>
      <c r="AR20" s="2">
        <f>(SQRT(M20*T20)*POWER((MIN(O20,20)+SQRT(MAX(O20-20,0))),0.9)*Data!$B$1)*(1-(U20-1))</f>
        <v>42.456980398337514</v>
      </c>
      <c r="AS20" s="2">
        <v>15</v>
      </c>
      <c r="AT20" s="2">
        <f>((POWER((M20*M20*T20), 0.33)*LOG10(R20)*10*Data!$B$1)*U20)+AS20</f>
        <v>109.83849808071786</v>
      </c>
      <c r="AU20" s="2">
        <f t="shared" si="8"/>
        <v>54.838709677419352</v>
      </c>
      <c r="AV20" s="2">
        <f t="shared" si="9"/>
        <v>45.161290322580648</v>
      </c>
      <c r="AX20" s="2">
        <v>2</v>
      </c>
      <c r="AY20" s="2">
        <v>3</v>
      </c>
      <c r="AZ20" s="2">
        <f t="shared" si="10"/>
        <v>12</v>
      </c>
      <c r="BA20" s="2">
        <f t="shared" si="11"/>
        <v>36</v>
      </c>
      <c r="BB20" s="3"/>
      <c r="BC20" s="3"/>
      <c r="BD20" s="3"/>
      <c r="BE20" s="2" t="str">
        <f>CONCATENATE(
ROUND(BB20*VLOOKUP(K20,'ID Scheme'!$A$2:$E$7,3),0), "x",
ROUND(BC20*VLOOKUP(K20,'ID Scheme'!$A$2:$E$7,5),0), "x",
ROUND(BD20*VLOOKUP(K20,'ID Scheme'!$A$2:$E$7,4),0))</f>
        <v>0x0x0</v>
      </c>
    </row>
    <row r="21" spans="1:58" x14ac:dyDescent="0.3">
      <c r="A21" t="s">
        <v>6</v>
      </c>
      <c r="B21" t="s">
        <v>210</v>
      </c>
      <c r="C21" t="s">
        <v>348</v>
      </c>
      <c r="D21">
        <f>IF(G21 &gt; 2020, ((G21-2020)*4)+1610+I21,IF(G21 &gt; 1900, ((G21-1900)*10)+400+I21, ((G21-1730)*2)+I21))+VLOOKUP(K21,'ID Scheme'!$A$2:$B$7,2, FALSE)</f>
        <v>3801</v>
      </c>
      <c r="E21">
        <v>3801</v>
      </c>
      <c r="F21" t="s">
        <v>683</v>
      </c>
      <c r="G21">
        <v>1980</v>
      </c>
      <c r="H21">
        <v>1</v>
      </c>
      <c r="I21">
        <v>1</v>
      </c>
      <c r="J21" t="s">
        <v>522</v>
      </c>
      <c r="K21" t="s">
        <v>13</v>
      </c>
      <c r="L21" t="s">
        <v>501</v>
      </c>
      <c r="M21">
        <v>62</v>
      </c>
      <c r="N21">
        <v>20</v>
      </c>
      <c r="O21">
        <v>17</v>
      </c>
      <c r="P21">
        <v>5</v>
      </c>
      <c r="Q21">
        <v>11.5</v>
      </c>
      <c r="R21">
        <v>350</v>
      </c>
      <c r="S21">
        <v>20</v>
      </c>
      <c r="T21">
        <v>42</v>
      </c>
      <c r="U21">
        <v>1</v>
      </c>
      <c r="V21" t="s">
        <v>299</v>
      </c>
      <c r="W21">
        <v>-3</v>
      </c>
      <c r="X21" s="2" t="s">
        <v>476</v>
      </c>
      <c r="Y21" s="2"/>
      <c r="Z21" s="2" t="s">
        <v>331</v>
      </c>
      <c r="AA21" s="2"/>
      <c r="AB21" s="2"/>
      <c r="AC21" s="2"/>
      <c r="AD21" s="2"/>
      <c r="AE21" s="2"/>
      <c r="AF21" s="2" t="s">
        <v>352</v>
      </c>
      <c r="AG21" s="2"/>
      <c r="AH21">
        <v>56</v>
      </c>
      <c r="AJ21">
        <v>1</v>
      </c>
      <c r="AL21" t="s">
        <v>408</v>
      </c>
      <c r="AM21" t="s">
        <v>584</v>
      </c>
      <c r="AN21" t="s">
        <v>541</v>
      </c>
      <c r="AO21">
        <v>2</v>
      </c>
      <c r="AR21" s="2">
        <f>(SQRT(M21*T21)*POWER((MIN(O21,20)+SQRT(MAX(O21-20,0))),0.9)*Data!$B$1)*(1-(U21-1))</f>
        <v>49.010121885450587</v>
      </c>
      <c r="AS21" s="2"/>
      <c r="AT21" s="2">
        <f>((POWER((M21*M21*T21), 0.33)*LOG10(R21)*10*Data!$B$1)*U21)+AS21</f>
        <v>99.825332904493919</v>
      </c>
      <c r="AU21" s="2">
        <f t="shared" si="8"/>
        <v>50</v>
      </c>
      <c r="AV21" s="2">
        <f t="shared" si="9"/>
        <v>45.161290322580648</v>
      </c>
      <c r="AX21" s="2">
        <v>2</v>
      </c>
      <c r="AY21" s="2">
        <v>3</v>
      </c>
      <c r="AZ21" s="2">
        <f t="shared" si="10"/>
        <v>14</v>
      </c>
      <c r="BA21" s="2">
        <f t="shared" si="11"/>
        <v>42</v>
      </c>
      <c r="BB21" s="3"/>
      <c r="BC21" s="3"/>
      <c r="BD21" s="3"/>
      <c r="BE21" s="2" t="str">
        <f>CONCATENATE(
ROUND(BB21*VLOOKUP(K21,'ID Scheme'!$A$2:$E$7,3),0), "x",
ROUND(BC21*VLOOKUP(K21,'ID Scheme'!$A$2:$E$7,5),0), "x",
ROUND(BD21*VLOOKUP(K21,'ID Scheme'!$A$2:$E$7,4),0))</f>
        <v>0x0x0</v>
      </c>
    </row>
    <row r="22" spans="1:58" x14ac:dyDescent="0.3">
      <c r="A22" t="s">
        <v>355</v>
      </c>
      <c r="B22" t="s">
        <v>353</v>
      </c>
      <c r="C22" t="s">
        <v>349</v>
      </c>
      <c r="D22">
        <v>0</v>
      </c>
      <c r="E22">
        <v>-1</v>
      </c>
      <c r="Y22" t="s">
        <v>331</v>
      </c>
      <c r="Z22" t="s">
        <v>331</v>
      </c>
      <c r="AN22" t="s">
        <v>556</v>
      </c>
      <c r="AO22">
        <v>8</v>
      </c>
      <c r="AT22" s="2"/>
    </row>
    <row r="23" spans="1:58" x14ac:dyDescent="0.3">
      <c r="A23" t="s">
        <v>623</v>
      </c>
      <c r="B23" t="s">
        <v>624</v>
      </c>
      <c r="C23" t="s">
        <v>348</v>
      </c>
      <c r="D23">
        <v>3802</v>
      </c>
      <c r="E23">
        <v>3802</v>
      </c>
      <c r="F23" t="s">
        <v>683</v>
      </c>
      <c r="G23">
        <v>1980</v>
      </c>
      <c r="H23">
        <v>9</v>
      </c>
      <c r="I23">
        <v>2</v>
      </c>
      <c r="J23" t="s">
        <v>522</v>
      </c>
      <c r="K23" t="s">
        <v>13</v>
      </c>
      <c r="L23" t="s">
        <v>501</v>
      </c>
      <c r="M23">
        <v>60</v>
      </c>
      <c r="N23">
        <v>16</v>
      </c>
      <c r="O23">
        <v>18</v>
      </c>
      <c r="P23">
        <v>5</v>
      </c>
      <c r="Q23">
        <v>14</v>
      </c>
      <c r="R23">
        <v>380</v>
      </c>
      <c r="S23">
        <v>18</v>
      </c>
      <c r="T23">
        <v>45</v>
      </c>
      <c r="U23">
        <v>1</v>
      </c>
      <c r="V23" t="s">
        <v>295</v>
      </c>
      <c r="W23">
        <v>-3</v>
      </c>
      <c r="X23" s="2" t="s">
        <v>625</v>
      </c>
      <c r="Y23" s="2"/>
      <c r="Z23" s="2" t="s">
        <v>331</v>
      </c>
      <c r="AA23" s="2"/>
      <c r="AB23" s="2"/>
      <c r="AC23" s="2"/>
      <c r="AD23" s="2"/>
      <c r="AE23" s="2"/>
      <c r="AF23" s="2" t="s">
        <v>353</v>
      </c>
      <c r="AG23" s="2"/>
      <c r="AH23">
        <v>56</v>
      </c>
      <c r="AJ23">
        <v>1</v>
      </c>
      <c r="AL23" t="s">
        <v>408</v>
      </c>
      <c r="AM23" t="s">
        <v>626</v>
      </c>
      <c r="AN23" t="s">
        <v>627</v>
      </c>
      <c r="AO23">
        <v>6</v>
      </c>
      <c r="AR23" s="2">
        <v>52.539798162699419</v>
      </c>
      <c r="AS23" s="2"/>
      <c r="AT23" s="2">
        <v>101.34083892908721</v>
      </c>
      <c r="AU23" s="2">
        <f t="shared" ref="AU23" si="12">M23/1.24</f>
        <v>48.387096774193552</v>
      </c>
      <c r="AV23" s="2">
        <f t="shared" ref="AV23" si="13">AH23/1.24</f>
        <v>45.161290322580648</v>
      </c>
      <c r="AX23" s="2">
        <v>2</v>
      </c>
      <c r="AY23" s="2">
        <v>3</v>
      </c>
      <c r="AZ23" s="2">
        <f t="shared" ref="AZ23" si="14">T23/AY23</f>
        <v>15</v>
      </c>
      <c r="BA23" s="2">
        <f t="shared" ref="BA23" si="15">(T23)/MAX(AX23-1, 1)</f>
        <v>45</v>
      </c>
      <c r="BB23" s="3"/>
      <c r="BC23" s="3"/>
      <c r="BD23" s="3"/>
      <c r="BE23" s="2" t="s">
        <v>632</v>
      </c>
    </row>
    <row r="24" spans="1:58" x14ac:dyDescent="0.3">
      <c r="A24" t="s">
        <v>16</v>
      </c>
      <c r="B24" t="s">
        <v>230</v>
      </c>
      <c r="C24" t="s">
        <v>348</v>
      </c>
      <c r="D24">
        <f>IF(G24 &gt; 2020, ((G24-2020)*4)+1610+I24,IF(G24 &gt; 1900, ((G24-1900)*10)+400+I24, ((G24-1730)*2)+I24))+VLOOKUP(K24,'ID Scheme'!$A$2:$B$7,2, FALSE)</f>
        <v>3871</v>
      </c>
      <c r="E24">
        <v>3871</v>
      </c>
      <c r="F24" t="s">
        <v>683</v>
      </c>
      <c r="G24">
        <v>1987</v>
      </c>
      <c r="H24">
        <v>1</v>
      </c>
      <c r="I24">
        <v>1</v>
      </c>
      <c r="J24" t="s">
        <v>522</v>
      </c>
      <c r="K24" t="s">
        <v>13</v>
      </c>
      <c r="L24" t="s">
        <v>501</v>
      </c>
      <c r="M24">
        <v>65</v>
      </c>
      <c r="N24">
        <v>14</v>
      </c>
      <c r="O24">
        <v>15</v>
      </c>
      <c r="P24">
        <v>5</v>
      </c>
      <c r="Q24">
        <v>12</v>
      </c>
      <c r="R24">
        <v>420</v>
      </c>
      <c r="S24">
        <v>18</v>
      </c>
      <c r="T24">
        <v>45</v>
      </c>
      <c r="U24">
        <v>1</v>
      </c>
      <c r="V24" t="s">
        <v>299</v>
      </c>
      <c r="W24">
        <v>-3</v>
      </c>
      <c r="X24" s="2" t="s">
        <v>467</v>
      </c>
      <c r="Y24" s="2"/>
      <c r="Z24" s="2" t="s">
        <v>331</v>
      </c>
      <c r="AA24" s="2"/>
      <c r="AB24" s="2"/>
      <c r="AC24" s="2"/>
      <c r="AD24" s="2"/>
      <c r="AE24" s="2"/>
      <c r="AF24" s="2" t="s">
        <v>353</v>
      </c>
      <c r="AG24" s="2"/>
      <c r="AH24">
        <v>56</v>
      </c>
      <c r="AJ24">
        <v>1</v>
      </c>
      <c r="AL24" t="s">
        <v>408</v>
      </c>
      <c r="AM24" t="s">
        <v>584</v>
      </c>
      <c r="AN24" t="s">
        <v>542</v>
      </c>
      <c r="AO24">
        <v>2</v>
      </c>
      <c r="AR24" s="2">
        <f>(SQRT(M24*T24)*POWER((MIN(O24,20)+SQRT(MAX(O24-20,0))),0.9)*Data!$B$1)*(1-(U24-1))</f>
        <v>46.409440397444101</v>
      </c>
      <c r="AS24" s="2"/>
      <c r="AT24" s="2">
        <f>((POWER((M24*M24*T24), 0.33)*LOG10(R24)*10*Data!$B$1)*U24)+AS24</f>
        <v>108.63850295590133</v>
      </c>
      <c r="AU24" s="2">
        <f>M24/1.24</f>
        <v>52.41935483870968</v>
      </c>
      <c r="AV24" s="2">
        <f>AH24/1.24</f>
        <v>45.161290322580648</v>
      </c>
      <c r="AX24" s="2">
        <v>2</v>
      </c>
      <c r="AY24" s="2">
        <v>3</v>
      </c>
      <c r="AZ24" s="2">
        <f>T24/AY24</f>
        <v>15</v>
      </c>
      <c r="BA24" s="2">
        <f>(T24)/MAX(AX24-1, 1)</f>
        <v>45</v>
      </c>
      <c r="BB24" s="3"/>
      <c r="BC24" s="3"/>
      <c r="BD24" s="3"/>
      <c r="BE24" s="2" t="str">
        <f>CONCATENATE(
ROUND(BB24*VLOOKUP(K24,'ID Scheme'!$A$2:$E$7,3),0), "x",
ROUND(BC24*VLOOKUP(K24,'ID Scheme'!$A$2:$E$7,5),0), "x",
ROUND(BD24*VLOOKUP(K24,'ID Scheme'!$A$2:$E$7,4),0))</f>
        <v>0x0x0</v>
      </c>
    </row>
    <row r="25" spans="1:58" x14ac:dyDescent="0.3">
      <c r="A25" t="s">
        <v>17</v>
      </c>
      <c r="B25" t="s">
        <v>231</v>
      </c>
      <c r="C25" t="s">
        <v>348</v>
      </c>
      <c r="D25">
        <f>IF(G25 &gt; 2020, ((G25-2020)*4)+1610+I25,IF(G25 &gt; 1900, ((G25-1900)*10)+400+I25, ((G25-1730)*2)+I25))+VLOOKUP(K25,'ID Scheme'!$A$2:$B$7,2, FALSE)</f>
        <v>3951</v>
      </c>
      <c r="E25">
        <v>3951</v>
      </c>
      <c r="F25" t="s">
        <v>683</v>
      </c>
      <c r="G25">
        <v>1995</v>
      </c>
      <c r="H25">
        <v>6</v>
      </c>
      <c r="I25">
        <v>1</v>
      </c>
      <c r="J25" t="s">
        <v>522</v>
      </c>
      <c r="K25" t="s">
        <v>13</v>
      </c>
      <c r="L25" t="s">
        <v>501</v>
      </c>
      <c r="M25">
        <v>68</v>
      </c>
      <c r="N25">
        <v>12</v>
      </c>
      <c r="O25">
        <v>15</v>
      </c>
      <c r="P25">
        <v>5</v>
      </c>
      <c r="Q25">
        <v>12.5</v>
      </c>
      <c r="R25">
        <v>420</v>
      </c>
      <c r="S25">
        <v>20</v>
      </c>
      <c r="T25">
        <v>48</v>
      </c>
      <c r="U25">
        <v>1</v>
      </c>
      <c r="V25" t="s">
        <v>299</v>
      </c>
      <c r="W25">
        <v>-3</v>
      </c>
      <c r="X25" s="2" t="s">
        <v>468</v>
      </c>
      <c r="Y25" s="2"/>
      <c r="Z25" s="2" t="s">
        <v>331</v>
      </c>
      <c r="AA25" s="2"/>
      <c r="AB25" s="2"/>
      <c r="AC25" s="2"/>
      <c r="AD25" s="2"/>
      <c r="AE25" s="2"/>
      <c r="AF25" s="2" t="s">
        <v>353</v>
      </c>
      <c r="AG25" s="2"/>
      <c r="AH25">
        <v>56</v>
      </c>
      <c r="AJ25">
        <v>1</v>
      </c>
      <c r="AL25" t="s">
        <v>408</v>
      </c>
      <c r="AM25" t="s">
        <v>584</v>
      </c>
      <c r="AN25" t="s">
        <v>543</v>
      </c>
      <c r="AO25">
        <v>2</v>
      </c>
      <c r="AR25" s="2">
        <f>(SQRT(M25*T25)*POWER((MIN(O25,20)+SQRT(MAX(O25-20,0))),0.9)*Data!$B$1)*(1-(U25-1))</f>
        <v>49.025098123917665</v>
      </c>
      <c r="AS25" s="2"/>
      <c r="AT25" s="2">
        <f>((POWER((M25*M25*T25), 0.33)*LOG10(R25)*10*Data!$B$1)*U25)+AS25</f>
        <v>114.33160972754995</v>
      </c>
      <c r="AU25" s="2">
        <f>M25/1.24</f>
        <v>54.838709677419352</v>
      </c>
      <c r="AV25" s="2">
        <f>AH25/1.24</f>
        <v>45.161290322580648</v>
      </c>
      <c r="AX25" s="2">
        <v>2</v>
      </c>
      <c r="AY25" s="2">
        <v>3</v>
      </c>
      <c r="AZ25" s="2">
        <f>T25/AY25</f>
        <v>16</v>
      </c>
      <c r="BA25" s="2">
        <f>(T25)/MAX(AX25-1, 1)</f>
        <v>48</v>
      </c>
      <c r="BB25" s="3"/>
      <c r="BC25" s="3"/>
      <c r="BD25" s="3"/>
      <c r="BE25" s="2" t="str">
        <f>CONCATENATE(
ROUND(BB25*VLOOKUP(K25,'ID Scheme'!$A$2:$E$7,3),0), "x",
ROUND(BC25*VLOOKUP(K25,'ID Scheme'!$A$2:$E$7,5),0), "x",
ROUND(BD25*VLOOKUP(K25,'ID Scheme'!$A$2:$E$7,4),0))</f>
        <v>0x0x0</v>
      </c>
    </row>
    <row r="26" spans="1:58" x14ac:dyDescent="0.3">
      <c r="A26" t="s">
        <v>18</v>
      </c>
      <c r="B26" t="s">
        <v>232</v>
      </c>
      <c r="C26" t="s">
        <v>348</v>
      </c>
      <c r="D26">
        <f>IF(G26 &gt; 2020, ((G26-2020)*4)+1610+I26,IF(G26 &gt; 1900, ((G26-1900)*10)+400+I26, ((G26-1730)*2)+I26))+VLOOKUP(K26,'ID Scheme'!$A$2:$B$7,2, FALSE)</f>
        <v>4041</v>
      </c>
      <c r="E26">
        <v>4041</v>
      </c>
      <c r="F26" t="s">
        <v>683</v>
      </c>
      <c r="G26">
        <v>2004</v>
      </c>
      <c r="H26">
        <v>6</v>
      </c>
      <c r="I26">
        <v>1</v>
      </c>
      <c r="J26" t="s">
        <v>522</v>
      </c>
      <c r="K26" t="s">
        <v>13</v>
      </c>
      <c r="L26" t="s">
        <v>501</v>
      </c>
      <c r="M26">
        <v>72</v>
      </c>
      <c r="N26">
        <v>-1</v>
      </c>
      <c r="O26">
        <v>15</v>
      </c>
      <c r="P26">
        <v>5</v>
      </c>
      <c r="Q26">
        <v>12.5</v>
      </c>
      <c r="R26">
        <v>580</v>
      </c>
      <c r="S26">
        <v>20</v>
      </c>
      <c r="T26">
        <v>54</v>
      </c>
      <c r="U26">
        <v>1</v>
      </c>
      <c r="V26" t="s">
        <v>299</v>
      </c>
      <c r="W26">
        <v>-3</v>
      </c>
      <c r="X26" s="2" t="s">
        <v>463</v>
      </c>
      <c r="Y26" s="2"/>
      <c r="Z26" s="2" t="s">
        <v>331</v>
      </c>
      <c r="AA26" s="2"/>
      <c r="AB26" s="2"/>
      <c r="AC26" s="2"/>
      <c r="AD26" s="2"/>
      <c r="AE26" s="2"/>
      <c r="AF26" s="2" t="s">
        <v>353</v>
      </c>
      <c r="AG26" s="2"/>
      <c r="AH26">
        <v>56</v>
      </c>
      <c r="AJ26">
        <v>1</v>
      </c>
      <c r="AL26" t="s">
        <v>408</v>
      </c>
      <c r="AM26" t="s">
        <v>584</v>
      </c>
      <c r="AN26" t="s">
        <v>544</v>
      </c>
      <c r="AO26">
        <v>2</v>
      </c>
      <c r="AR26" s="2">
        <f>(SQRT(M26*T26)*POWER((MIN(O26,20)+SQRT(MAX(O26-20,0))),0.9)*Data!$B$1)*(1-(U26-1))</f>
        <v>53.506497671783663</v>
      </c>
      <c r="AS26" s="2"/>
      <c r="AT26" s="2">
        <f>((POWER((M26*M26*T26), 0.33)*LOG10(R26)*10*Data!$B$1)*U26)+AS26</f>
        <v>130.02857541304473</v>
      </c>
      <c r="AU26" s="2">
        <f>M26/1.24</f>
        <v>58.064516129032256</v>
      </c>
      <c r="AV26" s="2">
        <f>AH26/1.24</f>
        <v>45.161290322580648</v>
      </c>
      <c r="AX26" s="2">
        <v>2</v>
      </c>
      <c r="AY26" s="2">
        <v>3</v>
      </c>
      <c r="AZ26" s="2">
        <f>T26/AY26</f>
        <v>18</v>
      </c>
      <c r="BA26" s="2">
        <f>(T26)/MAX(AX26-1, 1)</f>
        <v>54</v>
      </c>
      <c r="BB26" s="3"/>
      <c r="BC26" s="3"/>
      <c r="BD26" s="3"/>
      <c r="BE26" s="2" t="str">
        <f>CONCATENATE(
ROUND(BB26*VLOOKUP(K26,'ID Scheme'!$A$2:$E$7,3),0), "x",
ROUND(BC26*VLOOKUP(K26,'ID Scheme'!$A$2:$E$7,5),0), "x",
ROUND(BD26*VLOOKUP(K26,'ID Scheme'!$A$2:$E$7,4),0))</f>
        <v>0x0x0</v>
      </c>
    </row>
    <row r="27" spans="1:58" x14ac:dyDescent="0.3">
      <c r="A27" t="s">
        <v>84</v>
      </c>
      <c r="B27" t="s">
        <v>215</v>
      </c>
      <c r="C27" t="s">
        <v>348</v>
      </c>
      <c r="D27">
        <f>IF(G27 &gt; 2020, ((G27-2020)*4)+1610+I27,IF(G27 &gt; 1900, ((G27-1900)*10)+400+I27, ((G27-1730)*2)+I27))+VLOOKUP(K27,'ID Scheme'!$A$2:$B$7,2, FALSE)</f>
        <v>4011</v>
      </c>
      <c r="E27">
        <v>4011</v>
      </c>
      <c r="F27" t="s">
        <v>683</v>
      </c>
      <c r="G27">
        <v>2001</v>
      </c>
      <c r="H27">
        <v>1</v>
      </c>
      <c r="I27">
        <v>1</v>
      </c>
      <c r="J27" t="s">
        <v>522</v>
      </c>
      <c r="K27" t="s">
        <v>13</v>
      </c>
      <c r="L27" t="s">
        <v>501</v>
      </c>
      <c r="M27">
        <v>70</v>
      </c>
      <c r="N27">
        <v>14</v>
      </c>
      <c r="O27">
        <v>14</v>
      </c>
      <c r="P27">
        <v>5</v>
      </c>
      <c r="Q27">
        <v>12.5</v>
      </c>
      <c r="R27">
        <v>440</v>
      </c>
      <c r="S27">
        <v>20</v>
      </c>
      <c r="T27">
        <v>51</v>
      </c>
      <c r="U27">
        <v>0.97</v>
      </c>
      <c r="V27" t="s">
        <v>289</v>
      </c>
      <c r="W27">
        <v>-3</v>
      </c>
      <c r="X27" s="2" t="s">
        <v>465</v>
      </c>
      <c r="Y27" s="2"/>
      <c r="Z27" s="2" t="s">
        <v>331</v>
      </c>
      <c r="AA27" s="2"/>
      <c r="AB27" s="2"/>
      <c r="AC27" s="2"/>
      <c r="AD27" s="2"/>
      <c r="AE27" s="2"/>
      <c r="AF27" s="2" t="s">
        <v>353</v>
      </c>
      <c r="AG27" s="2"/>
      <c r="AH27">
        <v>56</v>
      </c>
      <c r="AJ27">
        <v>1</v>
      </c>
      <c r="AL27" t="s">
        <v>408</v>
      </c>
      <c r="AM27" t="s">
        <v>584</v>
      </c>
      <c r="AN27" t="s">
        <v>545</v>
      </c>
      <c r="AO27">
        <v>2</v>
      </c>
      <c r="AR27" s="2">
        <f>(SQRT(M27*T27)*POWER((MIN(O27,20)+SQRT(MAX(O27-20,0))),0.9)*Data!$B$1)*(1-(U27-1))</f>
        <v>49.630406036450424</v>
      </c>
      <c r="AS27" s="2"/>
      <c r="AT27" s="2">
        <f>((POWER((M27*M27*T27), 0.33)*LOG10(R27)*10*Data!$B$1)*U27)+AS27</f>
        <v>116.21639568567561</v>
      </c>
      <c r="AU27" s="2">
        <f>M27/1.24</f>
        <v>56.451612903225808</v>
      </c>
      <c r="AV27" s="2">
        <f>AH27/1.24</f>
        <v>45.161290322580648</v>
      </c>
      <c r="AX27" s="2">
        <v>2</v>
      </c>
      <c r="AY27" s="2">
        <v>3</v>
      </c>
      <c r="AZ27" s="2">
        <f>T27/AY27</f>
        <v>17</v>
      </c>
      <c r="BA27" s="2">
        <f>(T27)/MAX(AX27-1, 1)</f>
        <v>51</v>
      </c>
      <c r="BB27" s="3"/>
      <c r="BC27" s="3"/>
      <c r="BD27" s="3"/>
      <c r="BE27" s="2" t="str">
        <f>CONCATENATE(
ROUND(BB27*VLOOKUP(K27,'ID Scheme'!$A$2:$E$7,3),0), "x",
ROUND(BC27*VLOOKUP(K27,'ID Scheme'!$A$2:$E$7,5),0), "x",
ROUND(BD27*VLOOKUP(K27,'ID Scheme'!$A$2:$E$7,4),0))</f>
        <v>0x0x0</v>
      </c>
    </row>
    <row r="28" spans="1:58" x14ac:dyDescent="0.3">
      <c r="A28" t="s">
        <v>102</v>
      </c>
      <c r="B28" t="s">
        <v>223</v>
      </c>
      <c r="C28" t="s">
        <v>348</v>
      </c>
      <c r="D28">
        <f>IF(G28 &gt; 2020, ((G28-2020)*4)+1610+I28,IF(G28 &gt; 1900, ((G28-1900)*10)+400+I28, ((G28-1730)*2)+I28))+VLOOKUP(K28,'ID Scheme'!$A$2:$B$7,2, FALSE)</f>
        <v>4052</v>
      </c>
      <c r="E28">
        <v>4052</v>
      </c>
      <c r="F28" t="s">
        <v>683</v>
      </c>
      <c r="G28">
        <v>2005</v>
      </c>
      <c r="H28">
        <v>6</v>
      </c>
      <c r="I28">
        <v>2</v>
      </c>
      <c r="J28" t="s">
        <v>522</v>
      </c>
      <c r="K28" t="s">
        <v>13</v>
      </c>
      <c r="L28" t="s">
        <v>501</v>
      </c>
      <c r="M28">
        <v>70</v>
      </c>
      <c r="N28">
        <v>-1</v>
      </c>
      <c r="O28">
        <v>18</v>
      </c>
      <c r="P28">
        <v>5</v>
      </c>
      <c r="Q28">
        <v>12</v>
      </c>
      <c r="R28">
        <v>380</v>
      </c>
      <c r="S28">
        <v>20</v>
      </c>
      <c r="T28">
        <v>54</v>
      </c>
      <c r="U28">
        <v>1</v>
      </c>
      <c r="V28" t="s">
        <v>295</v>
      </c>
      <c r="W28">
        <v>-3</v>
      </c>
      <c r="X28" s="2" t="s">
        <v>461</v>
      </c>
      <c r="Y28" s="2"/>
      <c r="Z28" s="2" t="s">
        <v>331</v>
      </c>
      <c r="AA28" s="2"/>
      <c r="AB28" s="2"/>
      <c r="AC28" s="2"/>
      <c r="AD28" s="2"/>
      <c r="AE28" s="2"/>
      <c r="AF28" s="2" t="s">
        <v>353</v>
      </c>
      <c r="AG28" s="2"/>
      <c r="AH28">
        <v>56</v>
      </c>
      <c r="AJ28">
        <v>1</v>
      </c>
      <c r="AL28" t="s">
        <v>408</v>
      </c>
      <c r="AM28" t="s">
        <v>584</v>
      </c>
      <c r="AN28" t="s">
        <v>546</v>
      </c>
      <c r="AO28">
        <v>2</v>
      </c>
      <c r="AR28" s="2">
        <f>(SQRT(M28*T28)*POWER((MIN(O28,20)+SQRT(MAX(O28-20,0))),0.9)*Data!$B$1)*(1-(U28-1))</f>
        <v>62.165927543696078</v>
      </c>
      <c r="AS28" s="2"/>
      <c r="AT28" s="2">
        <f>((POWER((M28*M28*T28), 0.33)*LOG10(R28)*10*Data!$B$1)*U28)+AS28</f>
        <v>119.15141041758832</v>
      </c>
      <c r="AU28" s="2">
        <f>M28/1.24</f>
        <v>56.451612903225808</v>
      </c>
      <c r="AV28" s="2">
        <f>AH28/1.24</f>
        <v>45.161290322580648</v>
      </c>
      <c r="AX28" s="2">
        <v>2</v>
      </c>
      <c r="AY28" s="2">
        <v>3</v>
      </c>
      <c r="AZ28" s="2">
        <f>T28/AY28</f>
        <v>18</v>
      </c>
      <c r="BA28" s="2">
        <f>(T28)/MAX(AX28-1, 1)</f>
        <v>54</v>
      </c>
      <c r="BD28" s="3"/>
      <c r="BE28" s="2" t="str">
        <f>CONCATENATE(
ROUND(BB28*VLOOKUP(K28,'ID Scheme'!$A$2:$E$7,3),0), "x",
ROUND(BC28*VLOOKUP(K28,'ID Scheme'!$A$2:$E$7,5),0), "x",
ROUND(BD28*VLOOKUP(K28,'ID Scheme'!$A$2:$E$7,4),0))</f>
        <v>0x0x0</v>
      </c>
      <c r="BF28" t="s">
        <v>103</v>
      </c>
    </row>
    <row r="29" spans="1:58" x14ac:dyDescent="0.3">
      <c r="A29" t="s">
        <v>670</v>
      </c>
      <c r="B29" t="s">
        <v>671</v>
      </c>
      <c r="C29" t="s">
        <v>349</v>
      </c>
      <c r="D29">
        <v>0</v>
      </c>
      <c r="E29">
        <v>-1</v>
      </c>
      <c r="Y29" t="s">
        <v>331</v>
      </c>
      <c r="Z29" t="s">
        <v>331</v>
      </c>
      <c r="AN29" t="s">
        <v>672</v>
      </c>
      <c r="AO29">
        <v>8</v>
      </c>
      <c r="AT29" s="2"/>
    </row>
    <row r="30" spans="1:58" x14ac:dyDescent="0.3">
      <c r="A30" t="s">
        <v>673</v>
      </c>
      <c r="B30" t="s">
        <v>674</v>
      </c>
      <c r="C30" t="s">
        <v>348</v>
      </c>
      <c r="D30">
        <f>IF(G30 &gt; 2020, ((G30-2020)*4)+1610+I30,IF(G30 &gt; 1900, ((G30-1900)*10)+400+I30, ((G30-1730)*2)+I30))+VLOOKUP(K30,'ID Scheme'!$A$2:$B$7,2, FALSE)</f>
        <v>4215</v>
      </c>
      <c r="E30">
        <v>4215</v>
      </c>
      <c r="F30" t="s">
        <v>683</v>
      </c>
      <c r="G30">
        <v>2021</v>
      </c>
      <c r="H30">
        <v>11</v>
      </c>
      <c r="I30">
        <v>1</v>
      </c>
      <c r="J30" t="s">
        <v>522</v>
      </c>
      <c r="K30" t="s">
        <v>13</v>
      </c>
      <c r="L30" t="s">
        <v>501</v>
      </c>
      <c r="M30">
        <v>74</v>
      </c>
      <c r="N30">
        <v>-1</v>
      </c>
      <c r="O30">
        <v>18</v>
      </c>
      <c r="P30">
        <v>5</v>
      </c>
      <c r="Q30">
        <v>12</v>
      </c>
      <c r="R30">
        <v>460</v>
      </c>
      <c r="S30">
        <v>20</v>
      </c>
      <c r="T30">
        <v>54</v>
      </c>
      <c r="U30">
        <v>0.95</v>
      </c>
      <c r="V30" t="s">
        <v>289</v>
      </c>
      <c r="W30">
        <v>-3</v>
      </c>
      <c r="X30" s="2" t="s">
        <v>675</v>
      </c>
      <c r="Y30" s="2"/>
      <c r="Z30" s="2" t="s">
        <v>331</v>
      </c>
      <c r="AA30" s="2"/>
      <c r="AB30" s="2"/>
      <c r="AC30" s="2"/>
      <c r="AD30" s="2"/>
      <c r="AE30" s="2"/>
      <c r="AF30" s="2" t="s">
        <v>671</v>
      </c>
      <c r="AG30" s="2"/>
      <c r="AH30">
        <v>56</v>
      </c>
      <c r="AJ30">
        <v>1</v>
      </c>
      <c r="AL30" t="s">
        <v>408</v>
      </c>
      <c r="AM30" t="s">
        <v>584</v>
      </c>
      <c r="AN30" t="s">
        <v>677</v>
      </c>
      <c r="AO30">
        <v>2</v>
      </c>
      <c r="AR30" s="2">
        <f>(SQRT(M30*T30)*POWER((MIN(O30,20)+SQRT(MAX(O30-20,0))),0.9)*Data!$B$1)*(1-(U30-1))</f>
        <v>67.113294278834843</v>
      </c>
      <c r="AS30" s="2"/>
      <c r="AT30" s="2">
        <f>((POWER((M30*M30*T30), 0.33)*LOG10(R30)*10*Data!$B$1)*U30)+AS30</f>
        <v>121.19910566167707</v>
      </c>
      <c r="AU30" s="2">
        <f>M30/1.24</f>
        <v>59.677419354838712</v>
      </c>
      <c r="AV30" s="2">
        <f>AH30/1.24</f>
        <v>45.161290322580648</v>
      </c>
      <c r="AX30" s="2">
        <v>2</v>
      </c>
      <c r="AY30" s="2">
        <v>3</v>
      </c>
      <c r="AZ30" s="2">
        <f>T30/AY30</f>
        <v>18</v>
      </c>
      <c r="BA30" s="2">
        <f>(T30)/MAX(AX30-1, 1)</f>
        <v>54</v>
      </c>
      <c r="BD30" s="3"/>
      <c r="BE30" s="2" t="str">
        <f>CONCATENATE(
ROUND(BB30*VLOOKUP(K30,'ID Scheme'!$A$2:$E$7,3),0), "x",
ROUND(BC30*VLOOKUP(K30,'ID Scheme'!$A$2:$E$7,5),0), "x",
ROUND(BD30*VLOOKUP(K30,'ID Scheme'!$A$2:$E$7,4),0))</f>
        <v>0x0x0</v>
      </c>
      <c r="BF30" t="s">
        <v>676</v>
      </c>
    </row>
    <row r="31" spans="1:58" x14ac:dyDescent="0.3">
      <c r="A31" t="s">
        <v>585</v>
      </c>
      <c r="B31" t="s">
        <v>588</v>
      </c>
      <c r="C31" t="s">
        <v>349</v>
      </c>
      <c r="D31">
        <v>0</v>
      </c>
      <c r="E31">
        <v>-1</v>
      </c>
      <c r="AC31" t="s">
        <v>331</v>
      </c>
      <c r="AD31" t="s">
        <v>331</v>
      </c>
      <c r="AN31" t="s">
        <v>565</v>
      </c>
      <c r="AO31">
        <v>4</v>
      </c>
      <c r="AT31" s="2"/>
    </row>
    <row r="32" spans="1:58" x14ac:dyDescent="0.3">
      <c r="A32" t="s">
        <v>586</v>
      </c>
      <c r="B32" t="s">
        <v>589</v>
      </c>
      <c r="C32" t="s">
        <v>348</v>
      </c>
      <c r="D32">
        <f>IF(G32 &gt; 2020, ((G32-2020)*4)+1610+I32,IF(G32 &gt; 1900, ((G32-1900)*10)+400+I32, ((G32-1730)*2)+I32))+VLOOKUP(K32,'ID Scheme'!$A$2:$B$7,2, FALSE)</f>
        <v>2541</v>
      </c>
      <c r="E32">
        <v>2541</v>
      </c>
      <c r="F32" t="s">
        <v>683</v>
      </c>
      <c r="G32">
        <v>1700</v>
      </c>
      <c r="H32">
        <v>1</v>
      </c>
      <c r="I32">
        <v>1</v>
      </c>
      <c r="J32" t="s">
        <v>522</v>
      </c>
      <c r="K32" t="s">
        <v>13</v>
      </c>
      <c r="L32" t="s">
        <v>508</v>
      </c>
      <c r="M32">
        <v>15</v>
      </c>
      <c r="N32">
        <v>200</v>
      </c>
      <c r="O32">
        <v>12</v>
      </c>
      <c r="P32">
        <v>4</v>
      </c>
      <c r="Q32">
        <v>1</v>
      </c>
      <c r="R32">
        <v>10</v>
      </c>
      <c r="S32">
        <v>20</v>
      </c>
      <c r="T32">
        <v>8</v>
      </c>
      <c r="U32">
        <v>1</v>
      </c>
      <c r="V32" t="s">
        <v>287</v>
      </c>
      <c r="X32" s="2" t="s">
        <v>590</v>
      </c>
      <c r="Y32" s="2"/>
      <c r="Z32" s="2"/>
      <c r="AA32" s="2"/>
      <c r="AB32" s="2"/>
      <c r="AC32" s="2" t="s">
        <v>331</v>
      </c>
      <c r="AD32" s="2" t="s">
        <v>331</v>
      </c>
      <c r="AE32" s="2"/>
      <c r="AF32" t="s">
        <v>588</v>
      </c>
      <c r="AG32" s="2"/>
      <c r="AL32" t="s">
        <v>403</v>
      </c>
      <c r="AM32" t="s">
        <v>592</v>
      </c>
      <c r="AN32" t="s">
        <v>591</v>
      </c>
      <c r="AO32">
        <v>5</v>
      </c>
      <c r="AQ32" t="s">
        <v>287</v>
      </c>
      <c r="AR32" s="2">
        <f>(SQRT(M32*T32)*POWER((MIN(O32,20)+SQRT(MAX(O32-20,0))),0.9)*Data!$B$1)*(1-(U32-1))</f>
        <v>7.6897993492691086</v>
      </c>
      <c r="AS32" s="2"/>
      <c r="AT32" s="2">
        <f>((POWER((M32*M32*T32), 0.33)*LOG10(R32)*10*Data!$B$1)*U32)+AS32</f>
        <v>8.8981800674996272</v>
      </c>
      <c r="AU32" s="2">
        <f>M32/1.24</f>
        <v>12.096774193548388</v>
      </c>
      <c r="AV32" s="2">
        <f>AH32/1.24</f>
        <v>0</v>
      </c>
      <c r="AX32" s="2">
        <v>2</v>
      </c>
      <c r="AY32" s="2">
        <v>2</v>
      </c>
      <c r="AZ32" s="2">
        <f>T32/AY32</f>
        <v>4</v>
      </c>
      <c r="BA32" s="2">
        <f>(T32)/MAX(AX32-1, 1)</f>
        <v>8</v>
      </c>
      <c r="BB32" s="3"/>
      <c r="BC32" s="3"/>
      <c r="BD32" s="3"/>
      <c r="BE32" s="2" t="str">
        <f>CONCATENATE(
ROUND(BB32*VLOOKUP(K32,'ID Scheme'!$A$2:$E$7,3),0), "x",
ROUND(BC32*VLOOKUP(K32,'ID Scheme'!$A$2:$E$7,5),0), "x",
ROUND(BD32*VLOOKUP(K32,'ID Scheme'!$A$2:$E$7,4),0))</f>
        <v>0x0x0</v>
      </c>
    </row>
    <row r="33" spans="1:57" x14ac:dyDescent="0.3">
      <c r="A33" t="s">
        <v>409</v>
      </c>
      <c r="B33" t="s">
        <v>410</v>
      </c>
      <c r="C33" t="s">
        <v>349</v>
      </c>
      <c r="D33">
        <v>0</v>
      </c>
      <c r="E33">
        <v>-1</v>
      </c>
      <c r="AC33" t="s">
        <v>331</v>
      </c>
      <c r="AD33" t="s">
        <v>331</v>
      </c>
      <c r="AN33" t="s">
        <v>410</v>
      </c>
      <c r="AO33">
        <v>4</v>
      </c>
      <c r="AT33" s="2"/>
    </row>
    <row r="34" spans="1:57" x14ac:dyDescent="0.3">
      <c r="A34" t="s">
        <v>347</v>
      </c>
      <c r="B34" t="s">
        <v>193</v>
      </c>
      <c r="C34" t="s">
        <v>348</v>
      </c>
      <c r="D34">
        <f>IF(G34 &gt; 2020, ((G34-2020)*4)+1610+I34,IF(G34 &gt; 1900, ((G34-1900)*10)+400+I34, ((G34-1730)*2)+I34))+VLOOKUP(K34,'ID Scheme'!$A$2:$B$7,2, FALSE)</f>
        <v>2741</v>
      </c>
      <c r="E34">
        <v>2741</v>
      </c>
      <c r="F34" t="s">
        <v>683</v>
      </c>
      <c r="G34">
        <v>1800</v>
      </c>
      <c r="H34">
        <v>1</v>
      </c>
      <c r="I34">
        <v>1</v>
      </c>
      <c r="J34" t="s">
        <v>522</v>
      </c>
      <c r="K34" t="s">
        <v>13</v>
      </c>
      <c r="L34" t="s">
        <v>508</v>
      </c>
      <c r="M34">
        <v>16</v>
      </c>
      <c r="N34">
        <v>120</v>
      </c>
      <c r="O34">
        <v>12</v>
      </c>
      <c r="P34">
        <v>4</v>
      </c>
      <c r="Q34">
        <v>1</v>
      </c>
      <c r="R34">
        <v>15</v>
      </c>
      <c r="S34">
        <v>20</v>
      </c>
      <c r="T34">
        <v>12</v>
      </c>
      <c r="U34">
        <v>1</v>
      </c>
      <c r="V34" t="s">
        <v>287</v>
      </c>
      <c r="X34" s="2" t="s">
        <v>345</v>
      </c>
      <c r="Y34" s="2"/>
      <c r="Z34" s="2"/>
      <c r="AA34" s="2"/>
      <c r="AB34" s="2"/>
      <c r="AC34" s="2" t="s">
        <v>331</v>
      </c>
      <c r="AD34" s="2" t="s">
        <v>331</v>
      </c>
      <c r="AE34" s="2"/>
      <c r="AF34" s="2" t="s">
        <v>410</v>
      </c>
      <c r="AG34" s="2"/>
      <c r="AL34" t="s">
        <v>403</v>
      </c>
      <c r="AM34" t="s">
        <v>515</v>
      </c>
      <c r="AN34" t="s">
        <v>559</v>
      </c>
      <c r="AO34">
        <v>5</v>
      </c>
      <c r="AQ34" t="s">
        <v>276</v>
      </c>
      <c r="AR34" s="2">
        <f>(SQRT(M34*T34)*POWER((MIN(O34,20)+SQRT(MAX(O34-20,0))),0.9)*Data!$B$1)*(1-(U34-1))</f>
        <v>9.7269122773484167</v>
      </c>
      <c r="AS34" s="2"/>
      <c r="AT34" s="2">
        <f>((POWER((M34*M34*T34), 0.33)*LOG10(R34)*10*Data!$B$1)*U34)+AS34</f>
        <v>12.483928865764204</v>
      </c>
      <c r="AU34" s="2">
        <f>M34/1.24</f>
        <v>12.903225806451614</v>
      </c>
      <c r="AV34" s="2">
        <f>AH34/1.24</f>
        <v>0</v>
      </c>
      <c r="AX34" s="2">
        <v>2</v>
      </c>
      <c r="AY34" s="2">
        <v>2</v>
      </c>
      <c r="AZ34" s="2">
        <f>T34/AY34</f>
        <v>6</v>
      </c>
      <c r="BA34" s="2">
        <f>(T34)/MAX(AX34-1, 1)</f>
        <v>12</v>
      </c>
      <c r="BB34" s="3"/>
      <c r="BC34" s="3"/>
      <c r="BD34" s="3"/>
      <c r="BE34" s="2" t="str">
        <f>CONCATENATE(
ROUND(BB34*VLOOKUP(K34,'ID Scheme'!$A$2:$E$7,3),0), "x",
ROUND(BC34*VLOOKUP(K34,'ID Scheme'!$A$2:$E$7,5),0), "x",
ROUND(BD34*VLOOKUP(K34,'ID Scheme'!$A$2:$E$7,4),0))</f>
        <v>0x0x0</v>
      </c>
    </row>
    <row r="35" spans="1:57" x14ac:dyDescent="0.3">
      <c r="A35" t="s">
        <v>566</v>
      </c>
      <c r="B35" t="s">
        <v>564</v>
      </c>
      <c r="C35" t="s">
        <v>349</v>
      </c>
      <c r="D35">
        <v>0</v>
      </c>
      <c r="E35">
        <v>-1</v>
      </c>
      <c r="Y35" t="s">
        <v>331</v>
      </c>
      <c r="AC35" t="s">
        <v>331</v>
      </c>
      <c r="AD35" t="s">
        <v>331</v>
      </c>
      <c r="AN35" t="s">
        <v>565</v>
      </c>
      <c r="AO35">
        <v>4</v>
      </c>
      <c r="AT35" s="2"/>
    </row>
    <row r="36" spans="1:57" x14ac:dyDescent="0.3">
      <c r="A36" t="s">
        <v>567</v>
      </c>
      <c r="B36" t="s">
        <v>568</v>
      </c>
      <c r="C36" t="s">
        <v>348</v>
      </c>
      <c r="D36">
        <f>IF(G36 &gt; 2020, ((G36-2020)*4)+1610+I36,IF(G36 &gt; 1900, ((G36-1900)*10)+400+I36, ((G36-1730)*2)+I36))+VLOOKUP(K36,'ID Scheme'!$A$2:$B$7,2, FALSE)</f>
        <v>2925</v>
      </c>
      <c r="E36">
        <v>2925</v>
      </c>
      <c r="F36" t="s">
        <v>683</v>
      </c>
      <c r="G36">
        <v>1892</v>
      </c>
      <c r="H36">
        <v>6</v>
      </c>
      <c r="I36">
        <v>1</v>
      </c>
      <c r="J36" t="s">
        <v>522</v>
      </c>
      <c r="K36" t="s">
        <v>13</v>
      </c>
      <c r="L36" t="s">
        <v>508</v>
      </c>
      <c r="M36">
        <v>18</v>
      </c>
      <c r="N36">
        <v>35</v>
      </c>
      <c r="O36">
        <v>12</v>
      </c>
      <c r="P36">
        <v>4</v>
      </c>
      <c r="Q36">
        <v>1</v>
      </c>
      <c r="R36">
        <v>15</v>
      </c>
      <c r="S36">
        <v>20</v>
      </c>
      <c r="T36">
        <v>14</v>
      </c>
      <c r="U36">
        <v>1</v>
      </c>
      <c r="V36" t="s">
        <v>287</v>
      </c>
      <c r="X36" s="2" t="s">
        <v>570</v>
      </c>
      <c r="Y36" s="2"/>
      <c r="Z36" s="2"/>
      <c r="AA36" s="2"/>
      <c r="AB36" s="2"/>
      <c r="AC36" s="2" t="s">
        <v>331</v>
      </c>
      <c r="AD36" s="2" t="s">
        <v>331</v>
      </c>
      <c r="AE36" s="2"/>
      <c r="AF36" t="s">
        <v>564</v>
      </c>
      <c r="AG36" s="2"/>
      <c r="AL36" t="s">
        <v>403</v>
      </c>
      <c r="AM36" t="s">
        <v>515</v>
      </c>
      <c r="AN36" t="s">
        <v>569</v>
      </c>
      <c r="AO36">
        <v>5</v>
      </c>
      <c r="AQ36" t="s">
        <v>276</v>
      </c>
      <c r="AR36" s="2">
        <f>(SQRT(M36*T36)*POWER((MIN(O36,20)+SQRT(MAX(O36-20,0))),0.9)*Data!$B$1)*(1-(U36-1))</f>
        <v>11.143577947286104</v>
      </c>
      <c r="AS36" s="2"/>
      <c r="AT36" s="2">
        <f>((POWER((M36*M36*T36), 0.33)*LOG10(R36)*10*Data!$B$1)*U36)+AS36</f>
        <v>14.197255258033142</v>
      </c>
      <c r="AU36" s="2">
        <f>M36/1.24</f>
        <v>14.516129032258064</v>
      </c>
      <c r="AV36" s="2">
        <f>AH36/1.24</f>
        <v>0</v>
      </c>
      <c r="AX36" s="2">
        <v>2</v>
      </c>
      <c r="AY36" s="2">
        <v>2</v>
      </c>
      <c r="AZ36" s="2">
        <f>T36/AY36</f>
        <v>7</v>
      </c>
      <c r="BA36" s="2">
        <f>(T36)/MAX(AX36-1, 1)</f>
        <v>14</v>
      </c>
      <c r="BB36" s="3"/>
      <c r="BC36" s="3"/>
      <c r="BD36" s="3"/>
      <c r="BE36" s="2" t="str">
        <f>CONCATENATE(
ROUND(BB36*VLOOKUP(K36,'ID Scheme'!$A$2:$E$7,3),0), "x",
ROUND(BC36*VLOOKUP(K36,'ID Scheme'!$A$2:$E$7,5),0), "x",
ROUND(BD36*VLOOKUP(K36,'ID Scheme'!$A$2:$E$7,4),0))</f>
        <v>0x0x0</v>
      </c>
    </row>
    <row r="37" spans="1:57" x14ac:dyDescent="0.3">
      <c r="A37" t="s">
        <v>571</v>
      </c>
      <c r="B37" t="s">
        <v>572</v>
      </c>
      <c r="C37" t="s">
        <v>349</v>
      </c>
      <c r="D37">
        <v>0</v>
      </c>
      <c r="E37">
        <v>-1</v>
      </c>
      <c r="Y37" t="s">
        <v>331</v>
      </c>
      <c r="AC37" t="s">
        <v>331</v>
      </c>
      <c r="AD37" t="s">
        <v>331</v>
      </c>
      <c r="AN37" t="s">
        <v>572</v>
      </c>
      <c r="AO37">
        <v>4</v>
      </c>
      <c r="AT37" s="2"/>
    </row>
    <row r="38" spans="1:57" x14ac:dyDescent="0.3">
      <c r="A38" t="s">
        <v>573</v>
      </c>
      <c r="B38" t="s">
        <v>574</v>
      </c>
      <c r="C38" t="s">
        <v>348</v>
      </c>
      <c r="D38">
        <f>IF(G38 &gt; 2020, ((G38-2020)*4)+1610+I38,IF(G38 &gt; 1900, ((G38-1900)*10)+400+I38, ((G38-1730)*2)+I38))+VLOOKUP(K38,'ID Scheme'!$A$2:$B$7,2, FALSE)</f>
        <v>2879</v>
      </c>
      <c r="E38">
        <v>2879</v>
      </c>
      <c r="F38" t="s">
        <v>683</v>
      </c>
      <c r="G38">
        <v>1869</v>
      </c>
      <c r="H38">
        <v>1</v>
      </c>
      <c r="I38">
        <v>1</v>
      </c>
      <c r="J38" t="s">
        <v>522</v>
      </c>
      <c r="K38" t="s">
        <v>13</v>
      </c>
      <c r="L38" t="s">
        <v>501</v>
      </c>
      <c r="M38">
        <v>16</v>
      </c>
      <c r="N38">
        <v>52</v>
      </c>
      <c r="O38">
        <v>32</v>
      </c>
      <c r="P38">
        <v>5</v>
      </c>
      <c r="Q38">
        <v>19</v>
      </c>
      <c r="R38">
        <v>85</v>
      </c>
      <c r="S38">
        <v>18</v>
      </c>
      <c r="T38">
        <v>36</v>
      </c>
      <c r="U38">
        <v>1</v>
      </c>
      <c r="V38" t="s">
        <v>288</v>
      </c>
      <c r="W38">
        <v>-4</v>
      </c>
      <c r="X38" s="2" t="s">
        <v>575</v>
      </c>
      <c r="Y38" s="2" t="s">
        <v>331</v>
      </c>
      <c r="Z38" s="2"/>
      <c r="AA38" s="2"/>
      <c r="AB38" s="2"/>
      <c r="AC38" s="2" t="s">
        <v>331</v>
      </c>
      <c r="AD38" s="2" t="s">
        <v>331</v>
      </c>
      <c r="AE38" s="2"/>
      <c r="AF38" s="2" t="s">
        <v>572</v>
      </c>
      <c r="AG38" s="2"/>
      <c r="AJ38">
        <v>1</v>
      </c>
      <c r="AL38" t="s">
        <v>408</v>
      </c>
      <c r="AM38" t="s">
        <v>662</v>
      </c>
      <c r="AN38" t="s">
        <v>576</v>
      </c>
      <c r="AO38">
        <v>6</v>
      </c>
      <c r="AR38" s="2">
        <f>(SQRT(M38*T38)*POWER((MIN(O38,20)+SQRT(MAX(O38-20,0))),0.9)*Data!$B$1)*(1-(U38-1))</f>
        <v>30.806051902406423</v>
      </c>
      <c r="AS38" s="2"/>
      <c r="AT38" s="2">
        <f>((POWER((M38*M38*T38), 0.33)*LOG10(R38)*10*Data!$B$1)*U38)+AS38</f>
        <v>29.429766164771721</v>
      </c>
      <c r="AU38" s="2">
        <f>M38/1.24</f>
        <v>12.903225806451614</v>
      </c>
      <c r="AV38" s="2">
        <f>AH38/1.24</f>
        <v>0</v>
      </c>
      <c r="AW38" s="2">
        <v>2</v>
      </c>
      <c r="AX38" s="2">
        <v>3</v>
      </c>
      <c r="AY38" s="2">
        <v>3</v>
      </c>
      <c r="AZ38" s="2">
        <f>T38/AY38</f>
        <v>12</v>
      </c>
      <c r="BA38" s="2">
        <f>(T38)/MAX(AX38-1, 1)</f>
        <v>18</v>
      </c>
      <c r="BB38" s="3">
        <v>3.4</v>
      </c>
      <c r="BC38" s="3">
        <v>2</v>
      </c>
      <c r="BD38" s="3">
        <v>2.5</v>
      </c>
      <c r="BE38" s="2" t="str">
        <f>CONCATENATE(
ROUND(BB38*VLOOKUP(K38,'ID Scheme'!$A$2:$E$7,3),0), "x",
ROUND(BC38*VLOOKUP(K38,'ID Scheme'!$A$2:$E$7,5),0), "x",
ROUND(BD38*VLOOKUP(K38,'ID Scheme'!$A$2:$E$7,4),0))</f>
        <v>32x29x24</v>
      </c>
    </row>
    <row r="39" spans="1:57" x14ac:dyDescent="0.3">
      <c r="A39" t="s">
        <v>642</v>
      </c>
      <c r="B39" t="s">
        <v>643</v>
      </c>
      <c r="C39" t="s">
        <v>348</v>
      </c>
      <c r="D39">
        <f>IF(G39 &gt; 2020, ((G39-2020)*4)+1610+I39,IF(G39 &gt; 1900, ((G39-1900)*10)+400+I39, ((G39-1730)*2)+I39))+VLOOKUP(K39,'ID Scheme'!$A$2:$B$7,2, FALSE)</f>
        <v>3291</v>
      </c>
      <c r="E39">
        <v>3291</v>
      </c>
      <c r="F39" t="s">
        <v>683</v>
      </c>
      <c r="G39">
        <v>1929</v>
      </c>
      <c r="H39">
        <v>1</v>
      </c>
      <c r="I39">
        <v>1</v>
      </c>
      <c r="J39" t="s">
        <v>524</v>
      </c>
      <c r="K39" t="s">
        <v>13</v>
      </c>
      <c r="L39" t="s">
        <v>644</v>
      </c>
      <c r="M39">
        <v>20</v>
      </c>
      <c r="N39">
        <v>15</v>
      </c>
      <c r="O39">
        <v>12</v>
      </c>
      <c r="P39">
        <v>5</v>
      </c>
      <c r="Q39">
        <v>4</v>
      </c>
      <c r="R39">
        <v>20</v>
      </c>
      <c r="S39">
        <v>20</v>
      </c>
      <c r="T39">
        <v>12</v>
      </c>
      <c r="U39">
        <v>1</v>
      </c>
      <c r="V39" t="s">
        <v>289</v>
      </c>
      <c r="W39">
        <v>-2</v>
      </c>
      <c r="X39" s="2" t="s">
        <v>645</v>
      </c>
      <c r="Y39" s="2" t="s">
        <v>331</v>
      </c>
      <c r="Z39" s="2"/>
      <c r="AA39" s="2"/>
      <c r="AB39" s="2"/>
      <c r="AC39" s="2" t="s">
        <v>331</v>
      </c>
      <c r="AD39" s="2" t="s">
        <v>331</v>
      </c>
      <c r="AE39" s="2"/>
      <c r="AF39" s="2" t="s">
        <v>572</v>
      </c>
      <c r="AG39" s="2"/>
      <c r="AJ39">
        <v>1</v>
      </c>
      <c r="AL39" t="s">
        <v>403</v>
      </c>
      <c r="AM39" t="s">
        <v>647</v>
      </c>
      <c r="AN39" t="s">
        <v>646</v>
      </c>
      <c r="AO39">
        <v>4</v>
      </c>
      <c r="AR39" s="2">
        <f>(SQRT(M39*T39)*POWER((MIN(O39,20)+SQRT(MAX(O39-20,0))),0.9)*Data!$B$1)*(1-(U39-1))</f>
        <v>10.875018531664175</v>
      </c>
      <c r="AS39" s="2"/>
      <c r="AT39" s="2">
        <f>((POWER((M39*M39*T39), 0.33)*LOG10(R39)*10*Data!$B$1)*U39)+AS39</f>
        <v>16.001407348308714</v>
      </c>
      <c r="AU39" s="2">
        <f>M39/1.24</f>
        <v>16.129032258064516</v>
      </c>
      <c r="AV39" s="2">
        <f>AH39/1.24</f>
        <v>0</v>
      </c>
      <c r="AX39" s="2">
        <v>2</v>
      </c>
      <c r="AY39" s="2">
        <v>2</v>
      </c>
      <c r="AZ39" s="2">
        <f>T39/AY39</f>
        <v>6</v>
      </c>
      <c r="BA39" s="2">
        <f>(T39)/MAX(AX39-1, 1)</f>
        <v>12</v>
      </c>
      <c r="BB39" s="3">
        <v>3.4</v>
      </c>
      <c r="BC39" s="3">
        <v>2</v>
      </c>
      <c r="BD39" s="3">
        <v>2.5</v>
      </c>
      <c r="BE39" s="2" t="str">
        <f>CONCATENATE(
ROUND(BB39*VLOOKUP(K39,'ID Scheme'!$A$2:$E$7,3),0), "x",
ROUND(BC39*VLOOKUP(K39,'ID Scheme'!$A$2:$E$7,5),0), "x",
ROUND(BD39*VLOOKUP(K39,'ID Scheme'!$A$2:$E$7,4),0))</f>
        <v>32x29x24</v>
      </c>
    </row>
    <row r="40" spans="1:57" x14ac:dyDescent="0.3">
      <c r="A40" t="s">
        <v>440</v>
      </c>
      <c r="B40" t="s">
        <v>442</v>
      </c>
      <c r="C40" t="s">
        <v>441</v>
      </c>
      <c r="D40">
        <v>0</v>
      </c>
      <c r="E40">
        <v>-1</v>
      </c>
      <c r="AO40">
        <v>5</v>
      </c>
      <c r="AT40" s="2"/>
    </row>
    <row r="41" spans="1:57" x14ac:dyDescent="0.3">
      <c r="A41" t="s">
        <v>72</v>
      </c>
      <c r="B41" t="s">
        <v>217</v>
      </c>
      <c r="C41" t="s">
        <v>438</v>
      </c>
      <c r="D41">
        <v>3481</v>
      </c>
      <c r="E41">
        <v>3481</v>
      </c>
      <c r="F41" t="s">
        <v>683</v>
      </c>
      <c r="G41">
        <v>1948</v>
      </c>
      <c r="H41">
        <v>1</v>
      </c>
      <c r="I41">
        <v>1</v>
      </c>
      <c r="J41" t="s">
        <v>522</v>
      </c>
      <c r="K41" t="s">
        <v>13</v>
      </c>
      <c r="L41" t="s">
        <v>501</v>
      </c>
      <c r="M41">
        <v>43</v>
      </c>
      <c r="N41">
        <v>20</v>
      </c>
      <c r="O41">
        <v>25</v>
      </c>
      <c r="P41">
        <v>5</v>
      </c>
      <c r="Q41">
        <v>1.5</v>
      </c>
      <c r="R41">
        <v>35</v>
      </c>
      <c r="S41">
        <v>20</v>
      </c>
      <c r="T41">
        <v>10</v>
      </c>
      <c r="U41">
        <v>1.7</v>
      </c>
      <c r="V41" t="s">
        <v>289</v>
      </c>
      <c r="W41">
        <v>-4</v>
      </c>
      <c r="X41" s="2" t="s">
        <v>437</v>
      </c>
      <c r="Y41" s="2"/>
      <c r="Z41" s="2"/>
      <c r="AA41" s="2"/>
      <c r="AB41" s="2"/>
      <c r="AC41" s="2"/>
      <c r="AD41" s="2"/>
      <c r="AE41" s="2"/>
      <c r="AF41" t="s">
        <v>442</v>
      </c>
      <c r="AG41" s="2"/>
      <c r="AJ41">
        <v>1</v>
      </c>
      <c r="AL41" t="s">
        <v>403</v>
      </c>
      <c r="AM41" t="s">
        <v>661</v>
      </c>
      <c r="AN41" t="s">
        <v>547</v>
      </c>
      <c r="AO41">
        <v>2</v>
      </c>
      <c r="AR41" s="2">
        <v>7.6079725967160297</v>
      </c>
      <c r="AS41" s="2">
        <v>-30</v>
      </c>
      <c r="AT41" s="2">
        <v>20.380885967208812</v>
      </c>
      <c r="AU41" s="2">
        <f t="shared" ref="AU41" si="16">M41/1.24</f>
        <v>34.677419354838712</v>
      </c>
      <c r="AV41" s="2">
        <f>AH41/1.24</f>
        <v>0</v>
      </c>
      <c r="AX41" s="2">
        <v>2</v>
      </c>
      <c r="AY41" s="2">
        <v>2</v>
      </c>
      <c r="AZ41" s="2">
        <f t="shared" ref="AZ41" si="17">T41/AY41</f>
        <v>5</v>
      </c>
      <c r="BA41" s="2">
        <f t="shared" ref="BA41" si="18">(T41)/MAX(AX41-1, 1)</f>
        <v>10</v>
      </c>
      <c r="BD41" s="3"/>
      <c r="BE41" s="2" t="s">
        <v>632</v>
      </c>
    </row>
    <row r="42" spans="1:57" x14ac:dyDescent="0.3">
      <c r="A42" t="s">
        <v>593</v>
      </c>
      <c r="B42" t="s">
        <v>594</v>
      </c>
      <c r="C42" t="s">
        <v>324</v>
      </c>
      <c r="D42">
        <f>IF(G42 &gt; 2020, ((G42-2020)*4)+1610+I42,IF(G42 &gt; 1900, ((G42-1900)*10)+400+I42, ((G42-1730)*2)+I42))+VLOOKUP(K42,'ID Scheme'!$A$2:$B$7,2, FALSE)</f>
        <v>541</v>
      </c>
      <c r="E42">
        <v>541</v>
      </c>
      <c r="F42" t="s">
        <v>683</v>
      </c>
      <c r="G42">
        <v>1700</v>
      </c>
      <c r="H42">
        <v>1</v>
      </c>
      <c r="I42">
        <v>1</v>
      </c>
      <c r="J42" t="s">
        <v>523</v>
      </c>
      <c r="K42" t="s">
        <v>12</v>
      </c>
      <c r="L42" t="s">
        <v>508</v>
      </c>
      <c r="M42">
        <v>14</v>
      </c>
      <c r="N42">
        <v>180</v>
      </c>
      <c r="O42">
        <v>12</v>
      </c>
      <c r="P42">
        <v>4</v>
      </c>
      <c r="Q42">
        <v>2</v>
      </c>
      <c r="R42">
        <v>15</v>
      </c>
      <c r="S42">
        <v>20</v>
      </c>
      <c r="T42">
        <v>10</v>
      </c>
      <c r="U42">
        <v>1</v>
      </c>
      <c r="V42" t="s">
        <v>287</v>
      </c>
      <c r="X42" s="2" t="s">
        <v>595</v>
      </c>
      <c r="Y42" s="2"/>
      <c r="Z42" s="2"/>
      <c r="AA42" s="2"/>
      <c r="AB42" s="2"/>
      <c r="AC42" s="2"/>
      <c r="AD42" s="2"/>
      <c r="AE42" s="2"/>
      <c r="AF42" s="2"/>
      <c r="AG42" s="2">
        <v>150</v>
      </c>
      <c r="AI42" t="s">
        <v>406</v>
      </c>
      <c r="AK42" t="s">
        <v>405</v>
      </c>
      <c r="AL42" t="s">
        <v>406</v>
      </c>
      <c r="AM42" t="s">
        <v>515</v>
      </c>
      <c r="AN42" t="s">
        <v>596</v>
      </c>
      <c r="AO42">
        <v>5</v>
      </c>
      <c r="AQ42" t="s">
        <v>276</v>
      </c>
      <c r="AR42" s="2">
        <f>(SQRT(M42*T42)*POWER((MIN(O42,20)+SQRT(MAX(O42-20,0))),0.9)*Data!$B$1)*(1-(U42-1))</f>
        <v>8.3059326008997658</v>
      </c>
      <c r="AS42" s="2"/>
      <c r="AT42" s="2">
        <f>((POWER((M42*M42*T42), 0.33)*LOG10(R42)*10*Data!$B$1)*U42)+AS42</f>
        <v>10.763333305173115</v>
      </c>
      <c r="AU42" s="2">
        <f t="shared" ref="AU42:AU76" si="19">M42/1.24</f>
        <v>11.290322580645162</v>
      </c>
      <c r="AV42" s="2">
        <f t="shared" ref="AV42" si="20">AH42/1.24</f>
        <v>0</v>
      </c>
      <c r="AX42" s="2">
        <v>2</v>
      </c>
      <c r="AY42" s="2">
        <v>2</v>
      </c>
      <c r="AZ42" s="2">
        <f t="shared" ref="AZ42:AZ76" si="21">T42/AY42</f>
        <v>5</v>
      </c>
      <c r="BA42" s="2">
        <f t="shared" ref="BA42:BA76" si="22">(T42)/MAX(AX42-1, 1)</f>
        <v>10</v>
      </c>
      <c r="BB42" s="3"/>
      <c r="BC42" s="3"/>
      <c r="BD42" s="3"/>
      <c r="BE42" s="2" t="str">
        <f>CONCATENATE(
ROUND(BB42*VLOOKUP(K42,'ID Scheme'!$A$2:$E$7,3),0), "x",
ROUND(BC42*VLOOKUP(K42,'ID Scheme'!$A$2:$E$7,5),0), "x",
ROUND(BD42*VLOOKUP(K42,'ID Scheme'!$A$2:$E$7,4),0))</f>
        <v>0x0x0</v>
      </c>
    </row>
    <row r="43" spans="1:57" x14ac:dyDescent="0.3">
      <c r="A43" t="s">
        <v>23</v>
      </c>
      <c r="B43" t="s">
        <v>160</v>
      </c>
      <c r="C43" t="s">
        <v>324</v>
      </c>
      <c r="D43">
        <f>IF(G43 &gt; 2020, ((G43-2020)*4)+1610+I43,IF(G43 &gt; 1900, ((G43-1900)*10)+400+I43, ((G43-1730)*2)+I43))+VLOOKUP(K43,'ID Scheme'!$A$2:$B$7,2, FALSE)</f>
        <v>741</v>
      </c>
      <c r="E43">
        <v>741</v>
      </c>
      <c r="F43" t="s">
        <v>683</v>
      </c>
      <c r="G43">
        <v>1800</v>
      </c>
      <c r="H43">
        <v>1</v>
      </c>
      <c r="I43">
        <v>1</v>
      </c>
      <c r="J43" t="s">
        <v>523</v>
      </c>
      <c r="K43" t="s">
        <v>12</v>
      </c>
      <c r="L43" t="s">
        <v>508</v>
      </c>
      <c r="M43">
        <v>18</v>
      </c>
      <c r="N43">
        <v>110</v>
      </c>
      <c r="O43">
        <v>12</v>
      </c>
      <c r="P43">
        <v>4</v>
      </c>
      <c r="Q43">
        <v>1</v>
      </c>
      <c r="R43">
        <v>15</v>
      </c>
      <c r="S43">
        <v>20</v>
      </c>
      <c r="T43">
        <v>12</v>
      </c>
      <c r="U43">
        <v>1</v>
      </c>
      <c r="V43" t="s">
        <v>287</v>
      </c>
      <c r="X43" s="2" t="s">
        <v>272</v>
      </c>
      <c r="Y43" s="2"/>
      <c r="Z43" s="2"/>
      <c r="AA43" s="2"/>
      <c r="AB43" s="2"/>
      <c r="AC43" s="2"/>
      <c r="AD43" s="2"/>
      <c r="AE43" s="2"/>
      <c r="AF43" s="2"/>
      <c r="AG43" s="2"/>
      <c r="AI43" t="s">
        <v>406</v>
      </c>
      <c r="AK43" t="s">
        <v>405</v>
      </c>
      <c r="AL43" t="s">
        <v>406</v>
      </c>
      <c r="AM43" t="s">
        <v>515</v>
      </c>
      <c r="AN43" t="s">
        <v>558</v>
      </c>
      <c r="AO43">
        <v>5</v>
      </c>
      <c r="AQ43" t="s">
        <v>276</v>
      </c>
      <c r="AR43" s="2">
        <f>(SQRT(M43*T43)*POWER((MIN(O43,20)+SQRT(MAX(O43-20,0))),0.9)*Data!$B$1)*(1-(U43-1))</f>
        <v>10.316948446979625</v>
      </c>
      <c r="AS43" s="2"/>
      <c r="AT43" s="2">
        <f>((POWER((M43*M43*T43), 0.33)*LOG10(R43)*10*Data!$B$1)*U43)+AS43</f>
        <v>13.493106560639641</v>
      </c>
      <c r="AU43" s="2">
        <f t="shared" si="19"/>
        <v>14.516129032258064</v>
      </c>
      <c r="AV43" s="2">
        <f t="shared" ref="AV43:AV85" si="23">AH43/1.24</f>
        <v>0</v>
      </c>
      <c r="AX43" s="2">
        <v>2</v>
      </c>
      <c r="AY43" s="2">
        <v>2</v>
      </c>
      <c r="AZ43" s="2">
        <f t="shared" si="21"/>
        <v>6</v>
      </c>
      <c r="BA43" s="2">
        <f t="shared" si="22"/>
        <v>12</v>
      </c>
      <c r="BB43" s="3"/>
      <c r="BC43" s="3"/>
      <c r="BD43" s="3"/>
      <c r="BE43" s="2" t="str">
        <f>CONCATENATE(
ROUND(BB43*VLOOKUP(K43,'ID Scheme'!$A$2:$E$7,3),0), "x",
ROUND(BC43*VLOOKUP(K43,'ID Scheme'!$A$2:$E$7,5),0), "x",
ROUND(BD43*VLOOKUP(K43,'ID Scheme'!$A$2:$E$7,4),0))</f>
        <v>0x0x0</v>
      </c>
    </row>
    <row r="44" spans="1:57" x14ac:dyDescent="0.3">
      <c r="A44" t="s">
        <v>684</v>
      </c>
      <c r="B44" t="s">
        <v>685</v>
      </c>
      <c r="C44" t="s">
        <v>324</v>
      </c>
      <c r="D44">
        <f>IF(G44 &gt; 2020, ((G44-2020)*4)+1610+I44,IF(G44 &gt; 1900, ((G44-1900)*10)+400+I44, ((G44-1730)*2)+I44))+VLOOKUP(K44,'ID Scheme'!$A$2:$B$7,2, FALSE)</f>
        <v>799</v>
      </c>
      <c r="E44">
        <v>799</v>
      </c>
      <c r="F44" t="s">
        <v>683</v>
      </c>
      <c r="G44">
        <v>1829</v>
      </c>
      <c r="H44">
        <v>6</v>
      </c>
      <c r="I44">
        <v>1</v>
      </c>
      <c r="J44" t="s">
        <v>523</v>
      </c>
      <c r="K44" t="s">
        <v>12</v>
      </c>
      <c r="L44" t="s">
        <v>508</v>
      </c>
      <c r="M44">
        <v>18</v>
      </c>
      <c r="N44">
        <v>85</v>
      </c>
      <c r="O44">
        <v>12</v>
      </c>
      <c r="P44">
        <v>4</v>
      </c>
      <c r="Q44">
        <v>1</v>
      </c>
      <c r="R44">
        <v>15</v>
      </c>
      <c r="S44">
        <v>20</v>
      </c>
      <c r="T44">
        <v>18</v>
      </c>
      <c r="U44">
        <v>1</v>
      </c>
      <c r="V44" t="s">
        <v>287</v>
      </c>
      <c r="X44" s="2" t="s">
        <v>686</v>
      </c>
      <c r="Y44" s="2"/>
      <c r="Z44" s="2"/>
      <c r="AA44" s="2"/>
      <c r="AB44" s="2"/>
      <c r="AC44" s="2"/>
      <c r="AD44" s="2"/>
      <c r="AE44" s="2"/>
      <c r="AF44" s="2"/>
      <c r="AG44" s="2"/>
      <c r="AI44" t="s">
        <v>406</v>
      </c>
      <c r="AK44" t="s">
        <v>688</v>
      </c>
      <c r="AL44" t="s">
        <v>406</v>
      </c>
      <c r="AM44" t="s">
        <v>515</v>
      </c>
      <c r="AN44" t="s">
        <v>687</v>
      </c>
      <c r="AO44">
        <v>5</v>
      </c>
      <c r="AQ44" t="s">
        <v>276</v>
      </c>
      <c r="AR44" s="2">
        <f>(SQRT(M44*T44)*POWER((MIN(O44,20)+SQRT(MAX(O44-20,0))),0.9)*Data!$B$1)*(1-(U44-1))</f>
        <v>12.635629698849716</v>
      </c>
      <c r="AS44" s="2"/>
      <c r="AT44" s="2">
        <f>((POWER((M44*M44*T44), 0.33)*LOG10(R44)*10*Data!$B$1)*U44)+AS44</f>
        <v>15.424889646511295</v>
      </c>
      <c r="AU44" s="2">
        <f t="shared" si="19"/>
        <v>14.516129032258064</v>
      </c>
      <c r="AV44" s="2">
        <f t="shared" si="23"/>
        <v>0</v>
      </c>
      <c r="AX44" s="2">
        <v>2</v>
      </c>
      <c r="AY44" s="2">
        <v>2</v>
      </c>
      <c r="AZ44" s="2">
        <f t="shared" si="21"/>
        <v>9</v>
      </c>
      <c r="BA44" s="2">
        <f t="shared" si="22"/>
        <v>18</v>
      </c>
      <c r="BB44" s="3"/>
      <c r="BC44" s="3"/>
      <c r="BD44" s="3"/>
      <c r="BE44" s="2" t="str">
        <f>CONCATENATE(
ROUND(BB44*VLOOKUP(K44,'ID Scheme'!$A$2:$E$7,3),0), "x",
ROUND(BC44*VLOOKUP(K44,'ID Scheme'!$A$2:$E$7,5),0), "x",
ROUND(BD44*VLOOKUP(K44,'ID Scheme'!$A$2:$E$7,4),0))</f>
        <v>0x0x0</v>
      </c>
    </row>
    <row r="45" spans="1:57" x14ac:dyDescent="0.3">
      <c r="A45" t="s">
        <v>689</v>
      </c>
      <c r="B45" t="s">
        <v>690</v>
      </c>
      <c r="C45" t="s">
        <v>694</v>
      </c>
      <c r="D45">
        <f>IF(G45 &gt; 2020, ((G45-2020)*4)+1610+I45,IF(G45 &gt; 1900, ((G45-1900)*10)+400+I45, ((G45-1730)*2)+I45))+VLOOKUP(K45,'ID Scheme'!$A$2:$B$7,2, FALSE)</f>
        <v>855</v>
      </c>
      <c r="E45">
        <v>841</v>
      </c>
      <c r="F45" t="s">
        <v>683</v>
      </c>
      <c r="G45">
        <v>1857</v>
      </c>
      <c r="H45">
        <v>2</v>
      </c>
      <c r="I45">
        <v>1</v>
      </c>
      <c r="J45" t="s">
        <v>523</v>
      </c>
      <c r="K45" t="s">
        <v>12</v>
      </c>
      <c r="L45" t="s">
        <v>508</v>
      </c>
      <c r="M45">
        <v>18</v>
      </c>
      <c r="N45">
        <v>62</v>
      </c>
      <c r="O45">
        <v>12</v>
      </c>
      <c r="P45">
        <v>4</v>
      </c>
      <c r="Q45">
        <v>1</v>
      </c>
      <c r="R45">
        <v>15</v>
      </c>
      <c r="S45">
        <v>20</v>
      </c>
      <c r="T45">
        <v>26</v>
      </c>
      <c r="U45">
        <v>1</v>
      </c>
      <c r="V45" t="s">
        <v>287</v>
      </c>
      <c r="X45" s="2" t="s">
        <v>693</v>
      </c>
      <c r="Y45" s="2"/>
      <c r="Z45" s="2"/>
      <c r="AA45" s="2"/>
      <c r="AB45" s="2"/>
      <c r="AC45" s="2"/>
      <c r="AD45" s="2"/>
      <c r="AE45" s="2"/>
      <c r="AF45" s="2"/>
      <c r="AG45" s="2"/>
      <c r="AI45" t="s">
        <v>406</v>
      </c>
      <c r="AK45" t="s">
        <v>691</v>
      </c>
      <c r="AL45" t="s">
        <v>406</v>
      </c>
      <c r="AM45" t="s">
        <v>515</v>
      </c>
      <c r="AN45" t="s">
        <v>692</v>
      </c>
      <c r="AO45">
        <v>5</v>
      </c>
      <c r="AQ45" t="s">
        <v>276</v>
      </c>
      <c r="AR45" s="2">
        <f>(SQRT(M45*T45)*POWER((MIN(O45,20)+SQRT(MAX(O45-20,0))),0.9)*Data!$B$1)*(1-(U45-1))</f>
        <v>15.186136925659419</v>
      </c>
      <c r="AS45" s="2"/>
      <c r="AT45" s="2">
        <f>((POWER((M45*M45*T45), 0.33)*LOG10(R45)*10*Data!$B$1)*U45)+AS45</f>
        <v>17.414994587283896</v>
      </c>
      <c r="AU45" s="2">
        <f t="shared" ref="AU45" si="24">M45/1.24</f>
        <v>14.516129032258064</v>
      </c>
      <c r="AV45" s="2">
        <f t="shared" ref="AV45" si="25">AH45/1.24</f>
        <v>0</v>
      </c>
      <c r="AX45" s="2">
        <v>2</v>
      </c>
      <c r="AY45" s="2">
        <v>2</v>
      </c>
      <c r="AZ45" s="2">
        <f t="shared" ref="AZ45" si="26">T45/AY45</f>
        <v>13</v>
      </c>
      <c r="BA45" s="2">
        <f t="shared" ref="BA45" si="27">(T45)/MAX(AX45-1, 1)</f>
        <v>26</v>
      </c>
      <c r="BB45" s="3"/>
      <c r="BC45" s="3"/>
      <c r="BD45" s="3"/>
      <c r="BE45" s="2" t="str">
        <f>CONCATENATE(
ROUND(BB45*VLOOKUP(K45,'ID Scheme'!$A$2:$E$7,3),0), "x",
ROUND(BC45*VLOOKUP(K45,'ID Scheme'!$A$2:$E$7,5),0), "x",
ROUND(BD45*VLOOKUP(K45,'ID Scheme'!$A$2:$E$7,4),0))</f>
        <v>0x0x0</v>
      </c>
    </row>
    <row r="46" spans="1:57" x14ac:dyDescent="0.3">
      <c r="A46" t="s">
        <v>36</v>
      </c>
      <c r="B46" t="s">
        <v>163</v>
      </c>
      <c r="C46" t="s">
        <v>285</v>
      </c>
      <c r="D46">
        <f>IF(G46 &gt; 2020, ((G46-2020)*4)+1610+I46,IF(G46 &gt; 1900, ((G46-1900)*10)+400+I46, ((G46-1730)*2)+I46))+VLOOKUP(K46,'ID Scheme'!$A$2:$B$7,2, FALSE)</f>
        <v>807</v>
      </c>
      <c r="E46">
        <v>807</v>
      </c>
      <c r="F46" t="s">
        <v>683</v>
      </c>
      <c r="G46">
        <v>1833</v>
      </c>
      <c r="H46">
        <v>1</v>
      </c>
      <c r="I46">
        <v>1</v>
      </c>
      <c r="J46" t="s">
        <v>523</v>
      </c>
      <c r="K46" t="s">
        <v>12</v>
      </c>
      <c r="L46" t="s">
        <v>508</v>
      </c>
      <c r="M46">
        <v>18</v>
      </c>
      <c r="N46">
        <v>52</v>
      </c>
      <c r="O46">
        <v>20</v>
      </c>
      <c r="P46">
        <v>4</v>
      </c>
      <c r="Q46">
        <v>4</v>
      </c>
      <c r="R46">
        <v>30</v>
      </c>
      <c r="S46">
        <v>20</v>
      </c>
      <c r="T46">
        <v>22</v>
      </c>
      <c r="U46">
        <v>1</v>
      </c>
      <c r="V46" t="s">
        <v>288</v>
      </c>
      <c r="W46">
        <v>2</v>
      </c>
      <c r="X46" s="2" t="s">
        <v>273</v>
      </c>
      <c r="Y46" s="2"/>
      <c r="Z46" s="2"/>
      <c r="AA46" s="2"/>
      <c r="AB46" s="2"/>
      <c r="AC46" s="2"/>
      <c r="AD46" s="2"/>
      <c r="AE46" s="2"/>
      <c r="AF46" s="2"/>
      <c r="AG46" s="2"/>
      <c r="AO46">
        <v>8</v>
      </c>
      <c r="AR46" s="2">
        <f>(SQRT(M46*T46)*POWER((MIN(O46,20)+SQRT(MAX(O46-20,0))),0.9)*Data!$B$1)*(1-(U46-1))</f>
        <v>22.122583982050454</v>
      </c>
      <c r="AS46" s="2">
        <v>4</v>
      </c>
      <c r="AT46" s="2">
        <f>((POWER((M46*M46*T46), 0.33)*LOG10(R46)*10*Data!$B$1)*U46)+AS46</f>
        <v>24.699351945933547</v>
      </c>
      <c r="AU46" s="2">
        <f t="shared" si="19"/>
        <v>14.516129032258064</v>
      </c>
      <c r="AV46" s="2">
        <f t="shared" si="23"/>
        <v>0</v>
      </c>
      <c r="AX46" s="2">
        <v>1</v>
      </c>
      <c r="AY46" s="2">
        <v>1</v>
      </c>
      <c r="AZ46" s="2">
        <f t="shared" si="21"/>
        <v>22</v>
      </c>
      <c r="BA46" s="2">
        <f t="shared" si="22"/>
        <v>22</v>
      </c>
      <c r="BB46" s="3"/>
      <c r="BC46" s="3"/>
      <c r="BD46" s="3"/>
      <c r="BE46" s="2" t="str">
        <f>CONCATENATE(
ROUND(BB46*VLOOKUP(K46,'ID Scheme'!$A$2:$E$7,3),0), "x",
ROUND(BC46*VLOOKUP(K46,'ID Scheme'!$A$2:$E$7,5),0), "x",
ROUND(BD46*VLOOKUP(K46,'ID Scheme'!$A$2:$E$7,4),0))</f>
        <v>0x0x0</v>
      </c>
    </row>
    <row r="47" spans="1:57" x14ac:dyDescent="0.3">
      <c r="A47" t="s">
        <v>652</v>
      </c>
      <c r="B47" t="s">
        <v>653</v>
      </c>
      <c r="C47" t="s">
        <v>291</v>
      </c>
      <c r="D47">
        <f>IF(G47 &gt; 2020, ((G47-2020)*4)+1610+I47,IF(G47 &gt; 1900, ((G47-1900)*10)+400+I47, ((G47-1730)*2)+I47))+VLOOKUP(K47,'ID Scheme'!$A$2:$B$7,2, FALSE)</f>
        <v>903</v>
      </c>
      <c r="E47">
        <v>903</v>
      </c>
      <c r="F47" t="s">
        <v>683</v>
      </c>
      <c r="G47">
        <v>1881</v>
      </c>
      <c r="H47">
        <v>2</v>
      </c>
      <c r="I47">
        <v>1</v>
      </c>
      <c r="J47" t="s">
        <v>523</v>
      </c>
      <c r="K47" t="s">
        <v>12</v>
      </c>
      <c r="L47" t="s">
        <v>508</v>
      </c>
      <c r="M47">
        <v>18</v>
      </c>
      <c r="N47">
        <v>22</v>
      </c>
      <c r="O47">
        <v>18</v>
      </c>
      <c r="P47">
        <v>4</v>
      </c>
      <c r="Q47">
        <v>4</v>
      </c>
      <c r="R47">
        <v>25</v>
      </c>
      <c r="S47">
        <v>20</v>
      </c>
      <c r="T47">
        <v>18</v>
      </c>
      <c r="U47">
        <v>1</v>
      </c>
      <c r="V47" t="s">
        <v>288</v>
      </c>
      <c r="W47">
        <v>2</v>
      </c>
      <c r="X47" s="2" t="s">
        <v>654</v>
      </c>
      <c r="Y47" s="2"/>
      <c r="Z47" s="2"/>
      <c r="AA47" s="2"/>
      <c r="AB47" s="2"/>
      <c r="AC47" s="2"/>
      <c r="AD47" s="2"/>
      <c r="AE47" s="2"/>
      <c r="AF47" s="2"/>
      <c r="AG47" s="2"/>
      <c r="AO47">
        <v>5</v>
      </c>
      <c r="AR47" s="2">
        <f>(SQRT(M47*T47)*POWER((MIN(O47,20)+SQRT(MAX(O47-20,0))),0.9)*Data!$B$1)*(1-(U47-1))</f>
        <v>18.200319967441867</v>
      </c>
      <c r="AS47" s="2"/>
      <c r="AT47" s="2">
        <f>((POWER((M47*M47*T47), 0.33)*LOG10(R47)*10*Data!$B$1)*U47)+AS47</f>
        <v>18.334521407397293</v>
      </c>
      <c r="AU47" s="2">
        <f t="shared" ref="AU47" si="28">M47/1.24</f>
        <v>14.516129032258064</v>
      </c>
      <c r="AV47" s="2">
        <f t="shared" si="23"/>
        <v>0</v>
      </c>
      <c r="AX47" s="2">
        <v>1</v>
      </c>
      <c r="AY47" s="2">
        <v>1</v>
      </c>
      <c r="AZ47" s="2">
        <f t="shared" ref="AZ47" si="29">T47/AY47</f>
        <v>18</v>
      </c>
      <c r="BA47" s="2">
        <f t="shared" ref="BA47" si="30">(T47)/MAX(AX47-1, 1)</f>
        <v>18</v>
      </c>
      <c r="BB47" s="3"/>
      <c r="BC47" s="3"/>
      <c r="BD47" s="3"/>
      <c r="BE47" s="2" t="str">
        <f>CONCATENATE(
ROUND(BB47*VLOOKUP(K47,'ID Scheme'!$A$2:$E$7,3),0), "x",
ROUND(BC47*VLOOKUP(K47,'ID Scheme'!$A$2:$E$7,5),0), "x",
ROUND(BD47*VLOOKUP(K47,'ID Scheme'!$A$2:$E$7,4),0))</f>
        <v>0x0x0</v>
      </c>
    </row>
    <row r="48" spans="1:57" x14ac:dyDescent="0.3">
      <c r="A48" t="s">
        <v>509</v>
      </c>
      <c r="B48" t="s">
        <v>510</v>
      </c>
      <c r="C48" t="s">
        <v>291</v>
      </c>
      <c r="D48">
        <f>IF(G48 &gt; 2020, ((G48-2020)*4)+1610+I48,IF(G48 &gt; 1900, ((G48-1900)*10)+400+I48, ((G48-1730)*2)+I48))+VLOOKUP(K48,'ID Scheme'!$A$2:$B$7,2, FALSE)</f>
        <v>939</v>
      </c>
      <c r="E48">
        <v>939</v>
      </c>
      <c r="F48" t="s">
        <v>683</v>
      </c>
      <c r="G48">
        <v>1899</v>
      </c>
      <c r="H48">
        <v>2</v>
      </c>
      <c r="I48">
        <v>1</v>
      </c>
      <c r="J48" t="s">
        <v>523</v>
      </c>
      <c r="K48" t="s">
        <v>12</v>
      </c>
      <c r="L48" t="s">
        <v>501</v>
      </c>
      <c r="M48">
        <v>20</v>
      </c>
      <c r="N48">
        <v>22</v>
      </c>
      <c r="O48">
        <v>14</v>
      </c>
      <c r="P48">
        <v>4</v>
      </c>
      <c r="Q48">
        <v>5</v>
      </c>
      <c r="R48">
        <v>25</v>
      </c>
      <c r="S48">
        <v>20</v>
      </c>
      <c r="T48">
        <v>24</v>
      </c>
      <c r="U48">
        <v>1</v>
      </c>
      <c r="V48" t="s">
        <v>289</v>
      </c>
      <c r="W48">
        <v>3</v>
      </c>
      <c r="X48" s="2" t="s">
        <v>511</v>
      </c>
      <c r="Y48" s="2"/>
      <c r="Z48" s="2"/>
      <c r="AA48" s="2"/>
      <c r="AB48" s="2"/>
      <c r="AC48" s="2"/>
      <c r="AD48" s="2"/>
      <c r="AE48" s="2"/>
      <c r="AF48" s="2"/>
      <c r="AG48" s="2"/>
      <c r="AO48">
        <v>7</v>
      </c>
      <c r="AR48" s="2">
        <f>(SQRT(M48*T48)*POWER((MIN(O48,20)+SQRT(MAX(O48-20,0))),0.9)*Data!$B$1)*(1-(U48-1))</f>
        <v>17.668395580782125</v>
      </c>
      <c r="AS48" s="2"/>
      <c r="AT48" s="2">
        <f>((POWER((M48*M48*T48), 0.33)*LOG10(R48)*10*Data!$B$1)*U48)+AS48</f>
        <v>21.612216267307918</v>
      </c>
      <c r="AU48" s="2">
        <f t="shared" si="19"/>
        <v>16.129032258064516</v>
      </c>
      <c r="AV48" s="2">
        <f t="shared" ref="AV48" si="31">AH48/1.24</f>
        <v>0</v>
      </c>
      <c r="AX48" s="2">
        <v>1</v>
      </c>
      <c r="AY48" s="2">
        <v>1</v>
      </c>
      <c r="AZ48" s="2">
        <f t="shared" si="21"/>
        <v>24</v>
      </c>
      <c r="BA48" s="2">
        <f t="shared" si="22"/>
        <v>24</v>
      </c>
      <c r="BB48" s="3"/>
      <c r="BC48" s="3"/>
      <c r="BD48" s="3"/>
      <c r="BE48" s="2" t="str">
        <f>CONCATENATE(
ROUND(BB48*VLOOKUP(K48,'ID Scheme'!$A$2:$E$7,3),0), "x",
ROUND(BC48*VLOOKUP(K48,'ID Scheme'!$A$2:$E$7,5),0), "x",
ROUND(BD48*VLOOKUP(K48,'ID Scheme'!$A$2:$E$7,4),0))</f>
        <v>0x0x0</v>
      </c>
    </row>
    <row r="49" spans="1:58" x14ac:dyDescent="0.3">
      <c r="A49" t="s">
        <v>24</v>
      </c>
      <c r="B49" t="s">
        <v>164</v>
      </c>
      <c r="C49" t="s">
        <v>291</v>
      </c>
      <c r="D49">
        <f>IF(G49 &gt; 2020, ((G49-2020)*4)+1610+I49,IF(G49 &gt; 1900, ((G49-1900)*10)+400+I49, ((G49-1730)*2)+I49))+VLOOKUP(K49,'ID Scheme'!$A$2:$B$7,2, FALSE)</f>
        <v>1111</v>
      </c>
      <c r="E49">
        <v>1111</v>
      </c>
      <c r="F49" t="s">
        <v>683</v>
      </c>
      <c r="G49">
        <v>1911</v>
      </c>
      <c r="H49">
        <v>1</v>
      </c>
      <c r="I49">
        <v>1</v>
      </c>
      <c r="J49" t="s">
        <v>523</v>
      </c>
      <c r="K49" t="s">
        <v>12</v>
      </c>
      <c r="L49" t="s">
        <v>501</v>
      </c>
      <c r="M49">
        <v>22</v>
      </c>
      <c r="N49">
        <v>20</v>
      </c>
      <c r="O49">
        <v>15</v>
      </c>
      <c r="P49">
        <v>5</v>
      </c>
      <c r="Q49">
        <v>5</v>
      </c>
      <c r="R49">
        <v>30</v>
      </c>
      <c r="S49">
        <v>20</v>
      </c>
      <c r="T49">
        <v>36</v>
      </c>
      <c r="U49">
        <v>1</v>
      </c>
      <c r="V49" t="s">
        <v>289</v>
      </c>
      <c r="W49">
        <v>3</v>
      </c>
      <c r="X49" s="2" t="s">
        <v>274</v>
      </c>
      <c r="Y49" s="2"/>
      <c r="Z49" s="2"/>
      <c r="AA49" s="2"/>
      <c r="AB49" s="2"/>
      <c r="AC49" s="2"/>
      <c r="AD49" s="2"/>
      <c r="AE49" s="2"/>
      <c r="AF49" s="2"/>
      <c r="AG49" s="2"/>
      <c r="AO49">
        <v>8</v>
      </c>
      <c r="AR49" s="2">
        <f>(SQRT(M49*T49)*POWER((MIN(O49,20)+SQRT(MAX(O49-20,0))),0.9)*Data!$B$1)*(1-(U49-1))</f>
        <v>24.149380110174171</v>
      </c>
      <c r="AS49" s="2"/>
      <c r="AT49" s="2">
        <f>((POWER((M49*M49*T49), 0.33)*LOG10(R49)*10*Data!$B$1)*U49)+AS49</f>
        <v>27.800730349293211</v>
      </c>
      <c r="AU49" s="2">
        <f t="shared" si="19"/>
        <v>17.741935483870968</v>
      </c>
      <c r="AV49" s="2">
        <f t="shared" si="23"/>
        <v>0</v>
      </c>
      <c r="AX49" s="2">
        <v>1</v>
      </c>
      <c r="AY49" s="2">
        <v>1</v>
      </c>
      <c r="AZ49" s="2">
        <f t="shared" si="21"/>
        <v>36</v>
      </c>
      <c r="BA49" s="2">
        <f t="shared" si="22"/>
        <v>36</v>
      </c>
      <c r="BB49" s="3"/>
      <c r="BC49" s="3"/>
      <c r="BD49" s="3"/>
      <c r="BE49" s="2" t="str">
        <f>CONCATENATE(
ROUND(BB49*VLOOKUP(K49,'ID Scheme'!$A$2:$E$7,3),0), "x",
ROUND(BC49*VLOOKUP(K49,'ID Scheme'!$A$2:$E$7,5),0), "x",
ROUND(BD49*VLOOKUP(K49,'ID Scheme'!$A$2:$E$7,4),0))</f>
        <v>0x0x0</v>
      </c>
    </row>
    <row r="50" spans="1:58" x14ac:dyDescent="0.3">
      <c r="A50" t="s">
        <v>93</v>
      </c>
      <c r="B50" t="s">
        <v>165</v>
      </c>
      <c r="C50" t="s">
        <v>291</v>
      </c>
      <c r="D50">
        <f>IF(G50 &gt; 2020, ((G50-2020)*4)+1610+I50,IF(G50 &gt; 1900, ((G50-1900)*10)+400+I50, ((G50-1730)*2)+I50))+VLOOKUP(K50,'ID Scheme'!$A$2:$B$7,2, FALSE)</f>
        <v>1201</v>
      </c>
      <c r="E50">
        <v>1201</v>
      </c>
      <c r="F50" t="s">
        <v>683</v>
      </c>
      <c r="G50">
        <v>1920</v>
      </c>
      <c r="H50">
        <v>1</v>
      </c>
      <c r="I50">
        <v>1</v>
      </c>
      <c r="J50" t="s">
        <v>523</v>
      </c>
      <c r="K50" t="s">
        <v>12</v>
      </c>
      <c r="L50" t="s">
        <v>501</v>
      </c>
      <c r="M50">
        <v>22</v>
      </c>
      <c r="N50">
        <v>20</v>
      </c>
      <c r="O50">
        <v>16</v>
      </c>
      <c r="P50">
        <v>5</v>
      </c>
      <c r="Q50">
        <v>5</v>
      </c>
      <c r="R50">
        <v>30</v>
      </c>
      <c r="S50">
        <v>20</v>
      </c>
      <c r="T50">
        <v>54</v>
      </c>
      <c r="U50">
        <v>1</v>
      </c>
      <c r="V50" t="s">
        <v>289</v>
      </c>
      <c r="W50">
        <v>3</v>
      </c>
      <c r="X50" s="2" t="s">
        <v>290</v>
      </c>
      <c r="Y50" s="2"/>
      <c r="Z50" s="2"/>
      <c r="AA50" s="2"/>
      <c r="AB50" s="2"/>
      <c r="AC50" s="2"/>
      <c r="AD50" s="2"/>
      <c r="AE50" s="2"/>
      <c r="AF50" s="2"/>
      <c r="AG50" s="2"/>
      <c r="AO50">
        <v>8</v>
      </c>
      <c r="AR50" s="2">
        <f>(SQRT(M50*T50)*POWER((MIN(O50,20)+SQRT(MAX(O50-20,0))),0.9)*Data!$B$1)*(1-(U50-1))</f>
        <v>31.345663574572221</v>
      </c>
      <c r="AS50" s="2"/>
      <c r="AT50" s="2">
        <f>((POWER((M50*M50*T50), 0.33)*LOG10(R50)*10*Data!$B$1)*U50)+AS50</f>
        <v>31.780909444617688</v>
      </c>
      <c r="AU50" s="2">
        <f t="shared" si="19"/>
        <v>17.741935483870968</v>
      </c>
      <c r="AV50" s="2">
        <f t="shared" ref="AV50:AV52" si="32">AH50/1.24</f>
        <v>0</v>
      </c>
      <c r="AX50" s="2">
        <v>1</v>
      </c>
      <c r="AY50" s="2">
        <v>1</v>
      </c>
      <c r="AZ50" s="2">
        <f t="shared" si="21"/>
        <v>54</v>
      </c>
      <c r="BA50" s="2">
        <f t="shared" si="22"/>
        <v>54</v>
      </c>
      <c r="BB50" s="3"/>
      <c r="BC50" s="3"/>
      <c r="BD50" s="3"/>
      <c r="BE50" s="2" t="str">
        <f>CONCATENATE(
ROUND(BB50*VLOOKUP(K50,'ID Scheme'!$A$2:$E$7,3),0), "x",
ROUND(BC50*VLOOKUP(K50,'ID Scheme'!$A$2:$E$7,5),0), "x",
ROUND(BD50*VLOOKUP(K50,'ID Scheme'!$A$2:$E$7,4),0))</f>
        <v>0x0x0</v>
      </c>
    </row>
    <row r="51" spans="1:58" x14ac:dyDescent="0.3">
      <c r="A51" t="s">
        <v>504</v>
      </c>
      <c r="B51" t="s">
        <v>505</v>
      </c>
      <c r="C51" t="s">
        <v>285</v>
      </c>
      <c r="D51">
        <f>IF(G51 &gt; 2020, ((G51-2020)*4)+1610+I51,IF(G51 &gt; 1900, ((G51-1900)*10)+400+I51, ((G51-1730)*2)+I51))+VLOOKUP(K51,'ID Scheme'!$A$2:$B$7,2, FALSE)</f>
        <v>1261</v>
      </c>
      <c r="E51">
        <v>1261</v>
      </c>
      <c r="F51" t="s">
        <v>683</v>
      </c>
      <c r="G51">
        <v>1926</v>
      </c>
      <c r="H51">
        <v>12</v>
      </c>
      <c r="I51">
        <v>1</v>
      </c>
      <c r="J51" t="s">
        <v>523</v>
      </c>
      <c r="K51" t="s">
        <v>12</v>
      </c>
      <c r="L51" t="s">
        <v>506</v>
      </c>
      <c r="M51">
        <v>30</v>
      </c>
      <c r="N51">
        <v>40</v>
      </c>
      <c r="O51">
        <v>18</v>
      </c>
      <c r="P51">
        <v>5</v>
      </c>
      <c r="Q51">
        <v>5</v>
      </c>
      <c r="R51">
        <v>60</v>
      </c>
      <c r="S51">
        <v>20</v>
      </c>
      <c r="T51">
        <v>48</v>
      </c>
      <c r="U51">
        <v>1</v>
      </c>
      <c r="V51" t="s">
        <v>365</v>
      </c>
      <c r="W51">
        <v>3</v>
      </c>
      <c r="X51" s="2" t="s">
        <v>507</v>
      </c>
      <c r="Y51" s="2"/>
      <c r="Z51" s="2"/>
      <c r="AA51" s="2"/>
      <c r="AB51" s="2"/>
      <c r="AC51" s="2"/>
      <c r="AD51" s="2"/>
      <c r="AE51" s="2"/>
      <c r="AF51" s="2"/>
      <c r="AG51" s="2"/>
      <c r="AO51">
        <v>8</v>
      </c>
      <c r="AR51" s="2">
        <f>(SQRT(M51*T51)*POWER((MIN(O51,20)+SQRT(MAX(O51-20,0))),0.9)*Data!$B$1)*(1-(U51-1))</f>
        <v>38.369643493971942</v>
      </c>
      <c r="AS51" s="2"/>
      <c r="AT51" s="2">
        <f>((POWER((M51*M51*T51), 0.33)*LOG10(R51)*10*Data!$B$1)*U51)+AS51</f>
        <v>45.158509516285143</v>
      </c>
      <c r="AU51" s="2">
        <f t="shared" si="19"/>
        <v>24.193548387096776</v>
      </c>
      <c r="AV51" s="2">
        <f t="shared" si="32"/>
        <v>0</v>
      </c>
      <c r="AX51" s="2">
        <v>1</v>
      </c>
      <c r="AY51" s="2">
        <v>1</v>
      </c>
      <c r="AZ51" s="2">
        <f t="shared" si="21"/>
        <v>48</v>
      </c>
      <c r="BA51" s="2">
        <f t="shared" si="22"/>
        <v>48</v>
      </c>
      <c r="BB51" s="3">
        <v>11</v>
      </c>
      <c r="BC51" s="3">
        <v>2.5</v>
      </c>
      <c r="BD51" s="3">
        <v>3.8</v>
      </c>
      <c r="BE51" s="2" t="str">
        <f>CONCATENATE(
ROUND(BB51*VLOOKUP(K51,'ID Scheme'!$A$2:$E$7,3),0), "x",
ROUND(BC51*VLOOKUP(K51,'ID Scheme'!$A$2:$E$7,5),0), "x",
ROUND(BD51*VLOOKUP(K51,'ID Scheme'!$A$2:$E$7,4),0))</f>
        <v>103x36x37</v>
      </c>
    </row>
    <row r="52" spans="1:58" ht="14.25" customHeight="1" x14ac:dyDescent="0.3">
      <c r="A52" t="s">
        <v>44</v>
      </c>
      <c r="B52" t="s">
        <v>167</v>
      </c>
      <c r="C52" t="s">
        <v>285</v>
      </c>
      <c r="D52">
        <f>IF(G52 &gt; 2020, ((G52-2020)*4)+1610+I52,IF(G52 &gt; 1900, ((G52-1900)*10)+400+I52, ((G52-1730)*2)+I52))+VLOOKUP(K52,'ID Scheme'!$A$2:$B$7,2, FALSE)</f>
        <v>1271</v>
      </c>
      <c r="E52">
        <v>1271</v>
      </c>
      <c r="F52" t="s">
        <v>683</v>
      </c>
      <c r="G52">
        <v>1927</v>
      </c>
      <c r="H52">
        <v>3</v>
      </c>
      <c r="I52">
        <v>1</v>
      </c>
      <c r="J52" t="s">
        <v>523</v>
      </c>
      <c r="K52" t="s">
        <v>12</v>
      </c>
      <c r="L52" t="s">
        <v>501</v>
      </c>
      <c r="M52">
        <v>42</v>
      </c>
      <c r="N52">
        <v>20</v>
      </c>
      <c r="O52">
        <v>17</v>
      </c>
      <c r="P52">
        <v>4</v>
      </c>
      <c r="Q52">
        <v>5</v>
      </c>
      <c r="R52">
        <v>94</v>
      </c>
      <c r="S52">
        <v>20</v>
      </c>
      <c r="T52">
        <v>35</v>
      </c>
      <c r="U52">
        <v>1</v>
      </c>
      <c r="V52" t="s">
        <v>289</v>
      </c>
      <c r="W52">
        <v>3</v>
      </c>
      <c r="X52" s="2" t="s">
        <v>312</v>
      </c>
      <c r="Y52" s="2"/>
      <c r="Z52" s="2"/>
      <c r="AA52" s="2"/>
      <c r="AB52" s="2"/>
      <c r="AC52" s="2"/>
      <c r="AD52" s="2"/>
      <c r="AE52" s="2"/>
      <c r="AF52" s="2"/>
      <c r="AG52" s="2"/>
      <c r="AO52">
        <v>8</v>
      </c>
      <c r="AR52" s="2">
        <f>(SQRT(M52*T52)*POWER((MIN(O52,20)+SQRT(MAX(O52-20,0))),0.9)*Data!$B$1)*(1-(U52-1))</f>
        <v>36.82340631265253</v>
      </c>
      <c r="AS52" s="2"/>
      <c r="AT52" s="2">
        <f>((POWER((M52*M52*T52), 0.33)*LOG10(R52)*10*Data!$B$1)*U52)+AS52</f>
        <v>56.377196674747736</v>
      </c>
      <c r="AU52" s="2">
        <f t="shared" si="19"/>
        <v>33.870967741935488</v>
      </c>
      <c r="AV52" s="2">
        <f t="shared" si="32"/>
        <v>0</v>
      </c>
      <c r="AX52" s="2">
        <v>1</v>
      </c>
      <c r="AY52" s="2">
        <v>1</v>
      </c>
      <c r="AZ52" s="2">
        <f t="shared" si="21"/>
        <v>35</v>
      </c>
      <c r="BA52" s="2">
        <f t="shared" si="22"/>
        <v>35</v>
      </c>
      <c r="BB52" s="3"/>
      <c r="BC52" s="3"/>
      <c r="BD52" s="3"/>
      <c r="BE52" s="2" t="str">
        <f>CONCATENATE(
ROUND(BB52*VLOOKUP(K52,'ID Scheme'!$A$2:$E$7,3),0), "x",
ROUND(BC52*VLOOKUP(K52,'ID Scheme'!$A$2:$E$7,5),0), "x",
ROUND(BD52*VLOOKUP(K52,'ID Scheme'!$A$2:$E$7,4),0))</f>
        <v>0x0x0</v>
      </c>
    </row>
    <row r="53" spans="1:58" x14ac:dyDescent="0.3">
      <c r="A53" t="s">
        <v>26</v>
      </c>
      <c r="B53" t="s">
        <v>162</v>
      </c>
      <c r="C53" t="s">
        <v>285</v>
      </c>
      <c r="D53">
        <f>IF(G53 &gt; 2020, ((G53-2020)*4)+1610+I53,IF(G53 &gt; 1900, ((G53-1900)*10)+400+I53, ((G53-1730)*2)+I53))+VLOOKUP(K53,'ID Scheme'!$A$2:$B$7,2, FALSE)</f>
        <v>1291</v>
      </c>
      <c r="E53">
        <v>1291</v>
      </c>
      <c r="F53" t="s">
        <v>683</v>
      </c>
      <c r="G53">
        <v>1929</v>
      </c>
      <c r="H53">
        <v>1</v>
      </c>
      <c r="I53">
        <v>1</v>
      </c>
      <c r="J53" t="s">
        <v>523</v>
      </c>
      <c r="K53" t="s">
        <v>12</v>
      </c>
      <c r="L53" t="s">
        <v>501</v>
      </c>
      <c r="M53">
        <v>29</v>
      </c>
      <c r="N53">
        <v>20</v>
      </c>
      <c r="O53">
        <v>20</v>
      </c>
      <c r="P53">
        <v>7</v>
      </c>
      <c r="Q53">
        <v>7</v>
      </c>
      <c r="R53">
        <v>90</v>
      </c>
      <c r="S53">
        <v>20</v>
      </c>
      <c r="T53">
        <v>50</v>
      </c>
      <c r="U53">
        <v>1</v>
      </c>
      <c r="V53" t="s">
        <v>289</v>
      </c>
      <c r="W53">
        <v>3</v>
      </c>
      <c r="X53" s="2" t="s">
        <v>311</v>
      </c>
      <c r="Y53" s="2"/>
      <c r="Z53" s="2"/>
      <c r="AA53" s="2"/>
      <c r="AB53" s="2"/>
      <c r="AC53" s="2"/>
      <c r="AD53" s="2"/>
      <c r="AE53" s="2"/>
      <c r="AF53" s="2"/>
      <c r="AG53" s="2"/>
      <c r="AO53">
        <v>8</v>
      </c>
      <c r="AR53" s="2">
        <f>(SQRT(M53*T53)*POWER((MIN(O53,20)+SQRT(MAX(O53-20,0))),0.9)*Data!$B$1)*(1-(U53-1))</f>
        <v>42.332338540034662</v>
      </c>
      <c r="AS53" s="2"/>
      <c r="AT53" s="2">
        <f>((POWER((M53*M53*T53), 0.33)*LOG10(R53)*10*Data!$B$1)*U53)+AS53</f>
        <v>49.190642990058024</v>
      </c>
      <c r="AU53" s="2">
        <f t="shared" si="19"/>
        <v>23.387096774193548</v>
      </c>
      <c r="AV53" s="2">
        <f t="shared" si="23"/>
        <v>0</v>
      </c>
      <c r="AX53" s="2">
        <v>1</v>
      </c>
      <c r="AY53" s="2">
        <v>1</v>
      </c>
      <c r="AZ53" s="2">
        <f t="shared" si="21"/>
        <v>50</v>
      </c>
      <c r="BA53" s="2">
        <f t="shared" si="22"/>
        <v>50</v>
      </c>
      <c r="BB53" s="3"/>
      <c r="BC53" s="3"/>
      <c r="BD53" s="3"/>
      <c r="BE53" s="2" t="str">
        <f>CONCATENATE(
ROUND(BB53*VLOOKUP(K53,'ID Scheme'!$A$2:$E$7,3),0), "x",
ROUND(BC53*VLOOKUP(K53,'ID Scheme'!$A$2:$E$7,5),0), "x",
ROUND(BD53*VLOOKUP(K53,'ID Scheme'!$A$2:$E$7,4),0))</f>
        <v>0x0x0</v>
      </c>
    </row>
    <row r="54" spans="1:58" x14ac:dyDescent="0.3">
      <c r="A54" t="s">
        <v>47</v>
      </c>
      <c r="B54" t="s">
        <v>166</v>
      </c>
      <c r="C54" t="s">
        <v>285</v>
      </c>
      <c r="D54">
        <f>IF(G54 &gt; 2020, ((G54-2020)*4)+1610+I54,IF(G54 &gt; 1900, ((G54-1900)*10)+400+I54, ((G54-1730)*2)+I54))+VLOOKUP(K54,'ID Scheme'!$A$2:$B$7,2, FALSE)</f>
        <v>1311</v>
      </c>
      <c r="E54">
        <v>1311</v>
      </c>
      <c r="F54" t="s">
        <v>683</v>
      </c>
      <c r="G54">
        <v>1931</v>
      </c>
      <c r="H54">
        <v>1</v>
      </c>
      <c r="I54">
        <v>1</v>
      </c>
      <c r="J54" t="s">
        <v>523</v>
      </c>
      <c r="K54" t="s">
        <v>12</v>
      </c>
      <c r="L54" t="s">
        <v>501</v>
      </c>
      <c r="M54">
        <v>36</v>
      </c>
      <c r="N54">
        <v>18</v>
      </c>
      <c r="O54">
        <v>19</v>
      </c>
      <c r="P54">
        <v>5</v>
      </c>
      <c r="Q54">
        <v>5</v>
      </c>
      <c r="R54">
        <v>100</v>
      </c>
      <c r="S54">
        <v>20</v>
      </c>
      <c r="T54">
        <v>32</v>
      </c>
      <c r="U54">
        <v>1</v>
      </c>
      <c r="V54" t="s">
        <v>288</v>
      </c>
      <c r="W54">
        <v>-3</v>
      </c>
      <c r="X54" s="2" t="s">
        <v>310</v>
      </c>
      <c r="Y54" s="2"/>
      <c r="Z54" s="2"/>
      <c r="AA54" s="2"/>
      <c r="AB54" s="2"/>
      <c r="AC54" s="2"/>
      <c r="AD54" s="2"/>
      <c r="AE54" s="2"/>
      <c r="AF54" s="2"/>
      <c r="AG54" s="2"/>
      <c r="AO54">
        <v>7</v>
      </c>
      <c r="AR54" s="2">
        <f>(SQRT(M54*T54)*POWER((MIN(O54,20)+SQRT(MAX(O54-20,0))),0.9)*Data!$B$1)*(1-(U54-1))</f>
        <v>36.030122922747744</v>
      </c>
      <c r="AS54" s="2"/>
      <c r="AT54" s="2">
        <f>((POWER((M54*M54*T54), 0.33)*LOG10(R54)*10*Data!$B$1)*U54)+AS54</f>
        <v>50.112999997180935</v>
      </c>
      <c r="AU54" s="2">
        <f t="shared" si="19"/>
        <v>29.032258064516128</v>
      </c>
      <c r="AV54" s="2">
        <f t="shared" si="23"/>
        <v>0</v>
      </c>
      <c r="AX54" s="2">
        <v>1</v>
      </c>
      <c r="AY54" s="2">
        <v>1</v>
      </c>
      <c r="AZ54" s="2">
        <f t="shared" si="21"/>
        <v>32</v>
      </c>
      <c r="BA54" s="2">
        <f t="shared" si="22"/>
        <v>32</v>
      </c>
      <c r="BB54" s="3"/>
      <c r="BC54" s="3"/>
      <c r="BD54" s="3"/>
      <c r="BE54" s="2" t="str">
        <f>CONCATENATE(
ROUND(BB54*VLOOKUP(K54,'ID Scheme'!$A$2:$E$7,3),0), "x",
ROUND(BC54*VLOOKUP(K54,'ID Scheme'!$A$2:$E$7,5),0), "x",
ROUND(BD54*VLOOKUP(K54,'ID Scheme'!$A$2:$E$7,4),0))</f>
        <v>0x0x0</v>
      </c>
    </row>
    <row r="55" spans="1:58" x14ac:dyDescent="0.3">
      <c r="A55" t="s">
        <v>43</v>
      </c>
      <c r="B55" t="s">
        <v>168</v>
      </c>
      <c r="C55" t="s">
        <v>285</v>
      </c>
      <c r="D55">
        <f>IF(G55 &gt; 2020, ((G55-2020)*4)+1610+I55,IF(G55 &gt; 1900, ((G55-1900)*10)+400+I55, ((G55-1730)*2)+I55))+VLOOKUP(K55,'ID Scheme'!$A$2:$B$7,2, FALSE)</f>
        <v>1331</v>
      </c>
      <c r="E55">
        <v>1331</v>
      </c>
      <c r="F55" t="s">
        <v>683</v>
      </c>
      <c r="G55">
        <v>1933</v>
      </c>
      <c r="H55">
        <v>1</v>
      </c>
      <c r="I55">
        <v>1</v>
      </c>
      <c r="J55" t="s">
        <v>523</v>
      </c>
      <c r="K55" t="s">
        <v>12</v>
      </c>
      <c r="L55" t="s">
        <v>501</v>
      </c>
      <c r="M55">
        <v>40</v>
      </c>
      <c r="N55">
        <v>20</v>
      </c>
      <c r="O55">
        <v>16</v>
      </c>
      <c r="P55">
        <v>4</v>
      </c>
      <c r="Q55">
        <v>6</v>
      </c>
      <c r="R55">
        <v>102</v>
      </c>
      <c r="S55">
        <v>20</v>
      </c>
      <c r="T55">
        <v>44</v>
      </c>
      <c r="U55">
        <v>1</v>
      </c>
      <c r="V55" t="s">
        <v>289</v>
      </c>
      <c r="W55">
        <v>3</v>
      </c>
      <c r="X55" s="2" t="s">
        <v>309</v>
      </c>
      <c r="Y55" s="2"/>
      <c r="Z55" s="2"/>
      <c r="AA55" s="2"/>
      <c r="AB55" s="2"/>
      <c r="AC55" s="2"/>
      <c r="AD55" s="2"/>
      <c r="AE55" s="2"/>
      <c r="AF55" s="2"/>
      <c r="AG55" s="2"/>
      <c r="AO55">
        <v>8</v>
      </c>
      <c r="AR55" s="2">
        <f>(SQRT(M55*T55)*POWER((MIN(O55,20)+SQRT(MAX(O55-20,0))),0.9)*Data!$B$1)*(1-(U55-1))</f>
        <v>38.152726710580495</v>
      </c>
      <c r="AS55" s="2"/>
      <c r="AT55" s="2">
        <f>((POWER((M55*M55*T55), 0.33)*LOG10(R55)*10*Data!$B$1)*U55)+AS55</f>
        <v>59.931305258252422</v>
      </c>
      <c r="AU55" s="2">
        <f t="shared" si="19"/>
        <v>32.258064516129032</v>
      </c>
      <c r="AV55" s="2">
        <f t="shared" si="23"/>
        <v>0</v>
      </c>
      <c r="AX55" s="2">
        <v>1</v>
      </c>
      <c r="AY55" s="2">
        <v>1</v>
      </c>
      <c r="AZ55" s="2">
        <f t="shared" si="21"/>
        <v>44</v>
      </c>
      <c r="BA55" s="2">
        <f t="shared" si="22"/>
        <v>44</v>
      </c>
      <c r="BB55" s="3"/>
      <c r="BC55" s="3"/>
      <c r="BD55" s="3"/>
      <c r="BE55" s="2" t="str">
        <f>CONCATENATE(
ROUND(BB55*VLOOKUP(K55,'ID Scheme'!$A$2:$E$7,3),0), "x",
ROUND(BC55*VLOOKUP(K55,'ID Scheme'!$A$2:$E$7,5),0), "x",
ROUND(BD55*VLOOKUP(K55,'ID Scheme'!$A$2:$E$7,4),0))</f>
        <v>0x0x0</v>
      </c>
    </row>
    <row r="56" spans="1:58" x14ac:dyDescent="0.3">
      <c r="A56" t="s">
        <v>101</v>
      </c>
      <c r="B56" t="s">
        <v>169</v>
      </c>
      <c r="C56" t="s">
        <v>285</v>
      </c>
      <c r="D56">
        <f>IF(G56 &gt; 2020, ((G56-2020)*4)+1610+I56,IF(G56 &gt; 1900, ((G56-1900)*10)+400+I56, ((G56-1730)*2)+I56))+VLOOKUP(K56,'ID Scheme'!$A$2:$B$7,2, FALSE)</f>
        <v>1332</v>
      </c>
      <c r="E56">
        <v>1332</v>
      </c>
      <c r="F56" t="s">
        <v>683</v>
      </c>
      <c r="G56">
        <v>1933</v>
      </c>
      <c r="H56">
        <v>3</v>
      </c>
      <c r="I56">
        <v>2</v>
      </c>
      <c r="J56" t="s">
        <v>523</v>
      </c>
      <c r="K56" t="s">
        <v>12</v>
      </c>
      <c r="L56" t="s">
        <v>501</v>
      </c>
      <c r="M56">
        <v>48</v>
      </c>
      <c r="N56">
        <v>25</v>
      </c>
      <c r="O56">
        <v>15</v>
      </c>
      <c r="P56">
        <v>5</v>
      </c>
      <c r="Q56">
        <v>4</v>
      </c>
      <c r="R56">
        <v>90</v>
      </c>
      <c r="S56">
        <v>20</v>
      </c>
      <c r="T56">
        <v>20</v>
      </c>
      <c r="U56">
        <v>1</v>
      </c>
      <c r="V56" t="s">
        <v>289</v>
      </c>
      <c r="W56">
        <v>0</v>
      </c>
      <c r="X56" s="2" t="s">
        <v>308</v>
      </c>
      <c r="Y56" s="2"/>
      <c r="Z56" s="2"/>
      <c r="AA56" s="2"/>
      <c r="AB56" s="2"/>
      <c r="AC56" s="2"/>
      <c r="AD56" s="2"/>
      <c r="AE56" s="2"/>
      <c r="AF56" s="2"/>
      <c r="AG56" s="2"/>
      <c r="AO56">
        <v>6</v>
      </c>
      <c r="AR56" s="2">
        <f>(SQRT(M56*T56)*POWER((MIN(O56,20)+SQRT(MAX(O56-20,0))),0.9)*Data!$B$1)*(1-(U56-1))</f>
        <v>26.587592451565005</v>
      </c>
      <c r="AS56" s="2"/>
      <c r="AT56" s="2">
        <f>((POWER((M56*M56*T56), 0.33)*LOG10(R56)*10*Data!$B$1)*U56)+AS56</f>
        <v>50.698934782631881</v>
      </c>
      <c r="AU56" s="2">
        <f t="shared" si="19"/>
        <v>38.70967741935484</v>
      </c>
      <c r="AV56" s="2">
        <f t="shared" si="23"/>
        <v>0</v>
      </c>
      <c r="AX56" s="2">
        <v>1</v>
      </c>
      <c r="AY56" s="2">
        <v>1</v>
      </c>
      <c r="AZ56" s="2">
        <f t="shared" si="21"/>
        <v>20</v>
      </c>
      <c r="BA56" s="2">
        <f t="shared" si="22"/>
        <v>20</v>
      </c>
      <c r="BD56" s="3"/>
      <c r="BE56" s="2" t="str">
        <f>CONCATENATE(
ROUND(BB56*VLOOKUP(K56,'ID Scheme'!$A$2:$E$7,3),0), "x",
ROUND(BC56*VLOOKUP(K56,'ID Scheme'!$A$2:$E$7,5),0), "x",
ROUND(BD56*VLOOKUP(K56,'ID Scheme'!$A$2:$E$7,4),0))</f>
        <v>0x0x0</v>
      </c>
    </row>
    <row r="57" spans="1:58" x14ac:dyDescent="0.3">
      <c r="A57" t="s">
        <v>92</v>
      </c>
      <c r="B57" t="s">
        <v>170</v>
      </c>
      <c r="C57" t="s">
        <v>285</v>
      </c>
      <c r="D57">
        <f>IF(G57 &gt; 2020, ((G57-2020)*4)+1610+I57,IF(G57 &gt; 1900, ((G57-1900)*10)+400+I57, ((G57-1730)*2)+I57))+VLOOKUP(K57,'ID Scheme'!$A$2:$B$7,2, FALSE)</f>
        <v>1371</v>
      </c>
      <c r="E57">
        <v>1371</v>
      </c>
      <c r="F57" t="s">
        <v>683</v>
      </c>
      <c r="G57">
        <v>1937</v>
      </c>
      <c r="H57">
        <v>1</v>
      </c>
      <c r="I57">
        <v>1</v>
      </c>
      <c r="J57" t="s">
        <v>523</v>
      </c>
      <c r="K57" t="s">
        <v>12</v>
      </c>
      <c r="L57" t="s">
        <v>501</v>
      </c>
      <c r="M57">
        <v>44</v>
      </c>
      <c r="N57">
        <v>15</v>
      </c>
      <c r="O57">
        <v>15</v>
      </c>
      <c r="P57">
        <v>4</v>
      </c>
      <c r="Q57">
        <v>5</v>
      </c>
      <c r="R57">
        <v>100</v>
      </c>
      <c r="S57">
        <v>20</v>
      </c>
      <c r="T57">
        <v>38</v>
      </c>
      <c r="U57">
        <v>1</v>
      </c>
      <c r="V57" t="s">
        <v>289</v>
      </c>
      <c r="W57">
        <v>1</v>
      </c>
      <c r="X57" s="2" t="s">
        <v>307</v>
      </c>
      <c r="Y57" s="2"/>
      <c r="Z57" s="2"/>
      <c r="AA57" s="2"/>
      <c r="AB57" s="2"/>
      <c r="AC57" s="2"/>
      <c r="AD57" s="2"/>
      <c r="AE57" s="2"/>
      <c r="AF57" s="2"/>
      <c r="AG57" s="2"/>
      <c r="AO57">
        <v>7</v>
      </c>
      <c r="AR57" s="2">
        <f>(SQRT(M57*T57)*POWER((MIN(O57,20)+SQRT(MAX(O57-20,0))),0.9)*Data!$B$1)*(1-(U57-1))</f>
        <v>35.088235816466785</v>
      </c>
      <c r="AS57" s="2"/>
      <c r="AT57" s="2">
        <f>((POWER((M57*M57*T57), 0.33)*LOG10(R57)*10*Data!$B$1)*U57)+AS57</f>
        <v>60.547834117089934</v>
      </c>
      <c r="AU57" s="2">
        <f t="shared" si="19"/>
        <v>35.483870967741936</v>
      </c>
      <c r="AV57" s="2">
        <f t="shared" si="23"/>
        <v>0</v>
      </c>
      <c r="AX57" s="2">
        <v>1</v>
      </c>
      <c r="AY57" s="2">
        <v>1</v>
      </c>
      <c r="AZ57" s="2">
        <f t="shared" si="21"/>
        <v>38</v>
      </c>
      <c r="BA57" s="2">
        <f t="shared" si="22"/>
        <v>38</v>
      </c>
      <c r="BB57" s="3">
        <v>8.4</v>
      </c>
      <c r="BC57" s="3">
        <v>2.4</v>
      </c>
      <c r="BD57" s="3">
        <v>2.6</v>
      </c>
      <c r="BE57" s="2" t="str">
        <f>CONCATENATE(
ROUND(BB57*VLOOKUP(K57,'ID Scheme'!$A$2:$E$7,3),0), "x",
ROUND(BC57*VLOOKUP(K57,'ID Scheme'!$A$2:$E$7,5),0), "x",
ROUND(BD57*VLOOKUP(K57,'ID Scheme'!$A$2:$E$7,4),0))</f>
        <v>78x35x25</v>
      </c>
    </row>
    <row r="58" spans="1:58" x14ac:dyDescent="0.3">
      <c r="A58" t="s">
        <v>27</v>
      </c>
      <c r="B58" t="s">
        <v>161</v>
      </c>
      <c r="C58" t="s">
        <v>285</v>
      </c>
      <c r="D58">
        <f>IF(G58 &gt; 2020, ((G58-2020)*4)+1610+I58,IF(G58 &gt; 1900, ((G58-1900)*10)+400+I58, ((G58-1730)*2)+I58))+VLOOKUP(K58,'ID Scheme'!$A$2:$B$7,2, FALSE)</f>
        <v>1451</v>
      </c>
      <c r="E58">
        <v>1451</v>
      </c>
      <c r="F58" t="s">
        <v>683</v>
      </c>
      <c r="G58">
        <v>1945</v>
      </c>
      <c r="H58">
        <v>9</v>
      </c>
      <c r="I58">
        <v>1</v>
      </c>
      <c r="J58" t="s">
        <v>523</v>
      </c>
      <c r="K58" t="s">
        <v>12</v>
      </c>
      <c r="L58" t="s">
        <v>501</v>
      </c>
      <c r="M58">
        <v>38</v>
      </c>
      <c r="N58">
        <v>20</v>
      </c>
      <c r="O58">
        <v>20</v>
      </c>
      <c r="P58">
        <v>7</v>
      </c>
      <c r="Q58">
        <v>7</v>
      </c>
      <c r="R58">
        <v>115</v>
      </c>
      <c r="S58">
        <v>20</v>
      </c>
      <c r="T58">
        <v>57</v>
      </c>
      <c r="U58">
        <v>1</v>
      </c>
      <c r="V58" t="s">
        <v>289</v>
      </c>
      <c r="W58">
        <v>3</v>
      </c>
      <c r="X58" s="2" t="s">
        <v>306</v>
      </c>
      <c r="Y58" s="2"/>
      <c r="Z58" s="2"/>
      <c r="AA58" s="2"/>
      <c r="AB58" s="2"/>
      <c r="AC58" s="2"/>
      <c r="AD58" s="2"/>
      <c r="AE58" s="2"/>
      <c r="AF58" s="2"/>
      <c r="AG58" s="2"/>
      <c r="AO58">
        <v>8</v>
      </c>
      <c r="AR58" s="2">
        <f>(SQRT(M58*T58)*POWER((MIN(O58,20)+SQRT(MAX(O58-20,0))),0.9)*Data!$B$1)*(1-(U58-1))</f>
        <v>51.738935086655786</v>
      </c>
      <c r="AS58" s="2"/>
      <c r="AT58" s="2">
        <f>((POWER((M58*M58*T58), 0.33)*LOG10(R58)*10*Data!$B$1)*U58)+AS58</f>
        <v>64.739815215748749</v>
      </c>
      <c r="AU58" s="2">
        <f t="shared" si="19"/>
        <v>30.64516129032258</v>
      </c>
      <c r="AV58" s="2">
        <f t="shared" si="23"/>
        <v>0</v>
      </c>
      <c r="AX58" s="2">
        <v>1</v>
      </c>
      <c r="AY58" s="2">
        <v>1</v>
      </c>
      <c r="AZ58" s="2">
        <f t="shared" si="21"/>
        <v>57</v>
      </c>
      <c r="BA58" s="2">
        <f t="shared" si="22"/>
        <v>57</v>
      </c>
      <c r="BB58" s="3"/>
      <c r="BC58" s="3"/>
      <c r="BD58" s="3"/>
      <c r="BE58" s="2" t="str">
        <f>CONCATENATE(
ROUND(BB58*VLOOKUP(K58,'ID Scheme'!$A$2:$E$7,3),0), "x",
ROUND(BC58*VLOOKUP(K58,'ID Scheme'!$A$2:$E$7,5),0), "x",
ROUND(BD58*VLOOKUP(K58,'ID Scheme'!$A$2:$E$7,4),0))</f>
        <v>0x0x0</v>
      </c>
    </row>
    <row r="59" spans="1:58" x14ac:dyDescent="0.3">
      <c r="A59" t="s">
        <v>86</v>
      </c>
      <c r="B59" t="s">
        <v>171</v>
      </c>
      <c r="C59" t="s">
        <v>285</v>
      </c>
      <c r="D59">
        <f>IF(G59 &gt; 2020, ((G59-2020)*4)+1610+I59,IF(G59 &gt; 1900, ((G59-1900)*10)+400+I59, ((G59-1730)*2)+I59))+VLOOKUP(K59,'ID Scheme'!$A$2:$B$7,2, FALSE)</f>
        <v>1491</v>
      </c>
      <c r="E59">
        <v>1491</v>
      </c>
      <c r="F59" t="s">
        <v>683</v>
      </c>
      <c r="G59">
        <v>1949</v>
      </c>
      <c r="H59">
        <v>6</v>
      </c>
      <c r="I59">
        <v>1</v>
      </c>
      <c r="J59" t="s">
        <v>523</v>
      </c>
      <c r="K59" t="s">
        <v>12</v>
      </c>
      <c r="L59" t="s">
        <v>501</v>
      </c>
      <c r="M59">
        <v>42</v>
      </c>
      <c r="N59">
        <v>20</v>
      </c>
      <c r="O59">
        <v>18</v>
      </c>
      <c r="P59">
        <v>6</v>
      </c>
      <c r="Q59">
        <v>6.5</v>
      </c>
      <c r="R59">
        <v>120</v>
      </c>
      <c r="S59">
        <v>20</v>
      </c>
      <c r="T59">
        <v>58</v>
      </c>
      <c r="U59">
        <v>1</v>
      </c>
      <c r="V59" t="s">
        <v>289</v>
      </c>
      <c r="W59">
        <v>3</v>
      </c>
      <c r="X59" s="2" t="s">
        <v>292</v>
      </c>
      <c r="Y59" s="2"/>
      <c r="Z59" s="2"/>
      <c r="AA59" s="2"/>
      <c r="AB59" s="2"/>
      <c r="AC59" s="2"/>
      <c r="AD59" s="2"/>
      <c r="AE59" s="2"/>
      <c r="AF59" s="2"/>
      <c r="AG59" s="2"/>
      <c r="AO59">
        <v>7</v>
      </c>
      <c r="AR59" s="2">
        <f>(SQRT(M59*T59)*POWER((MIN(O59,20)+SQRT(MAX(O59-20,0))),0.9)*Data!$B$1)*(1-(U59-1))</f>
        <v>49.905126406384355</v>
      </c>
      <c r="AS59" s="2"/>
      <c r="AT59" s="2">
        <f>((POWER((M59*M59*T59), 0.33)*LOG10(R59)*10*Data!$B$1)*U59)+AS59</f>
        <v>70.182588528436455</v>
      </c>
      <c r="AU59" s="2">
        <f t="shared" si="19"/>
        <v>33.870967741935488</v>
      </c>
      <c r="AV59" s="2">
        <f t="shared" si="23"/>
        <v>0</v>
      </c>
      <c r="AX59" s="2">
        <v>1</v>
      </c>
      <c r="AY59" s="2">
        <v>1</v>
      </c>
      <c r="AZ59" s="2">
        <f t="shared" si="21"/>
        <v>58</v>
      </c>
      <c r="BA59" s="2">
        <f t="shared" si="22"/>
        <v>58</v>
      </c>
      <c r="BB59" s="3">
        <v>9.1</v>
      </c>
      <c r="BC59" s="3">
        <v>2.4</v>
      </c>
      <c r="BD59" s="3">
        <v>3.9</v>
      </c>
      <c r="BE59" s="2" t="str">
        <f>CONCATENATE(
ROUND(BB59*VLOOKUP(K59,'ID Scheme'!$A$2:$E$7,3),0), "x",
ROUND(BC59*VLOOKUP(K59,'ID Scheme'!$A$2:$E$7,5),0), "x",
ROUND(BD59*VLOOKUP(K59,'ID Scheme'!$A$2:$E$7,4),0))</f>
        <v>85x35x38</v>
      </c>
      <c r="BF59" t="s">
        <v>87</v>
      </c>
    </row>
    <row r="60" spans="1:58" x14ac:dyDescent="0.3">
      <c r="A60" t="s">
        <v>581</v>
      </c>
      <c r="B60" t="s">
        <v>582</v>
      </c>
      <c r="C60" t="s">
        <v>285</v>
      </c>
      <c r="D60">
        <f>IF(G60 &gt; 2020, ((G60-2020)*4)+1610+I60,IF(G60 &gt; 1900, ((G60-1900)*10)+400+I60, ((G60-1730)*2)+I60))+VLOOKUP(K60,'ID Scheme'!$A$2:$B$7,2, FALSE)</f>
        <v>1502</v>
      </c>
      <c r="E60">
        <v>1502</v>
      </c>
      <c r="F60" t="s">
        <v>683</v>
      </c>
      <c r="G60">
        <v>1950</v>
      </c>
      <c r="H60">
        <v>7</v>
      </c>
      <c r="I60">
        <v>2</v>
      </c>
      <c r="J60" t="s">
        <v>523</v>
      </c>
      <c r="K60" t="s">
        <v>12</v>
      </c>
      <c r="L60" t="s">
        <v>506</v>
      </c>
      <c r="M60">
        <v>30</v>
      </c>
      <c r="N60">
        <v>20</v>
      </c>
      <c r="O60">
        <v>17</v>
      </c>
      <c r="P60">
        <v>5</v>
      </c>
      <c r="Q60">
        <v>5</v>
      </c>
      <c r="R60">
        <v>75</v>
      </c>
      <c r="S60">
        <v>20</v>
      </c>
      <c r="T60">
        <v>56</v>
      </c>
      <c r="U60">
        <v>1</v>
      </c>
      <c r="V60" t="s">
        <v>365</v>
      </c>
      <c r="W60">
        <v>3</v>
      </c>
      <c r="X60" s="2" t="s">
        <v>583</v>
      </c>
      <c r="Y60" s="2"/>
      <c r="Z60" s="2"/>
      <c r="AA60" s="2"/>
      <c r="AB60" s="2"/>
      <c r="AC60" s="2"/>
      <c r="AD60" s="2"/>
      <c r="AE60" s="2"/>
      <c r="AF60" s="2"/>
      <c r="AG60" s="2"/>
      <c r="AO60">
        <v>8</v>
      </c>
      <c r="AR60" s="2">
        <f>(SQRT(M60*T60)*POWER((MIN(O60,20)+SQRT(MAX(O60-20,0))),0.9)*Data!$B$1)*(1-(U60-1))</f>
        <v>39.365877210261296</v>
      </c>
      <c r="AS60" s="2"/>
      <c r="AT60" s="2">
        <f>((POWER((M60*M60*T60), 0.33)*LOG10(R60)*10*Data!$B$1)*U60)+AS60</f>
        <v>50.104738782023908</v>
      </c>
      <c r="AU60" s="2">
        <f t="shared" si="19"/>
        <v>24.193548387096776</v>
      </c>
      <c r="AV60" s="2">
        <f t="shared" ref="AV60" si="33">AH60/1.24</f>
        <v>0</v>
      </c>
      <c r="AX60" s="2">
        <v>1</v>
      </c>
      <c r="AY60" s="2">
        <v>1</v>
      </c>
      <c r="AZ60" s="2">
        <f t="shared" si="21"/>
        <v>56</v>
      </c>
      <c r="BA60" s="2">
        <f t="shared" si="22"/>
        <v>56</v>
      </c>
      <c r="BB60" s="3">
        <v>11</v>
      </c>
      <c r="BC60" s="3">
        <v>2.5</v>
      </c>
      <c r="BD60" s="3">
        <v>3.8</v>
      </c>
      <c r="BE60" s="2" t="str">
        <f>CONCATENATE(
ROUND(BB60*VLOOKUP(K60,'ID Scheme'!$A$2:$E$7,3),0), "x",
ROUND(BC60*VLOOKUP(K60,'ID Scheme'!$A$2:$E$7,5),0), "x",
ROUND(BD60*VLOOKUP(K60,'ID Scheme'!$A$2:$E$7,4),0))</f>
        <v>103x36x37</v>
      </c>
    </row>
    <row r="61" spans="1:58" x14ac:dyDescent="0.3">
      <c r="A61" t="s">
        <v>85</v>
      </c>
      <c r="B61" t="s">
        <v>172</v>
      </c>
      <c r="C61" t="s">
        <v>285</v>
      </c>
      <c r="D61">
        <f>IF(G61 &gt; 2020, ((G61-2020)*4)+1610+I61,IF(G61 &gt; 1900, ((G61-1900)*10)+400+I61, ((G61-1730)*2)+I61))+VLOOKUP(K61,'ID Scheme'!$A$2:$B$7,2, FALSE)</f>
        <v>1501</v>
      </c>
      <c r="E61">
        <v>1501</v>
      </c>
      <c r="F61" t="s">
        <v>683</v>
      </c>
      <c r="G61">
        <v>1950</v>
      </c>
      <c r="H61">
        <v>1</v>
      </c>
      <c r="I61">
        <v>1</v>
      </c>
      <c r="J61" t="s">
        <v>523</v>
      </c>
      <c r="K61" t="s">
        <v>12</v>
      </c>
      <c r="L61" t="s">
        <v>501</v>
      </c>
      <c r="M61">
        <v>45</v>
      </c>
      <c r="N61">
        <v>15</v>
      </c>
      <c r="O61">
        <v>17</v>
      </c>
      <c r="P61">
        <v>4</v>
      </c>
      <c r="Q61">
        <v>5</v>
      </c>
      <c r="R61">
        <v>120</v>
      </c>
      <c r="S61">
        <v>20</v>
      </c>
      <c r="T61">
        <v>42</v>
      </c>
      <c r="U61">
        <v>1</v>
      </c>
      <c r="V61" t="s">
        <v>289</v>
      </c>
      <c r="W61">
        <v>1</v>
      </c>
      <c r="X61" s="2" t="s">
        <v>293</v>
      </c>
      <c r="Y61" s="2"/>
      <c r="Z61" s="2"/>
      <c r="AA61" s="2"/>
      <c r="AB61" s="2"/>
      <c r="AC61" s="2"/>
      <c r="AD61" s="2"/>
      <c r="AE61" s="2"/>
      <c r="AF61" s="2"/>
      <c r="AG61" s="2"/>
      <c r="AO61">
        <v>7</v>
      </c>
      <c r="AR61" s="2">
        <f>(SQRT(M61*T61)*POWER((MIN(O61,20)+SQRT(MAX(O61-20,0))),0.9)*Data!$B$1)*(1-(U61-1))</f>
        <v>41.753818084099102</v>
      </c>
      <c r="AS61" s="2"/>
      <c r="AT61" s="2">
        <f>((POWER((M61*M61*T61), 0.33)*LOG10(R61)*10*Data!$B$1)*U61)+AS61</f>
        <v>66.030735917412429</v>
      </c>
      <c r="AU61" s="2">
        <f t="shared" si="19"/>
        <v>36.29032258064516</v>
      </c>
      <c r="AV61" s="2">
        <f t="shared" si="23"/>
        <v>0</v>
      </c>
      <c r="AX61" s="2">
        <v>1</v>
      </c>
      <c r="AY61" s="2">
        <v>1</v>
      </c>
      <c r="AZ61" s="2">
        <f t="shared" si="21"/>
        <v>42</v>
      </c>
      <c r="BA61" s="2">
        <f t="shared" si="22"/>
        <v>42</v>
      </c>
      <c r="BB61" s="3">
        <v>9.1</v>
      </c>
      <c r="BC61" s="3">
        <v>2.4</v>
      </c>
      <c r="BD61" s="3">
        <v>2.6</v>
      </c>
      <c r="BE61" s="2" t="str">
        <f>CONCATENATE(
ROUND(BB61*VLOOKUP(K61,'ID Scheme'!$A$2:$E$7,3),0), "x",
ROUND(BC61*VLOOKUP(K61,'ID Scheme'!$A$2:$E$7,5),0), "x",
ROUND(BD61*VLOOKUP(K61,'ID Scheme'!$A$2:$E$7,4),0))</f>
        <v>85x35x25</v>
      </c>
      <c r="BF61" t="s">
        <v>87</v>
      </c>
    </row>
    <row r="62" spans="1:58" x14ac:dyDescent="0.3">
      <c r="A62" t="s">
        <v>28</v>
      </c>
      <c r="B62" t="s">
        <v>173</v>
      </c>
      <c r="C62" t="s">
        <v>285</v>
      </c>
      <c r="D62">
        <f>IF(G62 &gt; 2020, ((G62-2020)*4)+1610+I62,IF(G62 &gt; 1900, ((G62-1900)*10)+400+I62, ((G62-1730)*2)+I62))+VLOOKUP(K62,'ID Scheme'!$A$2:$B$7,2, FALSE)</f>
        <v>1541</v>
      </c>
      <c r="E62">
        <v>1541</v>
      </c>
      <c r="F62" t="s">
        <v>683</v>
      </c>
      <c r="G62">
        <v>1954</v>
      </c>
      <c r="H62">
        <v>9</v>
      </c>
      <c r="I62">
        <v>1</v>
      </c>
      <c r="J62" t="s">
        <v>523</v>
      </c>
      <c r="K62" t="s">
        <v>12</v>
      </c>
      <c r="L62" t="s">
        <v>501</v>
      </c>
      <c r="M62">
        <v>40</v>
      </c>
      <c r="N62">
        <v>40</v>
      </c>
      <c r="O62">
        <v>25</v>
      </c>
      <c r="P62">
        <v>7</v>
      </c>
      <c r="Q62">
        <v>7.5</v>
      </c>
      <c r="R62">
        <v>115</v>
      </c>
      <c r="S62">
        <v>20</v>
      </c>
      <c r="T62">
        <v>72</v>
      </c>
      <c r="U62">
        <v>1</v>
      </c>
      <c r="V62" t="s">
        <v>289</v>
      </c>
      <c r="W62">
        <v>3</v>
      </c>
      <c r="X62" s="2" t="s">
        <v>305</v>
      </c>
      <c r="Y62" s="2"/>
      <c r="Z62" s="2"/>
      <c r="AA62" s="2"/>
      <c r="AB62" s="2"/>
      <c r="AC62" s="2"/>
      <c r="AD62" s="2"/>
      <c r="AE62" s="2"/>
      <c r="AF62" s="2"/>
      <c r="AG62" s="2"/>
      <c r="AO62">
        <v>8</v>
      </c>
      <c r="AR62" s="2">
        <f>(SQRT(M62*T62)*POWER((MIN(O62,20)+SQRT(MAX(O62-20,0))),0.9)*Data!$B$1)*(1-(U62-1))</f>
        <v>65.631102684772316</v>
      </c>
      <c r="AS62" s="2"/>
      <c r="AT62" s="2">
        <f>((POWER((M62*M62*T62), 0.33)*LOG10(R62)*10*Data!$B$1)*U62)+AS62</f>
        <v>72.3360679145528</v>
      </c>
      <c r="AU62" s="2">
        <f t="shared" si="19"/>
        <v>32.258064516129032</v>
      </c>
      <c r="AV62" s="2">
        <f t="shared" si="23"/>
        <v>0</v>
      </c>
      <c r="AX62" s="2">
        <v>1</v>
      </c>
      <c r="AY62" s="2">
        <v>1</v>
      </c>
      <c r="AZ62" s="2">
        <f t="shared" si="21"/>
        <v>72</v>
      </c>
      <c r="BA62" s="2">
        <f t="shared" si="22"/>
        <v>72</v>
      </c>
      <c r="BB62" s="3"/>
      <c r="BC62" s="3"/>
      <c r="BD62" s="3"/>
      <c r="BE62" s="2" t="str">
        <f>CONCATENATE(
ROUND(BB62*VLOOKUP(K62,'ID Scheme'!$A$2:$E$7,3),0), "x",
ROUND(BC62*VLOOKUP(K62,'ID Scheme'!$A$2:$E$7,5),0), "x",
ROUND(BD62*VLOOKUP(K62,'ID Scheme'!$A$2:$E$7,4),0))</f>
        <v>0x0x0</v>
      </c>
    </row>
    <row r="63" spans="1:58" x14ac:dyDescent="0.3">
      <c r="A63" t="s">
        <v>29</v>
      </c>
      <c r="B63" t="s">
        <v>174</v>
      </c>
      <c r="C63" t="s">
        <v>285</v>
      </c>
      <c r="D63">
        <f>IF(G63 &gt; 2020, ((G63-2020)*4)+1610+I63,IF(G63 &gt; 1900, ((G63-1900)*10)+400+I63, ((G63-1730)*2)+I63))+VLOOKUP(K63,'ID Scheme'!$A$2:$B$7,2, FALSE)</f>
        <v>1581</v>
      </c>
      <c r="E63">
        <v>1581</v>
      </c>
      <c r="F63" t="s">
        <v>683</v>
      </c>
      <c r="G63">
        <v>1958</v>
      </c>
      <c r="H63">
        <v>6</v>
      </c>
      <c r="I63">
        <v>1</v>
      </c>
      <c r="J63" t="s">
        <v>523</v>
      </c>
      <c r="K63" t="s">
        <v>12</v>
      </c>
      <c r="L63" t="s">
        <v>501</v>
      </c>
      <c r="M63">
        <v>76</v>
      </c>
      <c r="N63">
        <v>15</v>
      </c>
      <c r="O63">
        <v>16</v>
      </c>
      <c r="P63">
        <v>4</v>
      </c>
      <c r="Q63">
        <v>6</v>
      </c>
      <c r="R63">
        <v>138</v>
      </c>
      <c r="S63">
        <v>24</v>
      </c>
      <c r="T63">
        <v>34</v>
      </c>
      <c r="U63">
        <v>1.1000000000000001</v>
      </c>
      <c r="V63" t="s">
        <v>295</v>
      </c>
      <c r="W63">
        <v>2</v>
      </c>
      <c r="X63" s="2" t="s">
        <v>296</v>
      </c>
      <c r="Y63" s="2"/>
      <c r="Z63" s="2"/>
      <c r="AA63" s="2"/>
      <c r="AB63" s="2"/>
      <c r="AC63" s="2"/>
      <c r="AD63" s="2"/>
      <c r="AE63" s="2"/>
      <c r="AF63" s="2"/>
      <c r="AG63" s="2"/>
      <c r="AH63">
        <v>62</v>
      </c>
      <c r="AO63">
        <v>8</v>
      </c>
      <c r="AR63" s="2">
        <f>(SQRT(M63*T63)*POWER((MIN(O63,20)+SQRT(MAX(O63-20,0))),0.9)*Data!$B$1)*(1-(U63-1))</f>
        <v>41.606196119796323</v>
      </c>
      <c r="AS63" s="2"/>
      <c r="AT63" s="2">
        <f>((POWER((M63*M63*T63), 0.33)*LOG10(R63)*10*Data!$B$1)*U63)+AS63</f>
        <v>98.529935018135305</v>
      </c>
      <c r="AU63" s="2">
        <f t="shared" si="19"/>
        <v>61.29032258064516</v>
      </c>
      <c r="AV63" s="2">
        <f t="shared" si="23"/>
        <v>50</v>
      </c>
      <c r="AX63" s="2">
        <v>1</v>
      </c>
      <c r="AY63" s="2">
        <v>1</v>
      </c>
      <c r="AZ63" s="2">
        <f t="shared" si="21"/>
        <v>34</v>
      </c>
      <c r="BA63" s="2">
        <f t="shared" si="22"/>
        <v>34</v>
      </c>
      <c r="BB63" s="3"/>
      <c r="BC63" s="3"/>
      <c r="BD63" s="3"/>
      <c r="BE63" s="2" t="str">
        <f>CONCATENATE(
ROUND(BB63*VLOOKUP(K63,'ID Scheme'!$A$2:$E$7,3),0), "x",
ROUND(BC63*VLOOKUP(K63,'ID Scheme'!$A$2:$E$7,5),0), "x",
ROUND(BD63*VLOOKUP(K63,'ID Scheme'!$A$2:$E$7,4),0))</f>
        <v>0x0x0</v>
      </c>
    </row>
    <row r="64" spans="1:58" x14ac:dyDescent="0.3">
      <c r="A64" t="s">
        <v>59</v>
      </c>
      <c r="B64" t="s">
        <v>175</v>
      </c>
      <c r="C64" t="s">
        <v>285</v>
      </c>
      <c r="D64">
        <f>IF(G64 &gt; 2020, ((G64-2020)*4)+1610+I64,IF(G64 &gt; 1900, ((G64-1900)*10)+400+I64, ((G64-1730)*2)+I64))+VLOOKUP(K64,'ID Scheme'!$A$2:$B$7,2, FALSE)</f>
        <v>1582</v>
      </c>
      <c r="E64">
        <v>1582</v>
      </c>
      <c r="F64" t="s">
        <v>683</v>
      </c>
      <c r="G64">
        <v>1958</v>
      </c>
      <c r="H64">
        <v>1</v>
      </c>
      <c r="I64">
        <v>2</v>
      </c>
      <c r="J64" t="s">
        <v>523</v>
      </c>
      <c r="K64" t="s">
        <v>12</v>
      </c>
      <c r="L64" t="s">
        <v>501</v>
      </c>
      <c r="M64">
        <v>55</v>
      </c>
      <c r="N64">
        <v>30</v>
      </c>
      <c r="O64">
        <v>25</v>
      </c>
      <c r="P64">
        <v>4</v>
      </c>
      <c r="Q64">
        <v>7</v>
      </c>
      <c r="R64">
        <v>140</v>
      </c>
      <c r="S64">
        <v>20</v>
      </c>
      <c r="T64">
        <v>57</v>
      </c>
      <c r="U64">
        <v>1</v>
      </c>
      <c r="V64" t="s">
        <v>299</v>
      </c>
      <c r="W64">
        <v>3</v>
      </c>
      <c r="X64" s="2" t="s">
        <v>300</v>
      </c>
      <c r="Y64" s="2"/>
      <c r="Z64" s="2"/>
      <c r="AA64" s="2"/>
      <c r="AB64" s="2"/>
      <c r="AC64" s="2"/>
      <c r="AD64" s="2"/>
      <c r="AE64" s="2"/>
      <c r="AF64" s="2"/>
      <c r="AG64" s="2"/>
      <c r="AO64">
        <v>8</v>
      </c>
      <c r="AR64" s="2">
        <f>(SQRT(M64*T64)*POWER((MIN(O64,20)+SQRT(MAX(O64-20,0))),0.9)*Data!$B$1)*(1-(U64-1))</f>
        <v>68.475029766042482</v>
      </c>
      <c r="AS64" s="2"/>
      <c r="AT64" s="2">
        <f>((POWER((M64*M64*T64), 0.33)*LOG10(R64)*10*Data!$B$1)*U64)+AS64</f>
        <v>86.05873713759469</v>
      </c>
      <c r="AU64" s="2">
        <f t="shared" si="19"/>
        <v>44.354838709677416</v>
      </c>
      <c r="AV64" s="2">
        <f t="shared" si="23"/>
        <v>0</v>
      </c>
      <c r="AX64" s="2">
        <v>1</v>
      </c>
      <c r="AY64" s="2">
        <v>1</v>
      </c>
      <c r="AZ64" s="2">
        <f t="shared" si="21"/>
        <v>57</v>
      </c>
      <c r="BA64" s="2">
        <f t="shared" si="22"/>
        <v>57</v>
      </c>
      <c r="BB64" s="3"/>
      <c r="BC64" s="3"/>
      <c r="BD64" s="3"/>
      <c r="BE64" s="2" t="str">
        <f>CONCATENATE(
ROUND(BB64*VLOOKUP(K64,'ID Scheme'!$A$2:$E$7,3),0), "x",
ROUND(BC64*VLOOKUP(K64,'ID Scheme'!$A$2:$E$7,5),0), "x",
ROUND(BD64*VLOOKUP(K64,'ID Scheme'!$A$2:$E$7,4),0))</f>
        <v>0x0x0</v>
      </c>
    </row>
    <row r="65" spans="1:58" x14ac:dyDescent="0.3">
      <c r="A65" t="s">
        <v>579</v>
      </c>
      <c r="B65" t="s">
        <v>578</v>
      </c>
      <c r="C65" t="s">
        <v>285</v>
      </c>
      <c r="D65">
        <f>IF(G65 &gt; 2020, ((G65-2020)*4)+1610+I65,IF(G65 &gt; 1900, ((G65-1900)*10)+400+I65, ((G65-1730)*2)+I65))+VLOOKUP(K65,'ID Scheme'!$A$2:$B$7,2, FALSE)</f>
        <v>1601</v>
      </c>
      <c r="E65">
        <v>1601</v>
      </c>
      <c r="F65" t="s">
        <v>683</v>
      </c>
      <c r="G65">
        <v>1960</v>
      </c>
      <c r="H65">
        <v>2</v>
      </c>
      <c r="I65">
        <v>1</v>
      </c>
      <c r="J65" t="s">
        <v>523</v>
      </c>
      <c r="K65" t="s">
        <v>12</v>
      </c>
      <c r="L65" t="s">
        <v>506</v>
      </c>
      <c r="M65">
        <v>30</v>
      </c>
      <c r="N65">
        <v>-1</v>
      </c>
      <c r="O65">
        <v>19</v>
      </c>
      <c r="P65">
        <v>5</v>
      </c>
      <c r="Q65">
        <v>5</v>
      </c>
      <c r="R65">
        <v>95</v>
      </c>
      <c r="S65">
        <v>20</v>
      </c>
      <c r="T65">
        <v>65</v>
      </c>
      <c r="U65">
        <v>1</v>
      </c>
      <c r="V65" t="s">
        <v>365</v>
      </c>
      <c r="W65">
        <v>3</v>
      </c>
      <c r="X65" s="2" t="s">
        <v>580</v>
      </c>
      <c r="Y65" s="2"/>
      <c r="Z65" s="2"/>
      <c r="AA65" s="2"/>
      <c r="AB65" s="2"/>
      <c r="AC65" s="2"/>
      <c r="AD65" s="2"/>
      <c r="AE65" s="2"/>
      <c r="AF65" s="2"/>
      <c r="AG65" s="2"/>
      <c r="AO65">
        <v>8</v>
      </c>
      <c r="AR65" s="2">
        <f>(SQRT(M65*T65)*POWER((MIN(O65,20)+SQRT(MAX(O65-20,0))),0.9)*Data!$B$1)*(1-(U65-1))</f>
        <v>46.876676153043313</v>
      </c>
      <c r="AS65" s="2"/>
      <c r="AT65" s="2">
        <f>((POWER((M65*M65*T65), 0.33)*LOG10(R65)*10*Data!$B$1)*U65)+AS65</f>
        <v>55.512181741920003</v>
      </c>
      <c r="AU65" s="2">
        <f t="shared" si="19"/>
        <v>24.193548387096776</v>
      </c>
      <c r="AV65" s="2">
        <f t="shared" si="23"/>
        <v>0</v>
      </c>
      <c r="AX65" s="2">
        <v>1</v>
      </c>
      <c r="AY65" s="2">
        <v>1</v>
      </c>
      <c r="AZ65" s="2">
        <f t="shared" si="21"/>
        <v>65</v>
      </c>
      <c r="BA65" s="2">
        <f t="shared" si="22"/>
        <v>65</v>
      </c>
      <c r="BB65" s="3">
        <v>11</v>
      </c>
      <c r="BC65" s="3">
        <v>2.5</v>
      </c>
      <c r="BD65" s="3">
        <v>3.8</v>
      </c>
      <c r="BE65" s="2" t="str">
        <f>CONCATENATE(
ROUND(BB65*VLOOKUP(K65,'ID Scheme'!$A$2:$E$7,3),0), "x",
ROUND(BC65*VLOOKUP(K65,'ID Scheme'!$A$2:$E$7,5),0), "x",
ROUND(BD65*VLOOKUP(K65,'ID Scheme'!$A$2:$E$7,4),0))</f>
        <v>103x36x37</v>
      </c>
    </row>
    <row r="66" spans="1:58" x14ac:dyDescent="0.3">
      <c r="A66" t="s">
        <v>25</v>
      </c>
      <c r="B66" t="s">
        <v>176</v>
      </c>
      <c r="C66" t="s">
        <v>285</v>
      </c>
      <c r="D66">
        <f>IF(G66 &gt; 2020, ((G66-2020)*4)+1610+I66,IF(G66 &gt; 1900, ((G66-1900)*10)+400+I66, ((G66-1730)*2)+I66))+VLOOKUP(K66,'ID Scheme'!$A$2:$B$7,2, FALSE)</f>
        <v>1631</v>
      </c>
      <c r="E66">
        <v>1631</v>
      </c>
      <c r="F66" t="s">
        <v>683</v>
      </c>
      <c r="G66">
        <v>1963</v>
      </c>
      <c r="H66">
        <v>6</v>
      </c>
      <c r="I66">
        <v>1</v>
      </c>
      <c r="J66" t="s">
        <v>523</v>
      </c>
      <c r="K66" t="s">
        <v>12</v>
      </c>
      <c r="L66" t="s">
        <v>501</v>
      </c>
      <c r="M66">
        <v>55</v>
      </c>
      <c r="N66">
        <v>20</v>
      </c>
      <c r="O66">
        <v>18</v>
      </c>
      <c r="P66">
        <v>4</v>
      </c>
      <c r="Q66">
        <v>10</v>
      </c>
      <c r="R66">
        <v>143</v>
      </c>
      <c r="S66">
        <v>20</v>
      </c>
      <c r="T66">
        <v>52</v>
      </c>
      <c r="U66">
        <v>1</v>
      </c>
      <c r="V66" t="s">
        <v>299</v>
      </c>
      <c r="W66">
        <v>3</v>
      </c>
      <c r="X66" s="2" t="s">
        <v>301</v>
      </c>
      <c r="Y66" s="2"/>
      <c r="Z66" s="2"/>
      <c r="AA66" s="2"/>
      <c r="AB66" s="2"/>
      <c r="AC66" s="2"/>
      <c r="AD66" s="2"/>
      <c r="AE66" s="2"/>
      <c r="AF66" s="2"/>
      <c r="AG66" s="2"/>
      <c r="AO66">
        <v>8</v>
      </c>
      <c r="AR66" s="2">
        <f>(SQRT(M66*T66)*POWER((MIN(O66,20)+SQRT(MAX(O66-20,0))),0.9)*Data!$B$1)*(1-(U66-1))</f>
        <v>54.074129222607461</v>
      </c>
      <c r="AS66" s="2"/>
      <c r="AT66" s="2">
        <f>((POWER((M66*M66*T66), 0.33)*LOG10(R66)*10*Data!$B$1)*U66)+AS66</f>
        <v>83.848776966287019</v>
      </c>
      <c r="AU66" s="2">
        <f t="shared" si="19"/>
        <v>44.354838709677416</v>
      </c>
      <c r="AV66" s="2">
        <f t="shared" si="23"/>
        <v>0</v>
      </c>
      <c r="AX66" s="2">
        <v>1</v>
      </c>
      <c r="AY66" s="2">
        <v>1</v>
      </c>
      <c r="AZ66" s="2">
        <f t="shared" si="21"/>
        <v>52</v>
      </c>
      <c r="BA66" s="2">
        <f t="shared" si="22"/>
        <v>52</v>
      </c>
      <c r="BB66" s="3">
        <v>11</v>
      </c>
      <c r="BC66" s="3">
        <v>2.5</v>
      </c>
      <c r="BD66" s="3"/>
      <c r="BE66" s="2" t="str">
        <f>CONCATENATE(
ROUND(BB66*VLOOKUP(K66,'ID Scheme'!$A$2:$E$7,3),0), "x",
ROUND(BC66*VLOOKUP(K66,'ID Scheme'!$A$2:$E$7,5),0), "x",
ROUND(BD66*VLOOKUP(K66,'ID Scheme'!$A$2:$E$7,4),0))</f>
        <v>103x36x0</v>
      </c>
    </row>
    <row r="67" spans="1:58" x14ac:dyDescent="0.3">
      <c r="A67" t="s">
        <v>45</v>
      </c>
      <c r="B67" t="s">
        <v>177</v>
      </c>
      <c r="C67" t="s">
        <v>285</v>
      </c>
      <c r="D67">
        <f>IF(G67 &gt; 2020, ((G67-2020)*4)+1610+I67,IF(G67 &gt; 1900, ((G67-1900)*10)+400+I67, ((G67-1730)*2)+I67))+VLOOKUP(K67,'ID Scheme'!$A$2:$B$7,2, FALSE)</f>
        <v>1721</v>
      </c>
      <c r="E67">
        <v>1721</v>
      </c>
      <c r="F67" t="s">
        <v>683</v>
      </c>
      <c r="G67">
        <v>1972</v>
      </c>
      <c r="H67">
        <v>1</v>
      </c>
      <c r="I67">
        <v>1</v>
      </c>
      <c r="J67" t="s">
        <v>523</v>
      </c>
      <c r="K67" t="s">
        <v>12</v>
      </c>
      <c r="L67" t="s">
        <v>501</v>
      </c>
      <c r="M67">
        <v>52</v>
      </c>
      <c r="N67">
        <v>23</v>
      </c>
      <c r="O67">
        <v>22</v>
      </c>
      <c r="P67">
        <v>5</v>
      </c>
      <c r="Q67">
        <v>7</v>
      </c>
      <c r="R67">
        <v>165</v>
      </c>
      <c r="S67">
        <v>20</v>
      </c>
      <c r="T67">
        <v>58</v>
      </c>
      <c r="U67">
        <v>1</v>
      </c>
      <c r="V67" t="s">
        <v>289</v>
      </c>
      <c r="W67">
        <v>3</v>
      </c>
      <c r="X67" s="2" t="s">
        <v>302</v>
      </c>
      <c r="Y67" s="2"/>
      <c r="Z67" s="2"/>
      <c r="AA67" s="2"/>
      <c r="AB67" s="2"/>
      <c r="AC67" s="2"/>
      <c r="AD67" s="2"/>
      <c r="AE67" s="2"/>
      <c r="AF67" s="2"/>
      <c r="AG67" s="2"/>
      <c r="AO67">
        <v>8</v>
      </c>
      <c r="AR67" s="2">
        <f>(SQRT(M67*T67)*POWER((MIN(O67,20)+SQRT(MAX(O67-20,0))),0.9)*Data!$B$1)*(1-(U67-1))</f>
        <v>64.924535113354011</v>
      </c>
      <c r="AS67" s="2"/>
      <c r="AT67" s="2">
        <f>((POWER((M67*M67*T67), 0.33)*LOG10(R67)*10*Data!$B$1)*U67)+AS67</f>
        <v>86.181726874059862</v>
      </c>
      <c r="AU67" s="2">
        <f t="shared" si="19"/>
        <v>41.935483870967744</v>
      </c>
      <c r="AV67" s="2">
        <f t="shared" si="23"/>
        <v>0</v>
      </c>
      <c r="AX67" s="2">
        <v>1</v>
      </c>
      <c r="AY67" s="2">
        <v>1</v>
      </c>
      <c r="AZ67" s="2">
        <f t="shared" si="21"/>
        <v>58</v>
      </c>
      <c r="BA67" s="2">
        <f t="shared" si="22"/>
        <v>58</v>
      </c>
      <c r="BB67" s="3">
        <v>11.3</v>
      </c>
      <c r="BC67" s="3">
        <v>2.5</v>
      </c>
      <c r="BD67" s="3"/>
      <c r="BE67" s="2" t="str">
        <f>CONCATENATE(
ROUND(BB67*VLOOKUP(K67,'ID Scheme'!$A$2:$E$7,3),0), "x",
ROUND(BC67*VLOOKUP(K67,'ID Scheme'!$A$2:$E$7,5),0), "x",
ROUND(BD67*VLOOKUP(K67,'ID Scheme'!$A$2:$E$7,4),0))</f>
        <v>106x36x0</v>
      </c>
    </row>
    <row r="68" spans="1:58" x14ac:dyDescent="0.3">
      <c r="A68" t="s">
        <v>94</v>
      </c>
      <c r="B68" t="s">
        <v>178</v>
      </c>
      <c r="C68" t="s">
        <v>285</v>
      </c>
      <c r="D68">
        <f>IF(G68 &gt; 2020, ((G68-2020)*4)+1610+I68,IF(G68 &gt; 1900, ((G68-1900)*10)+400+I68, ((G68-1730)*2)+I68))+VLOOKUP(K68,'ID Scheme'!$A$2:$B$7,2, FALSE)</f>
        <v>1771</v>
      </c>
      <c r="E68">
        <v>1771</v>
      </c>
      <c r="F68" t="s">
        <v>683</v>
      </c>
      <c r="G68">
        <v>1977</v>
      </c>
      <c r="H68">
        <v>1</v>
      </c>
      <c r="I68">
        <v>1</v>
      </c>
      <c r="J68" t="s">
        <v>523</v>
      </c>
      <c r="K68" t="s">
        <v>12</v>
      </c>
      <c r="L68" t="s">
        <v>501</v>
      </c>
      <c r="M68">
        <v>45</v>
      </c>
      <c r="N68">
        <v>12</v>
      </c>
      <c r="O68">
        <v>19</v>
      </c>
      <c r="P68">
        <v>7</v>
      </c>
      <c r="Q68">
        <v>10</v>
      </c>
      <c r="R68">
        <v>210</v>
      </c>
      <c r="S68">
        <v>20</v>
      </c>
      <c r="T68">
        <v>71</v>
      </c>
      <c r="U68">
        <v>1</v>
      </c>
      <c r="V68" t="s">
        <v>299</v>
      </c>
      <c r="W68">
        <v>3</v>
      </c>
      <c r="X68" s="2" t="s">
        <v>303</v>
      </c>
      <c r="Y68" s="2"/>
      <c r="Z68" s="2"/>
      <c r="AA68" s="2"/>
      <c r="AB68" s="2"/>
      <c r="AC68" s="2"/>
      <c r="AD68" s="2"/>
      <c r="AE68" s="2"/>
      <c r="AF68" s="2"/>
      <c r="AG68" s="2"/>
      <c r="AO68">
        <v>8</v>
      </c>
      <c r="AR68" s="2">
        <f>(SQRT(M68*T68)*POWER((MIN(O68,20)+SQRT(MAX(O68-20,0))),0.9)*Data!$B$1)*(1-(U68-1))</f>
        <v>60.003272308491312</v>
      </c>
      <c r="AS68" s="2"/>
      <c r="AT68" s="2">
        <f>((POWER((M68*M68*T68), 0.33)*LOG10(R68)*10*Data!$B$1)*U68)+AS68</f>
        <v>87.700083475967674</v>
      </c>
      <c r="AU68" s="2">
        <f t="shared" si="19"/>
        <v>36.29032258064516</v>
      </c>
      <c r="AV68" s="2">
        <f t="shared" si="23"/>
        <v>0</v>
      </c>
      <c r="AX68" s="2">
        <v>1</v>
      </c>
      <c r="AY68" s="2">
        <v>1</v>
      </c>
      <c r="AZ68" s="2">
        <f t="shared" si="21"/>
        <v>71</v>
      </c>
      <c r="BA68" s="2">
        <f t="shared" si="22"/>
        <v>71</v>
      </c>
      <c r="BB68" s="3">
        <v>12</v>
      </c>
      <c r="BC68" s="3">
        <v>2.5</v>
      </c>
      <c r="BD68" s="3">
        <v>4.2</v>
      </c>
      <c r="BE68" s="2" t="str">
        <f>CONCATENATE(
ROUND(BB68*VLOOKUP(K68,'ID Scheme'!$A$2:$E$7,3),0), "x",
ROUND(BC68*VLOOKUP(K68,'ID Scheme'!$A$2:$E$7,5),0), "x",
ROUND(BD68*VLOOKUP(K68,'ID Scheme'!$A$2:$E$7,4),0))</f>
        <v>112x36x41</v>
      </c>
    </row>
    <row r="69" spans="1:58" x14ac:dyDescent="0.3">
      <c r="A69" t="s">
        <v>34</v>
      </c>
      <c r="B69" t="s">
        <v>179</v>
      </c>
      <c r="C69" t="s">
        <v>285</v>
      </c>
      <c r="D69">
        <f>IF(G69 &gt; 2020, ((G69-2020)*4)+1610+I69,IF(G69 &gt; 1900, ((G69-1900)*10)+400+I69, ((G69-1730)*2)+I69))+VLOOKUP(K69,'ID Scheme'!$A$2:$B$7,2, FALSE)</f>
        <v>1781</v>
      </c>
      <c r="E69">
        <v>1781</v>
      </c>
      <c r="F69" t="s">
        <v>683</v>
      </c>
      <c r="G69">
        <v>1978</v>
      </c>
      <c r="H69">
        <v>6</v>
      </c>
      <c r="I69">
        <v>1</v>
      </c>
      <c r="J69" t="s">
        <v>523</v>
      </c>
      <c r="K69" t="s">
        <v>12</v>
      </c>
      <c r="L69" t="s">
        <v>501</v>
      </c>
      <c r="M69">
        <v>62</v>
      </c>
      <c r="N69">
        <v>25</v>
      </c>
      <c r="O69">
        <v>22</v>
      </c>
      <c r="P69">
        <v>4</v>
      </c>
      <c r="Q69">
        <v>12</v>
      </c>
      <c r="R69">
        <v>245</v>
      </c>
      <c r="S69">
        <v>18</v>
      </c>
      <c r="T69">
        <v>55</v>
      </c>
      <c r="U69">
        <v>1</v>
      </c>
      <c r="V69" t="s">
        <v>295</v>
      </c>
      <c r="W69">
        <v>3</v>
      </c>
      <c r="X69" s="2" t="s">
        <v>304</v>
      </c>
      <c r="Y69" s="2"/>
      <c r="Z69" s="2"/>
      <c r="AA69" s="2"/>
      <c r="AB69" s="2"/>
      <c r="AC69" s="2"/>
      <c r="AD69" s="2"/>
      <c r="AE69" s="2"/>
      <c r="AF69" s="2"/>
      <c r="AG69" s="2"/>
      <c r="AO69">
        <v>8</v>
      </c>
      <c r="AR69" s="2">
        <f>(SQRT(M69*T69)*POWER((MIN(O69,20)+SQRT(MAX(O69-20,0))),0.9)*Data!$B$1)*(1-(U69-1))</f>
        <v>69.035165364270128</v>
      </c>
      <c r="AS69" s="2"/>
      <c r="AT69" s="2">
        <f>((POWER((M69*M69*T69), 0.33)*LOG10(R69)*10*Data!$B$1)*U69)+AS69</f>
        <v>102.47214024912293</v>
      </c>
      <c r="AU69" s="2">
        <f t="shared" si="19"/>
        <v>50</v>
      </c>
      <c r="AV69" s="2">
        <f t="shared" si="23"/>
        <v>0</v>
      </c>
      <c r="AX69" s="2">
        <v>1</v>
      </c>
      <c r="AY69" s="2">
        <v>1</v>
      </c>
      <c r="AZ69" s="2">
        <f t="shared" si="21"/>
        <v>55</v>
      </c>
      <c r="BA69" s="2">
        <f t="shared" si="22"/>
        <v>55</v>
      </c>
      <c r="BB69" s="3">
        <v>12</v>
      </c>
      <c r="BC69" s="3">
        <v>2.5</v>
      </c>
      <c r="BD69" s="3">
        <v>3.3</v>
      </c>
      <c r="BE69" s="2" t="str">
        <f>CONCATENATE(
ROUND(BB69*VLOOKUP(K69,'ID Scheme'!$A$2:$E$7,3),0), "x",
ROUND(BC69*VLOOKUP(K69,'ID Scheme'!$A$2:$E$7,5),0), "x",
ROUND(BD69*VLOOKUP(K69,'ID Scheme'!$A$2:$E$7,4),0))</f>
        <v>112x36x32</v>
      </c>
    </row>
    <row r="70" spans="1:58" x14ac:dyDescent="0.3">
      <c r="A70" t="s">
        <v>32</v>
      </c>
      <c r="B70" t="s">
        <v>180</v>
      </c>
      <c r="C70" t="s">
        <v>285</v>
      </c>
      <c r="D70">
        <f>IF(G70 &gt; 2020, ((G70-2020)*4)+1610+I70,IF(G70 &gt; 1900, ((G70-1900)*10)+400+I70, ((G70-1730)*2)+I70))+VLOOKUP(K70,'ID Scheme'!$A$2:$B$7,2, FALSE)</f>
        <v>1801</v>
      </c>
      <c r="E70">
        <v>1801</v>
      </c>
      <c r="F70" t="s">
        <v>683</v>
      </c>
      <c r="G70">
        <v>1980</v>
      </c>
      <c r="H70">
        <v>1</v>
      </c>
      <c r="I70">
        <v>1</v>
      </c>
      <c r="J70" t="s">
        <v>523</v>
      </c>
      <c r="K70" t="s">
        <v>12</v>
      </c>
      <c r="L70" t="s">
        <v>501</v>
      </c>
      <c r="M70">
        <v>47</v>
      </c>
      <c r="N70">
        <v>13</v>
      </c>
      <c r="O70">
        <v>22</v>
      </c>
      <c r="P70">
        <v>7</v>
      </c>
      <c r="Q70">
        <v>10</v>
      </c>
      <c r="R70">
        <v>180</v>
      </c>
      <c r="S70">
        <v>20</v>
      </c>
      <c r="T70">
        <v>73</v>
      </c>
      <c r="U70">
        <v>1</v>
      </c>
      <c r="V70" t="s">
        <v>289</v>
      </c>
      <c r="W70">
        <v>3</v>
      </c>
      <c r="X70" s="2" t="s">
        <v>313</v>
      </c>
      <c r="Y70" s="2"/>
      <c r="Z70" s="2"/>
      <c r="AA70" s="2"/>
      <c r="AB70" s="2"/>
      <c r="AC70" s="2"/>
      <c r="AD70" s="2"/>
      <c r="AE70" s="2"/>
      <c r="AF70" s="2"/>
      <c r="AG70" s="2"/>
      <c r="AO70">
        <v>8</v>
      </c>
      <c r="AR70" s="2">
        <f>(SQRT(M70*T70)*POWER((MIN(O70,20)+SQRT(MAX(O70-20,0))),0.9)*Data!$B$1)*(1-(U70-1))</f>
        <v>69.247410718668419</v>
      </c>
      <c r="AS70" s="2"/>
      <c r="AT70" s="2">
        <f>((POWER((M70*M70*T70), 0.33)*LOG10(R70)*10*Data!$B$1)*U70)+AS70</f>
        <v>88.458876415134782</v>
      </c>
      <c r="AU70" s="2">
        <f t="shared" si="19"/>
        <v>37.903225806451616</v>
      </c>
      <c r="AV70" s="2">
        <f t="shared" si="23"/>
        <v>0</v>
      </c>
      <c r="AX70" s="2">
        <v>1</v>
      </c>
      <c r="AY70" s="2">
        <v>1</v>
      </c>
      <c r="AZ70" s="2">
        <f t="shared" si="21"/>
        <v>73</v>
      </c>
      <c r="BA70" s="2">
        <f t="shared" si="22"/>
        <v>73</v>
      </c>
      <c r="BB70" s="3">
        <v>12</v>
      </c>
      <c r="BC70" s="3">
        <v>2.5</v>
      </c>
      <c r="BD70" s="3">
        <v>4.2</v>
      </c>
      <c r="BE70" s="2" t="str">
        <f>CONCATENATE(
ROUND(BB70*VLOOKUP(K70,'ID Scheme'!$A$2:$E$7,3),0), "x",
ROUND(BC70*VLOOKUP(K70,'ID Scheme'!$A$2:$E$7,5),0), "x",
ROUND(BD70*VLOOKUP(K70,'ID Scheme'!$A$2:$E$7,4),0))</f>
        <v>112x36x41</v>
      </c>
    </row>
    <row r="71" spans="1:58" x14ac:dyDescent="0.3">
      <c r="A71" t="s">
        <v>481</v>
      </c>
      <c r="B71" t="s">
        <v>482</v>
      </c>
      <c r="C71" t="s">
        <v>285</v>
      </c>
      <c r="D71">
        <f>IF(G71 &gt; 2020, ((G71-2020)*4)+1610+I71,IF(G71 &gt; 1900, ((G71-1900)*10)+400+I71, ((G71-1730)*2)+I71))+VLOOKUP(K71,'ID Scheme'!$A$2:$B$7,2, FALSE)</f>
        <v>1861</v>
      </c>
      <c r="E71">
        <v>1861</v>
      </c>
      <c r="F71" t="s">
        <v>683</v>
      </c>
      <c r="G71">
        <v>1986</v>
      </c>
      <c r="H71">
        <v>10</v>
      </c>
      <c r="I71">
        <v>1</v>
      </c>
      <c r="J71" t="s">
        <v>523</v>
      </c>
      <c r="K71" t="s">
        <v>12</v>
      </c>
      <c r="L71" t="s">
        <v>501</v>
      </c>
      <c r="M71">
        <v>64</v>
      </c>
      <c r="N71">
        <v>14</v>
      </c>
      <c r="O71">
        <v>11</v>
      </c>
      <c r="P71">
        <v>5</v>
      </c>
      <c r="Q71">
        <v>6</v>
      </c>
      <c r="R71">
        <v>130</v>
      </c>
      <c r="S71">
        <v>24</v>
      </c>
      <c r="T71">
        <v>33</v>
      </c>
      <c r="U71">
        <v>1</v>
      </c>
      <c r="V71" t="s">
        <v>289</v>
      </c>
      <c r="W71">
        <v>2</v>
      </c>
      <c r="X71" s="2" t="s">
        <v>483</v>
      </c>
      <c r="Y71" s="2"/>
      <c r="Z71" s="2"/>
      <c r="AA71" s="2"/>
      <c r="AB71" s="2"/>
      <c r="AC71" s="2"/>
      <c r="AD71" s="2"/>
      <c r="AE71" s="2"/>
      <c r="AF71" s="2"/>
      <c r="AG71" s="2"/>
      <c r="AO71">
        <v>7</v>
      </c>
      <c r="AR71" s="2">
        <f>(SQRT(M71*T71)*POWER((MIN(O71,20)+SQRT(MAX(O71-20,0))),0.9)*Data!$B$1)*(1-(U71-1))</f>
        <v>29.830575842658725</v>
      </c>
      <c r="AS71" s="2"/>
      <c r="AT71" s="2">
        <f>((POWER((M71*M71*T71), 0.33)*LOG10(R71)*10*Data!$B$1)*U71)+AS71</f>
        <v>78.224535261541249</v>
      </c>
      <c r="AU71" s="2">
        <f t="shared" si="19"/>
        <v>51.612903225806456</v>
      </c>
      <c r="AV71" s="2">
        <f t="shared" si="23"/>
        <v>0</v>
      </c>
      <c r="AX71" s="2">
        <v>1</v>
      </c>
      <c r="AY71" s="2">
        <v>1</v>
      </c>
      <c r="AZ71" s="2">
        <f t="shared" si="21"/>
        <v>33</v>
      </c>
      <c r="BA71" s="2">
        <f t="shared" si="22"/>
        <v>33</v>
      </c>
      <c r="BB71" s="3">
        <v>8.4</v>
      </c>
      <c r="BC71" s="3">
        <v>2.2999999999999998</v>
      </c>
      <c r="BD71" s="3">
        <v>2.7</v>
      </c>
      <c r="BE71" s="2" t="str">
        <f>CONCATENATE(
ROUND(BB71*VLOOKUP(K71,'ID Scheme'!$A$2:$E$7,3),0), "x",
ROUND(BC71*VLOOKUP(K71,'ID Scheme'!$A$2:$E$7,5),0), "x",
ROUND(BD71*VLOOKUP(K71,'ID Scheme'!$A$2:$E$7,4),0))</f>
        <v>78x33x26</v>
      </c>
    </row>
    <row r="72" spans="1:58" x14ac:dyDescent="0.3">
      <c r="A72" t="s">
        <v>46</v>
      </c>
      <c r="B72" t="s">
        <v>181</v>
      </c>
      <c r="C72" t="s">
        <v>285</v>
      </c>
      <c r="D72">
        <f>IF(G72 &gt; 2020, ((G72-2020)*4)+1610+I72,IF(G72 &gt; 1900, ((G72-1900)*10)+400+I72, ((G72-1730)*2)+I72))+VLOOKUP(K72,'ID Scheme'!$A$2:$B$7,2, FALSE)</f>
        <v>1891</v>
      </c>
      <c r="E72">
        <v>1891</v>
      </c>
      <c r="F72" t="s">
        <v>683</v>
      </c>
      <c r="G72">
        <v>1989</v>
      </c>
      <c r="H72">
        <v>1</v>
      </c>
      <c r="I72">
        <v>1</v>
      </c>
      <c r="J72" t="s">
        <v>523</v>
      </c>
      <c r="K72" t="s">
        <v>12</v>
      </c>
      <c r="L72" t="s">
        <v>501</v>
      </c>
      <c r="M72">
        <v>56</v>
      </c>
      <c r="N72">
        <v>19</v>
      </c>
      <c r="O72">
        <v>21</v>
      </c>
      <c r="P72">
        <v>5</v>
      </c>
      <c r="Q72">
        <v>6</v>
      </c>
      <c r="R72">
        <v>130</v>
      </c>
      <c r="S72">
        <v>20</v>
      </c>
      <c r="T72">
        <v>50</v>
      </c>
      <c r="U72">
        <v>1</v>
      </c>
      <c r="V72" t="s">
        <v>289</v>
      </c>
      <c r="W72">
        <v>3</v>
      </c>
      <c r="X72" s="2" t="s">
        <v>314</v>
      </c>
      <c r="Y72" s="2"/>
      <c r="Z72" s="2"/>
      <c r="AA72" s="2"/>
      <c r="AB72" s="2"/>
      <c r="AC72" s="2"/>
      <c r="AD72" s="2"/>
      <c r="AE72" s="2"/>
      <c r="AF72" s="2"/>
      <c r="AG72" s="2"/>
      <c r="AO72">
        <v>8</v>
      </c>
      <c r="AR72" s="2">
        <f>(SQRT(M72*T72)*POWER((MIN(O72,20)+SQRT(MAX(O72-20,0))),0.9)*Data!$B$1)*(1-(U72-1))</f>
        <v>61.466381101342122</v>
      </c>
      <c r="AS72" s="2"/>
      <c r="AT72" s="2">
        <f>((POWER((M72*M72*T72), 0.33)*LOG10(R72)*10*Data!$B$1)*U72)+AS72</f>
        <v>82.152126183000618</v>
      </c>
      <c r="AU72" s="2">
        <f t="shared" si="19"/>
        <v>45.161290322580648</v>
      </c>
      <c r="AV72" s="2">
        <f t="shared" si="23"/>
        <v>0</v>
      </c>
      <c r="AX72" s="2">
        <v>1</v>
      </c>
      <c r="AY72" s="2">
        <v>1</v>
      </c>
      <c r="AZ72" s="2">
        <f t="shared" si="21"/>
        <v>50</v>
      </c>
      <c r="BA72" s="2">
        <f t="shared" si="22"/>
        <v>50</v>
      </c>
      <c r="BB72" s="3">
        <v>10.199999999999999</v>
      </c>
      <c r="BC72" s="3">
        <v>2.4</v>
      </c>
      <c r="BD72" s="3">
        <v>2.7</v>
      </c>
      <c r="BE72" s="2" t="str">
        <f>CONCATENATE(
ROUND(BB72*VLOOKUP(K72,'ID Scheme'!$A$2:$E$7,3),0), "x",
ROUND(BC72*VLOOKUP(K72,'ID Scheme'!$A$2:$E$7,5),0), "x",
ROUND(BD72*VLOOKUP(K72,'ID Scheme'!$A$2:$E$7,4),0))</f>
        <v>95x35x26</v>
      </c>
    </row>
    <row r="73" spans="1:58" x14ac:dyDescent="0.3">
      <c r="A73" t="s">
        <v>658</v>
      </c>
      <c r="B73" t="s">
        <v>659</v>
      </c>
      <c r="C73" t="s">
        <v>285</v>
      </c>
      <c r="D73">
        <f>IF(G73 &gt; 2020, ((G73-2020)*4)+1610+I73,IF(G73 &gt; 1900, ((G73-1900)*10)+400+I73, ((G73-1730)*2)+I73))+VLOOKUP(K73,'ID Scheme'!$A$2:$B$7,2, FALSE)</f>
        <v>1921</v>
      </c>
      <c r="E73">
        <v>1921</v>
      </c>
      <c r="F73" t="s">
        <v>683</v>
      </c>
      <c r="G73">
        <v>1992</v>
      </c>
      <c r="H73">
        <v>3</v>
      </c>
      <c r="I73">
        <v>1</v>
      </c>
      <c r="J73" t="s">
        <v>523</v>
      </c>
      <c r="K73" t="s">
        <v>12</v>
      </c>
      <c r="L73" t="s">
        <v>501</v>
      </c>
      <c r="M73">
        <v>48</v>
      </c>
      <c r="N73">
        <v>12</v>
      </c>
      <c r="O73">
        <v>22</v>
      </c>
      <c r="P73">
        <v>7</v>
      </c>
      <c r="Q73">
        <v>10</v>
      </c>
      <c r="R73">
        <v>240</v>
      </c>
      <c r="S73">
        <v>20</v>
      </c>
      <c r="T73">
        <v>73</v>
      </c>
      <c r="U73">
        <v>1</v>
      </c>
      <c r="V73" t="s">
        <v>295</v>
      </c>
      <c r="W73">
        <v>3</v>
      </c>
      <c r="X73" s="2" t="s">
        <v>660</v>
      </c>
      <c r="Y73" s="2"/>
      <c r="Z73" s="2"/>
      <c r="AA73" s="2"/>
      <c r="AB73" s="2"/>
      <c r="AC73" s="2"/>
      <c r="AD73" s="2"/>
      <c r="AE73" s="2"/>
      <c r="AF73" s="2"/>
      <c r="AG73" s="2"/>
      <c r="AO73">
        <v>8</v>
      </c>
      <c r="AR73" s="2">
        <f>(SQRT(M73*T73)*POWER((MIN(O73,20)+SQRT(MAX(O73-20,0))),0.9)*Data!$B$1)*(1-(U73-1))</f>
        <v>69.980207958730645</v>
      </c>
      <c r="AS73" s="2"/>
      <c r="AT73" s="2">
        <f>((POWER((M73*M73*T73), 0.33)*LOG10(R73)*10*Data!$B$1)*U73)+AS73</f>
        <v>94.665672823321316</v>
      </c>
      <c r="AU73" s="2">
        <f t="shared" ref="AU73" si="34">M73/1.24</f>
        <v>38.70967741935484</v>
      </c>
      <c r="AV73" s="2">
        <f t="shared" ref="AV73" si="35">AH73/1.24</f>
        <v>0</v>
      </c>
      <c r="AX73" s="2">
        <v>1</v>
      </c>
      <c r="AY73" s="2">
        <v>1</v>
      </c>
      <c r="AZ73" s="2">
        <f t="shared" ref="AZ73" si="36">T73/AY73</f>
        <v>73</v>
      </c>
      <c r="BA73" s="2">
        <f t="shared" ref="BA73" si="37">(T73)/MAX(AX73-1, 1)</f>
        <v>73</v>
      </c>
      <c r="BB73" s="3">
        <v>12</v>
      </c>
      <c r="BC73" s="3">
        <v>2.5</v>
      </c>
      <c r="BD73" s="3">
        <v>4.2</v>
      </c>
      <c r="BE73" s="2" t="str">
        <f>CONCATENATE(
ROUND(BB73*VLOOKUP(K73,'ID Scheme'!$A$2:$E$7,3),0), "x",
ROUND(BC73*VLOOKUP(K73,'ID Scheme'!$A$2:$E$7,5),0), "x",
ROUND(BD73*VLOOKUP(K73,'ID Scheme'!$A$2:$E$7,4),0))</f>
        <v>112x36x41</v>
      </c>
    </row>
    <row r="74" spans="1:58" x14ac:dyDescent="0.3">
      <c r="A74" t="s">
        <v>97</v>
      </c>
      <c r="B74" t="s">
        <v>182</v>
      </c>
      <c r="C74" t="s">
        <v>285</v>
      </c>
      <c r="D74">
        <f>IF(G74 &gt; 2020, ((G74-2020)*4)+1610+I74,IF(G74 &gt; 1900, ((G74-1900)*10)+400+I74, ((G74-1730)*2)+I74))+VLOOKUP(K74,'ID Scheme'!$A$2:$B$7,2, FALSE)</f>
        <v>1951</v>
      </c>
      <c r="E74">
        <v>1951</v>
      </c>
      <c r="F74" t="s">
        <v>683</v>
      </c>
      <c r="G74">
        <v>1995</v>
      </c>
      <c r="H74">
        <v>1</v>
      </c>
      <c r="I74">
        <v>1</v>
      </c>
      <c r="J74" t="s">
        <v>523</v>
      </c>
      <c r="K74" t="s">
        <v>12</v>
      </c>
      <c r="L74" t="s">
        <v>501</v>
      </c>
      <c r="M74">
        <v>60</v>
      </c>
      <c r="N74">
        <v>21</v>
      </c>
      <c r="O74">
        <v>17</v>
      </c>
      <c r="P74">
        <v>5</v>
      </c>
      <c r="Q74">
        <v>6.5</v>
      </c>
      <c r="R74">
        <v>249</v>
      </c>
      <c r="S74">
        <v>20</v>
      </c>
      <c r="T74">
        <v>53</v>
      </c>
      <c r="U74">
        <v>1</v>
      </c>
      <c r="V74" t="s">
        <v>289</v>
      </c>
      <c r="W74">
        <v>3</v>
      </c>
      <c r="X74" s="2" t="s">
        <v>315</v>
      </c>
      <c r="Y74" s="2"/>
      <c r="Z74" s="2"/>
      <c r="AA74" s="2"/>
      <c r="AB74" s="2"/>
      <c r="AC74" s="2"/>
      <c r="AD74" s="2"/>
      <c r="AE74" s="2"/>
      <c r="AF74" s="2"/>
      <c r="AG74" s="2"/>
      <c r="AO74">
        <v>8</v>
      </c>
      <c r="AR74" s="2">
        <f>(SQRT(M74*T74)*POWER((MIN(O74,20)+SQRT(MAX(O74-20,0))),0.9)*Data!$B$1)*(1-(U74-1))</f>
        <v>54.160024560908056</v>
      </c>
      <c r="AS74" s="2"/>
      <c r="AT74" s="2">
        <f>((POWER((M74*M74*T74), 0.33)*LOG10(R74)*10*Data!$B$1)*U74)+AS74</f>
        <v>99.351647021851662</v>
      </c>
      <c r="AU74" s="2">
        <f t="shared" si="19"/>
        <v>48.387096774193552</v>
      </c>
      <c r="AV74" s="2">
        <f t="shared" si="23"/>
        <v>0</v>
      </c>
      <c r="AX74" s="2">
        <v>1</v>
      </c>
      <c r="AY74" s="2">
        <v>1</v>
      </c>
      <c r="AZ74" s="2">
        <f t="shared" si="21"/>
        <v>53</v>
      </c>
      <c r="BA74" s="2">
        <f t="shared" si="22"/>
        <v>53</v>
      </c>
      <c r="BB74" s="3">
        <v>10.199999999999999</v>
      </c>
      <c r="BC74" s="3">
        <v>2.4</v>
      </c>
      <c r="BD74" s="3">
        <v>2.7</v>
      </c>
      <c r="BE74" s="2" t="str">
        <f>CONCATENATE(
ROUND(BB74*VLOOKUP(K74,'ID Scheme'!$A$2:$E$7,3),0), "x",
ROUND(BC74*VLOOKUP(K74,'ID Scheme'!$A$2:$E$7,5),0), "x",
ROUND(BD74*VLOOKUP(K74,'ID Scheme'!$A$2:$E$7,4),0))</f>
        <v>95x35x26</v>
      </c>
      <c r="BF74" t="s">
        <v>98</v>
      </c>
    </row>
    <row r="75" spans="1:58" x14ac:dyDescent="0.3">
      <c r="A75" t="s">
        <v>484</v>
      </c>
      <c r="B75" t="s">
        <v>486</v>
      </c>
      <c r="C75" t="s">
        <v>285</v>
      </c>
      <c r="D75">
        <f>IF(G75 &gt; 2020, ((G75-2020)*4)+1610+I75,IF(G75 &gt; 1900, ((G75-1900)*10)+400+I75, ((G75-1730)*2)+I75))+VLOOKUP(K75,'ID Scheme'!$A$2:$B$7,2, FALSE)</f>
        <v>1971</v>
      </c>
      <c r="E75">
        <v>1971</v>
      </c>
      <c r="F75" t="s">
        <v>683</v>
      </c>
      <c r="G75">
        <v>1997</v>
      </c>
      <c r="H75">
        <v>1</v>
      </c>
      <c r="I75">
        <v>1</v>
      </c>
      <c r="J75" t="s">
        <v>523</v>
      </c>
      <c r="K75" t="s">
        <v>12</v>
      </c>
      <c r="L75" t="s">
        <v>501</v>
      </c>
      <c r="M75">
        <v>55</v>
      </c>
      <c r="N75">
        <v>21</v>
      </c>
      <c r="O75">
        <v>21</v>
      </c>
      <c r="P75">
        <v>5</v>
      </c>
      <c r="Q75">
        <v>10</v>
      </c>
      <c r="R75">
        <v>220</v>
      </c>
      <c r="S75">
        <v>20</v>
      </c>
      <c r="T75">
        <v>82</v>
      </c>
      <c r="U75">
        <v>1</v>
      </c>
      <c r="V75" t="s">
        <v>299</v>
      </c>
      <c r="W75">
        <v>3</v>
      </c>
      <c r="X75" s="2" t="s">
        <v>485</v>
      </c>
      <c r="Y75" s="2"/>
      <c r="Z75" s="2"/>
      <c r="AA75" s="2"/>
      <c r="AB75" s="2"/>
      <c r="AC75" s="2"/>
      <c r="AD75" s="2"/>
      <c r="AE75" s="2"/>
      <c r="AF75" s="2"/>
      <c r="AG75" s="2"/>
      <c r="AO75">
        <v>8</v>
      </c>
      <c r="AR75" s="2">
        <f>(SQRT(M75*T75)*POWER((MIN(O75,20)+SQRT(MAX(O75-20,0))),0.9)*Data!$B$1)*(1-(U75-1))</f>
        <v>78.009393174536498</v>
      </c>
      <c r="AS75" s="2"/>
      <c r="AT75" s="2">
        <f>((POWER((M75*M75*T75), 0.33)*LOG10(R75)*10*Data!$B$1)*U75)+AS75</f>
        <v>105.90695322593139</v>
      </c>
      <c r="AU75" s="2">
        <f t="shared" si="19"/>
        <v>44.354838709677416</v>
      </c>
      <c r="AV75" s="2">
        <f t="shared" si="23"/>
        <v>0</v>
      </c>
      <c r="AX75" s="2">
        <v>1</v>
      </c>
      <c r="AY75" s="2">
        <v>1</v>
      </c>
      <c r="AZ75" s="2">
        <f t="shared" si="21"/>
        <v>82</v>
      </c>
      <c r="BA75" s="2">
        <f t="shared" si="22"/>
        <v>82</v>
      </c>
      <c r="BB75" s="3">
        <v>11</v>
      </c>
      <c r="BC75" s="3">
        <v>2.5499999999999998</v>
      </c>
      <c r="BD75" s="3">
        <v>4.4000000000000004</v>
      </c>
      <c r="BE75" s="2" t="str">
        <f>CONCATENATE(
ROUND(BB75*VLOOKUP(K75,'ID Scheme'!$A$2:$E$7,3),0), "x",
ROUND(BC75*VLOOKUP(K75,'ID Scheme'!$A$2:$E$7,5),0), "x",
ROUND(BD75*VLOOKUP(K75,'ID Scheme'!$A$2:$E$7,4),0))</f>
        <v>103x37x43</v>
      </c>
    </row>
    <row r="76" spans="1:58" x14ac:dyDescent="0.3">
      <c r="A76" t="s">
        <v>64</v>
      </c>
      <c r="B76" t="s">
        <v>183</v>
      </c>
      <c r="C76" t="s">
        <v>285</v>
      </c>
      <c r="D76">
        <f>IF(G76 &gt; 2020, ((G76-2020)*4)+1610+I76,IF(G76 &gt; 1900, ((G76-1900)*10)+400+I76, ((G76-1730)*2)+I76))+VLOOKUP(K76,'ID Scheme'!$A$2:$B$7,2, FALSE)</f>
        <v>1981</v>
      </c>
      <c r="E76">
        <v>1981</v>
      </c>
      <c r="F76" t="s">
        <v>683</v>
      </c>
      <c r="G76">
        <v>1998</v>
      </c>
      <c r="H76">
        <v>1</v>
      </c>
      <c r="I76">
        <v>1</v>
      </c>
      <c r="J76" t="s">
        <v>523</v>
      </c>
      <c r="K76" t="s">
        <v>12</v>
      </c>
      <c r="L76" t="s">
        <v>501</v>
      </c>
      <c r="M76">
        <v>59</v>
      </c>
      <c r="N76">
        <v>15</v>
      </c>
      <c r="O76">
        <v>15</v>
      </c>
      <c r="P76">
        <v>5</v>
      </c>
      <c r="Q76">
        <v>7</v>
      </c>
      <c r="R76">
        <v>110</v>
      </c>
      <c r="S76">
        <v>20</v>
      </c>
      <c r="T76">
        <v>33</v>
      </c>
      <c r="U76">
        <v>1</v>
      </c>
      <c r="V76" t="s">
        <v>299</v>
      </c>
      <c r="W76">
        <v>2</v>
      </c>
      <c r="X76" s="2" t="s">
        <v>316</v>
      </c>
      <c r="Y76" s="2"/>
      <c r="Z76" s="2"/>
      <c r="AA76" s="2"/>
      <c r="AB76" s="2"/>
      <c r="AC76" s="2"/>
      <c r="AD76" s="2"/>
      <c r="AE76" s="2"/>
      <c r="AF76" s="2"/>
      <c r="AG76" s="2"/>
      <c r="AO76">
        <v>8</v>
      </c>
      <c r="AR76" s="2">
        <f>(SQRT(M76*T76)*POWER((MIN(O76,20)+SQRT(MAX(O76-20,0))),0.9)*Data!$B$1)*(1-(U76-1))</f>
        <v>37.863989611191968</v>
      </c>
      <c r="AS76" s="2"/>
      <c r="AT76" s="2">
        <f>((POWER((M76*M76*T76), 0.33)*LOG10(R76)*10*Data!$B$1)*U76)+AS76</f>
        <v>71.591217050010968</v>
      </c>
      <c r="AU76" s="2">
        <f t="shared" si="19"/>
        <v>47.58064516129032</v>
      </c>
      <c r="AV76" s="2">
        <f t="shared" si="23"/>
        <v>0</v>
      </c>
      <c r="AX76" s="2">
        <v>1</v>
      </c>
      <c r="AY76" s="2">
        <v>1</v>
      </c>
      <c r="AZ76" s="2">
        <f t="shared" si="21"/>
        <v>33</v>
      </c>
      <c r="BA76" s="2">
        <f t="shared" si="22"/>
        <v>33</v>
      </c>
      <c r="BB76" s="3">
        <v>10.199999999999999</v>
      </c>
      <c r="BC76" s="3">
        <v>2.2999999999999998</v>
      </c>
      <c r="BD76" s="3">
        <v>2.7</v>
      </c>
      <c r="BE76" s="2" t="str">
        <f>CONCATENATE(
ROUND(BB76*VLOOKUP(K76,'ID Scheme'!$A$2:$E$7,3),0), "x",
ROUND(BC76*VLOOKUP(K76,'ID Scheme'!$A$2:$E$7,5),0), "x",
ROUND(BD76*VLOOKUP(K76,'ID Scheme'!$A$2:$E$7,4),0))</f>
        <v>95x33x26</v>
      </c>
    </row>
    <row r="77" spans="1:58" x14ac:dyDescent="0.3">
      <c r="A77" t="s">
        <v>633</v>
      </c>
      <c r="B77" t="s">
        <v>634</v>
      </c>
      <c r="C77" t="s">
        <v>285</v>
      </c>
      <c r="D77">
        <f>IF(G77 &gt; 2020, ((G77-2020)*4)+1610+I77,IF(G77 &gt; 1900, ((G77-1900)*10)+400+I77, ((G77-1730)*2)+I77))+VLOOKUP(K77,'ID Scheme'!$A$2:$B$7,2, FALSE)</f>
        <v>1991</v>
      </c>
      <c r="E77">
        <v>1991</v>
      </c>
      <c r="F77" t="s">
        <v>683</v>
      </c>
      <c r="G77">
        <v>1999</v>
      </c>
      <c r="H77">
        <v>1</v>
      </c>
      <c r="I77">
        <v>1</v>
      </c>
      <c r="J77" t="s">
        <v>523</v>
      </c>
      <c r="K77" t="s">
        <v>12</v>
      </c>
      <c r="L77" t="s">
        <v>501</v>
      </c>
      <c r="M77">
        <v>58</v>
      </c>
      <c r="N77">
        <v>19</v>
      </c>
      <c r="O77">
        <v>19</v>
      </c>
      <c r="P77">
        <v>5</v>
      </c>
      <c r="Q77">
        <v>6</v>
      </c>
      <c r="R77">
        <v>180</v>
      </c>
      <c r="S77">
        <v>20</v>
      </c>
      <c r="T77">
        <v>59</v>
      </c>
      <c r="U77">
        <v>1</v>
      </c>
      <c r="V77" t="s">
        <v>289</v>
      </c>
      <c r="W77">
        <v>3</v>
      </c>
      <c r="X77" s="2" t="s">
        <v>635</v>
      </c>
      <c r="Y77" s="2"/>
      <c r="Z77" s="2"/>
      <c r="AA77" s="2"/>
      <c r="AB77" s="2"/>
      <c r="AC77" s="2"/>
      <c r="AD77" s="2"/>
      <c r="AE77" s="2"/>
      <c r="AF77" s="2"/>
      <c r="AG77" s="2"/>
      <c r="AO77">
        <v>8</v>
      </c>
      <c r="AR77" s="2">
        <f>(SQRT(M77*T77)*POWER((MIN(O77,20)+SQRT(MAX(O77-20,0))),0.9)*Data!$B$1)*(1-(U77-1))</f>
        <v>62.098270793102415</v>
      </c>
      <c r="AS77" s="2"/>
      <c r="AT77" s="2">
        <f>((POWER((M77*M77*T77), 0.33)*LOG10(R77)*10*Data!$B$1)*U77)+AS77</f>
        <v>94.733575329138617</v>
      </c>
      <c r="AU77" s="2">
        <f t="shared" ref="AU77" si="38">M77/1.24</f>
        <v>46.774193548387096</v>
      </c>
      <c r="AV77" s="2">
        <f t="shared" ref="AV77" si="39">AH77/1.24</f>
        <v>0</v>
      </c>
      <c r="AX77" s="2">
        <v>1</v>
      </c>
      <c r="AY77" s="2">
        <v>1</v>
      </c>
      <c r="AZ77" s="2">
        <f t="shared" ref="AZ77" si="40">T77/AY77</f>
        <v>59</v>
      </c>
      <c r="BA77" s="2">
        <f t="shared" ref="BA77" si="41">(T77)/MAX(AX77-1, 1)</f>
        <v>59</v>
      </c>
      <c r="BB77" s="3">
        <v>10.199999999999999</v>
      </c>
      <c r="BC77" s="3">
        <v>2.4</v>
      </c>
      <c r="BD77" s="3">
        <v>2.7</v>
      </c>
      <c r="BE77" s="2" t="str">
        <f>CONCATENATE(
ROUND(BB77*VLOOKUP(K77,'ID Scheme'!$A$2:$E$7,3),0), "x",
ROUND(BC77*VLOOKUP(K77,'ID Scheme'!$A$2:$E$7,5),0), "x",
ROUND(BD77*VLOOKUP(K77,'ID Scheme'!$A$2:$E$7,4),0))</f>
        <v>95x35x26</v>
      </c>
    </row>
    <row r="78" spans="1:58" x14ac:dyDescent="0.3">
      <c r="A78" t="s">
        <v>35</v>
      </c>
      <c r="B78" t="s">
        <v>275</v>
      </c>
      <c r="C78" t="s">
        <v>285</v>
      </c>
      <c r="D78">
        <f>IF(G78 &gt; 2020, ((G78-2020)*4)+1610+I78,IF(G78 &gt; 1900, ((G78-1900)*10)+400+I78, ((G78-1730)*2)+I78))+VLOOKUP(K78,'ID Scheme'!$A$2:$B$7,2, FALSE)</f>
        <v>2011</v>
      </c>
      <c r="E78">
        <v>2011</v>
      </c>
      <c r="F78" t="s">
        <v>683</v>
      </c>
      <c r="G78">
        <v>2001</v>
      </c>
      <c r="H78">
        <v>1</v>
      </c>
      <c r="I78">
        <v>1</v>
      </c>
      <c r="J78" t="s">
        <v>523</v>
      </c>
      <c r="K78" t="s">
        <v>12</v>
      </c>
      <c r="L78" t="s">
        <v>501</v>
      </c>
      <c r="M78">
        <v>70</v>
      </c>
      <c r="N78">
        <v>-1</v>
      </c>
      <c r="O78">
        <v>22</v>
      </c>
      <c r="P78">
        <v>4</v>
      </c>
      <c r="Q78">
        <v>12</v>
      </c>
      <c r="R78">
        <v>320</v>
      </c>
      <c r="S78">
        <v>18</v>
      </c>
      <c r="T78">
        <v>58</v>
      </c>
      <c r="U78">
        <v>1</v>
      </c>
      <c r="V78" t="s">
        <v>295</v>
      </c>
      <c r="W78">
        <v>3</v>
      </c>
      <c r="X78" s="2" t="s">
        <v>318</v>
      </c>
      <c r="Y78" s="2"/>
      <c r="Z78" s="2"/>
      <c r="AA78" s="2"/>
      <c r="AB78" s="2"/>
      <c r="AC78" s="2"/>
      <c r="AD78" s="2"/>
      <c r="AE78" s="2"/>
      <c r="AF78" s="2"/>
      <c r="AG78" s="2"/>
      <c r="AH78">
        <v>62</v>
      </c>
      <c r="AO78">
        <v>8</v>
      </c>
      <c r="AR78" s="2">
        <f>(SQRT(M78*T78)*POWER((MIN(O78,20)+SQRT(MAX(O78-20,0))),0.9)*Data!$B$1)*(1-(U78-1))</f>
        <v>75.327958362845649</v>
      </c>
      <c r="AS78" s="2"/>
      <c r="AT78" s="2">
        <f>((POWER((M78*M78*T78), 0.33)*LOG10(R78)*10*Data!$B$1)*U78)+AS78</f>
        <v>118.46524010653438</v>
      </c>
      <c r="AU78" s="2">
        <f t="shared" ref="AU78:AU117" si="42">M78/1.24</f>
        <v>56.451612903225808</v>
      </c>
      <c r="AV78" s="2">
        <f t="shared" si="23"/>
        <v>50</v>
      </c>
      <c r="AX78" s="2">
        <v>1</v>
      </c>
      <c r="AY78" s="2">
        <v>1</v>
      </c>
      <c r="AZ78" s="2">
        <f t="shared" ref="AZ78:AZ117" si="43">T78/AY78</f>
        <v>58</v>
      </c>
      <c r="BA78" s="2">
        <f t="shared" ref="BA78:BA117" si="44">(T78)/MAX(AX78-1, 1)</f>
        <v>58</v>
      </c>
      <c r="BB78" s="3">
        <v>12</v>
      </c>
      <c r="BC78" s="3">
        <v>2.5</v>
      </c>
      <c r="BD78" s="3">
        <v>3.3</v>
      </c>
      <c r="BE78" s="2" t="str">
        <f>CONCATENATE(
ROUND(BB78*VLOOKUP(K78,'ID Scheme'!$A$2:$E$7,3),0), "x",
ROUND(BC78*VLOOKUP(K78,'ID Scheme'!$A$2:$E$7,5),0), "x",
ROUND(BD78*VLOOKUP(K78,'ID Scheme'!$A$2:$E$7,4),0))</f>
        <v>112x36x32</v>
      </c>
    </row>
    <row r="79" spans="1:58" x14ac:dyDescent="0.3">
      <c r="A79" t="s">
        <v>58</v>
      </c>
      <c r="B79" t="s">
        <v>184</v>
      </c>
      <c r="C79" t="s">
        <v>324</v>
      </c>
      <c r="D79">
        <f>IF(G79 &gt; 2020, ((G79-2020)*4)+1610+I79,IF(G79 &gt; 1900, ((G79-1900)*10)+400+I79, ((G79-1730)*2)+I79))+VLOOKUP(K79,'ID Scheme'!$A$2:$B$7,2, FALSE)</f>
        <v>2012</v>
      </c>
      <c r="E79">
        <v>2012</v>
      </c>
      <c r="F79" t="s">
        <v>683</v>
      </c>
      <c r="G79">
        <v>2001</v>
      </c>
      <c r="H79">
        <v>1</v>
      </c>
      <c r="I79">
        <v>2</v>
      </c>
      <c r="J79" t="s">
        <v>523</v>
      </c>
      <c r="K79" t="s">
        <v>12</v>
      </c>
      <c r="L79" t="s">
        <v>501</v>
      </c>
      <c r="M79">
        <v>55</v>
      </c>
      <c r="N79">
        <v>-1</v>
      </c>
      <c r="O79">
        <v>11</v>
      </c>
      <c r="P79">
        <v>10</v>
      </c>
      <c r="Q79">
        <v>14</v>
      </c>
      <c r="R79">
        <v>320</v>
      </c>
      <c r="S79">
        <v>25</v>
      </c>
      <c r="T79">
        <v>140</v>
      </c>
      <c r="U79">
        <v>1</v>
      </c>
      <c r="V79" t="s">
        <v>289</v>
      </c>
      <c r="W79">
        <v>3</v>
      </c>
      <c r="X79" s="2" t="s">
        <v>325</v>
      </c>
      <c r="Y79" s="2"/>
      <c r="Z79" s="2"/>
      <c r="AA79" s="2"/>
      <c r="AB79" s="2"/>
      <c r="AC79" s="2"/>
      <c r="AD79" s="2"/>
      <c r="AE79" s="2"/>
      <c r="AF79" s="2"/>
      <c r="AG79" s="2"/>
      <c r="AI79" t="s">
        <v>372</v>
      </c>
      <c r="AJ79" t="s">
        <v>398</v>
      </c>
      <c r="AK79" t="s">
        <v>370</v>
      </c>
      <c r="AL79" t="s">
        <v>372</v>
      </c>
      <c r="AM79" t="s">
        <v>373</v>
      </c>
      <c r="AN79" t="s">
        <v>548</v>
      </c>
      <c r="AO79">
        <v>6</v>
      </c>
      <c r="AR79" s="2">
        <f>(SQRT(M79*T79)*POWER((MIN(O79,20)+SQRT(MAX(O79-20,0))),0.9)*Data!$B$1)*(1-(U79-1))</f>
        <v>56.95869659296028</v>
      </c>
      <c r="AS79" s="2"/>
      <c r="AT79" s="2">
        <f>((POWER((M79*M79*T79), 0.33)*LOG10(R79)*10*Data!$B$1)*U79)+AS79</f>
        <v>135.13150745681415</v>
      </c>
      <c r="AU79" s="2">
        <f t="shared" si="42"/>
        <v>44.354838709677416</v>
      </c>
      <c r="AV79" s="2">
        <f t="shared" si="23"/>
        <v>0</v>
      </c>
      <c r="AX79" s="2">
        <v>2</v>
      </c>
      <c r="AY79" s="2">
        <v>2</v>
      </c>
      <c r="AZ79" s="2">
        <f t="shared" si="43"/>
        <v>70</v>
      </c>
      <c r="BA79" s="2">
        <f t="shared" si="44"/>
        <v>140</v>
      </c>
      <c r="BB79" s="3">
        <v>18</v>
      </c>
      <c r="BC79" s="3">
        <v>2.5</v>
      </c>
      <c r="BD79" s="3">
        <v>3.2</v>
      </c>
      <c r="BE79" s="2" t="str">
        <f>CONCATENATE(
ROUND(BB79*VLOOKUP(K79,'ID Scheme'!$A$2:$E$7,3),0), "x",
ROUND(BC79*VLOOKUP(K79,'ID Scheme'!$A$2:$E$7,5),0), "x",
ROUND(BD79*VLOOKUP(K79,'ID Scheme'!$A$2:$E$7,4),0))</f>
        <v>168x36x31</v>
      </c>
    </row>
    <row r="80" spans="1:58" x14ac:dyDescent="0.3">
      <c r="A80" t="s">
        <v>33</v>
      </c>
      <c r="B80" t="s">
        <v>185</v>
      </c>
      <c r="C80" t="s">
        <v>285</v>
      </c>
      <c r="D80">
        <f>IF(G80 &gt; 2020, ((G80-2020)*4)+1610+I80,IF(G80 &gt; 1900, ((G80-1900)*10)+400+I80, ((G80-1730)*2)+I80))+VLOOKUP(K80,'ID Scheme'!$A$2:$B$7,2, FALSE)</f>
        <v>2051</v>
      </c>
      <c r="E80">
        <v>2051</v>
      </c>
      <c r="F80" t="s">
        <v>683</v>
      </c>
      <c r="G80">
        <v>2005</v>
      </c>
      <c r="H80">
        <v>1</v>
      </c>
      <c r="I80">
        <v>1</v>
      </c>
      <c r="J80" t="s">
        <v>523</v>
      </c>
      <c r="K80" t="s">
        <v>12</v>
      </c>
      <c r="L80" t="s">
        <v>501</v>
      </c>
      <c r="M80">
        <v>60</v>
      </c>
      <c r="N80">
        <v>18</v>
      </c>
      <c r="O80">
        <v>20</v>
      </c>
      <c r="P80">
        <v>7</v>
      </c>
      <c r="Q80">
        <v>11</v>
      </c>
      <c r="R80">
        <v>185</v>
      </c>
      <c r="S80">
        <v>20</v>
      </c>
      <c r="T80">
        <v>90</v>
      </c>
      <c r="U80">
        <v>1</v>
      </c>
      <c r="V80" t="s">
        <v>295</v>
      </c>
      <c r="W80">
        <v>3</v>
      </c>
      <c r="X80" s="2" t="s">
        <v>319</v>
      </c>
      <c r="Y80" s="2"/>
      <c r="Z80" s="2"/>
      <c r="AA80" s="2"/>
      <c r="AB80" s="2"/>
      <c r="AC80" s="2"/>
      <c r="AD80" s="2"/>
      <c r="AE80" s="2"/>
      <c r="AF80" s="2"/>
      <c r="AG80" s="2"/>
      <c r="AO80">
        <v>8</v>
      </c>
      <c r="AR80" s="2">
        <f>(SQRT(M80*T80)*POWER((MIN(O80,20)+SQRT(MAX(O80-20,0))),0.9)*Data!$B$1)*(1-(U80-1))</f>
        <v>81.693055399982839</v>
      </c>
      <c r="AS80" s="2"/>
      <c r="AT80" s="2">
        <f>((POWER((M80*M80*T80), 0.33)*LOG10(R80)*10*Data!$B$1)*U80)+AS80</f>
        <v>111.95037019981191</v>
      </c>
      <c r="AU80" s="2">
        <f t="shared" si="42"/>
        <v>48.387096774193552</v>
      </c>
      <c r="AV80" s="2">
        <f t="shared" si="23"/>
        <v>0</v>
      </c>
      <c r="AX80" s="2">
        <v>1</v>
      </c>
      <c r="AY80" s="2">
        <v>1</v>
      </c>
      <c r="AZ80" s="2">
        <f t="shared" si="43"/>
        <v>90</v>
      </c>
      <c r="BA80" s="2">
        <f t="shared" si="44"/>
        <v>90</v>
      </c>
      <c r="BB80" s="3">
        <v>11.4</v>
      </c>
      <c r="BC80" s="3">
        <v>2.5499999999999998</v>
      </c>
      <c r="BD80" s="3">
        <v>4.2</v>
      </c>
      <c r="BE80" s="2" t="str">
        <f>CONCATENATE(
ROUND(BB80*VLOOKUP(K80,'ID Scheme'!$A$2:$E$7,3),0), "x",
ROUND(BC80*VLOOKUP(K80,'ID Scheme'!$A$2:$E$7,5),0), "x",
ROUND(BD80*VLOOKUP(K80,'ID Scheme'!$A$2:$E$7,4),0))</f>
        <v>106x37x41</v>
      </c>
    </row>
    <row r="81" spans="1:57" x14ac:dyDescent="0.3">
      <c r="A81" t="s">
        <v>320</v>
      </c>
      <c r="B81" t="s">
        <v>186</v>
      </c>
      <c r="C81" t="s">
        <v>285</v>
      </c>
      <c r="D81">
        <f>IF(G81 &gt; 2020, ((G81-2020)*4)+1610+I81,IF(G81 &gt; 1900, ((G81-1900)*10)+400+I81, ((G81-1730)*2)+I81))+VLOOKUP(K81,'ID Scheme'!$A$2:$B$7,2, FALSE)</f>
        <v>2112</v>
      </c>
      <c r="E81">
        <v>2112</v>
      </c>
      <c r="F81" t="s">
        <v>683</v>
      </c>
      <c r="G81">
        <v>2011</v>
      </c>
      <c r="H81">
        <v>1</v>
      </c>
      <c r="I81">
        <v>2</v>
      </c>
      <c r="J81" t="s">
        <v>523</v>
      </c>
      <c r="K81" t="s">
        <v>12</v>
      </c>
      <c r="L81" t="s">
        <v>501</v>
      </c>
      <c r="M81">
        <v>50</v>
      </c>
      <c r="N81">
        <v>-1</v>
      </c>
      <c r="O81">
        <v>16</v>
      </c>
      <c r="P81">
        <v>6</v>
      </c>
      <c r="Q81">
        <v>10</v>
      </c>
      <c r="R81">
        <v>101</v>
      </c>
      <c r="S81">
        <v>22</v>
      </c>
      <c r="T81">
        <v>72</v>
      </c>
      <c r="U81">
        <v>1</v>
      </c>
      <c r="V81" t="s">
        <v>321</v>
      </c>
      <c r="W81">
        <v>3</v>
      </c>
      <c r="X81" s="2" t="s">
        <v>322</v>
      </c>
      <c r="Y81" s="2"/>
      <c r="Z81" s="2"/>
      <c r="AA81" s="2"/>
      <c r="AB81" s="2"/>
      <c r="AC81" s="2"/>
      <c r="AD81" s="2"/>
      <c r="AE81" s="2"/>
      <c r="AF81" s="2"/>
      <c r="AG81" s="2"/>
      <c r="AO81">
        <v>8</v>
      </c>
      <c r="AR81" s="2">
        <f>(SQRT(M81*T81)*POWER((MIN(O81,20)+SQRT(MAX(O81-20,0))),0.9)*Data!$B$1)*(1-(U81-1))</f>
        <v>54.565796394374324</v>
      </c>
      <c r="AS81" s="2"/>
      <c r="AT81" s="2">
        <f>((POWER((M81*M81*T81), 0.33)*LOG10(R81)*10*Data!$B$1)*U81)+AS81</f>
        <v>81.520821564001579</v>
      </c>
      <c r="AU81" s="2">
        <f t="shared" si="42"/>
        <v>40.322580645161288</v>
      </c>
      <c r="AV81" s="2">
        <f t="shared" si="23"/>
        <v>0</v>
      </c>
      <c r="AX81" s="2">
        <v>1</v>
      </c>
      <c r="AY81" s="2">
        <v>1</v>
      </c>
      <c r="AZ81" s="2">
        <f t="shared" si="43"/>
        <v>72</v>
      </c>
      <c r="BA81" s="2">
        <f t="shared" si="44"/>
        <v>72</v>
      </c>
      <c r="BB81" s="3"/>
      <c r="BC81" s="3"/>
      <c r="BD81" s="3"/>
      <c r="BE81" s="2" t="str">
        <f>CONCATENATE(
ROUND(BB81*VLOOKUP(K81,'ID Scheme'!$A$2:$E$7,3),0), "x",
ROUND(BC81*VLOOKUP(K81,'ID Scheme'!$A$2:$E$7,5),0), "x",
ROUND(BD81*VLOOKUP(K81,'ID Scheme'!$A$2:$E$7,4),0))</f>
        <v>0x0x0</v>
      </c>
    </row>
    <row r="82" spans="1:57" x14ac:dyDescent="0.3">
      <c r="A82" t="s">
        <v>66</v>
      </c>
      <c r="B82" t="s">
        <v>187</v>
      </c>
      <c r="C82" t="s">
        <v>285</v>
      </c>
      <c r="D82">
        <f>IF(G82 &gt; 2020, ((G82-2020)*4)+1610+I82,IF(G82 &gt; 1900, ((G82-1900)*10)+400+I82, ((G82-1730)*2)+I82))+VLOOKUP(K82,'ID Scheme'!$A$2:$B$7,2, FALSE)</f>
        <v>2121</v>
      </c>
      <c r="E82">
        <v>2121</v>
      </c>
      <c r="F82" t="s">
        <v>683</v>
      </c>
      <c r="G82">
        <v>2012</v>
      </c>
      <c r="H82">
        <v>1</v>
      </c>
      <c r="I82">
        <v>1</v>
      </c>
      <c r="J82" t="s">
        <v>523</v>
      </c>
      <c r="K82" t="s">
        <v>12</v>
      </c>
      <c r="L82" t="s">
        <v>501</v>
      </c>
      <c r="M82">
        <v>50</v>
      </c>
      <c r="N82">
        <v>-1</v>
      </c>
      <c r="O82">
        <v>20</v>
      </c>
      <c r="P82">
        <v>7</v>
      </c>
      <c r="Q82">
        <v>12.5</v>
      </c>
      <c r="R82">
        <v>185</v>
      </c>
      <c r="S82">
        <v>23</v>
      </c>
      <c r="T82">
        <v>87</v>
      </c>
      <c r="U82">
        <v>1</v>
      </c>
      <c r="V82" t="s">
        <v>299</v>
      </c>
      <c r="W82">
        <v>3</v>
      </c>
      <c r="X82" s="2" t="s">
        <v>323</v>
      </c>
      <c r="Y82" s="2"/>
      <c r="Z82" s="2"/>
      <c r="AA82" s="2"/>
      <c r="AB82" s="2"/>
      <c r="AC82" s="2"/>
      <c r="AD82" s="2"/>
      <c r="AE82" s="2"/>
      <c r="AF82" s="2"/>
      <c r="AG82" s="2"/>
      <c r="AO82">
        <v>8</v>
      </c>
      <c r="AR82" s="2">
        <f>(SQRT(M82*T82)*POWER((MIN(O82,20)+SQRT(MAX(O82-20,0))),0.9)*Data!$B$1)*(1-(U82-1))</f>
        <v>73.321761154546138</v>
      </c>
      <c r="AS82" s="2"/>
      <c r="AT82" s="2">
        <f>((POWER((M82*M82*T82), 0.33)*LOG10(R82)*10*Data!$B$1)*U82)+AS82</f>
        <v>98.153826904979823</v>
      </c>
      <c r="AU82" s="2">
        <f t="shared" si="42"/>
        <v>40.322580645161288</v>
      </c>
      <c r="AV82" s="2">
        <f t="shared" si="23"/>
        <v>0</v>
      </c>
      <c r="AX82" s="2">
        <v>1</v>
      </c>
      <c r="AY82" s="2">
        <v>1</v>
      </c>
      <c r="AZ82" s="2">
        <f t="shared" si="43"/>
        <v>87</v>
      </c>
      <c r="BA82" s="2">
        <f t="shared" si="44"/>
        <v>87</v>
      </c>
      <c r="BB82" s="3"/>
      <c r="BC82" s="3"/>
      <c r="BD82" s="3"/>
      <c r="BE82" s="2" t="str">
        <f>CONCATENATE(
ROUND(BB82*VLOOKUP(K82,'ID Scheme'!$A$2:$E$7,3),0), "x",
ROUND(BC82*VLOOKUP(K82,'ID Scheme'!$A$2:$E$7,5),0), "x",
ROUND(BD82*VLOOKUP(K82,'ID Scheme'!$A$2:$E$7,4),0))</f>
        <v>0x0x0</v>
      </c>
    </row>
    <row r="83" spans="1:57" x14ac:dyDescent="0.3">
      <c r="A83" t="s">
        <v>65</v>
      </c>
      <c r="B83" t="s">
        <v>188</v>
      </c>
      <c r="C83" t="s">
        <v>285</v>
      </c>
      <c r="D83">
        <f>IF(G83 &gt; 2020, ((G83-2020)*4)+1610+I83,IF(G83 &gt; 1900, ((G83-1900)*10)+400+I83, ((G83-1730)*2)+I83))+VLOOKUP(K83,'ID Scheme'!$A$2:$B$7,2, FALSE)</f>
        <v>2122</v>
      </c>
      <c r="E83">
        <v>2122</v>
      </c>
      <c r="F83" t="s">
        <v>683</v>
      </c>
      <c r="G83">
        <v>2012</v>
      </c>
      <c r="H83">
        <v>1</v>
      </c>
      <c r="I83">
        <v>2</v>
      </c>
      <c r="J83" t="s">
        <v>523</v>
      </c>
      <c r="K83" t="s">
        <v>12</v>
      </c>
      <c r="L83" t="s">
        <v>501</v>
      </c>
      <c r="M83">
        <v>60</v>
      </c>
      <c r="N83">
        <v>-1</v>
      </c>
      <c r="O83">
        <v>16</v>
      </c>
      <c r="P83">
        <v>5</v>
      </c>
      <c r="Q83">
        <v>7.5</v>
      </c>
      <c r="R83">
        <v>110</v>
      </c>
      <c r="S83">
        <v>20</v>
      </c>
      <c r="T83">
        <v>35</v>
      </c>
      <c r="U83">
        <v>0.95</v>
      </c>
      <c r="V83" t="s">
        <v>299</v>
      </c>
      <c r="W83">
        <v>2</v>
      </c>
      <c r="X83" s="2" t="s">
        <v>317</v>
      </c>
      <c r="Y83" s="2"/>
      <c r="Z83" s="2"/>
      <c r="AA83" s="2"/>
      <c r="AB83" s="2"/>
      <c r="AC83" s="2"/>
      <c r="AD83" s="2"/>
      <c r="AE83" s="2"/>
      <c r="AF83" s="2"/>
      <c r="AG83" s="2"/>
      <c r="AO83">
        <v>8</v>
      </c>
      <c r="AR83" s="2">
        <f>(SQRT(M83*T83)*POWER((MIN(O83,20)+SQRT(MAX(O83-20,0))),0.9)*Data!$B$1)*(1-(U83-1))</f>
        <v>43.759081158234544</v>
      </c>
      <c r="AS83" s="2"/>
      <c r="AT83" s="2">
        <f>((POWER((M83*M83*T83), 0.33)*LOG10(R83)*10*Data!$B$1)*U83)+AS83</f>
        <v>70.118675319420305</v>
      </c>
      <c r="AU83" s="2">
        <f t="shared" si="42"/>
        <v>48.387096774193552</v>
      </c>
      <c r="AV83" s="2">
        <f t="shared" si="23"/>
        <v>0</v>
      </c>
      <c r="AX83" s="2">
        <v>1</v>
      </c>
      <c r="AY83" s="2">
        <v>1</v>
      </c>
      <c r="AZ83" s="2">
        <f t="shared" si="43"/>
        <v>35</v>
      </c>
      <c r="BA83" s="2">
        <f t="shared" si="44"/>
        <v>35</v>
      </c>
      <c r="BB83" s="3">
        <v>10.199999999999999</v>
      </c>
      <c r="BC83" s="3">
        <v>2.2999999999999998</v>
      </c>
      <c r="BD83" s="3">
        <v>2.7</v>
      </c>
      <c r="BE83" s="2" t="str">
        <f>CONCATENATE(
ROUND(BB83*VLOOKUP(K83,'ID Scheme'!$A$2:$E$7,3),0), "x",
ROUND(BC83*VLOOKUP(K83,'ID Scheme'!$A$2:$E$7,5),0), "x",
ROUND(BD83*VLOOKUP(K83,'ID Scheme'!$A$2:$E$7,4),0))</f>
        <v>95x33x26</v>
      </c>
    </row>
    <row r="84" spans="1:57" x14ac:dyDescent="0.3">
      <c r="A84" t="s">
        <v>636</v>
      </c>
      <c r="B84" t="s">
        <v>637</v>
      </c>
      <c r="C84" t="s">
        <v>285</v>
      </c>
      <c r="D84">
        <f>IF(G84 &gt; 2020, ((G84-2020)*4)+1610+I84,IF(G84 &gt; 1900, ((G84-1900)*10)+400+I84, ((G84-1730)*2)+I84))+VLOOKUP(K84,'ID Scheme'!$A$2:$B$7,2, FALSE)</f>
        <v>2131</v>
      </c>
      <c r="E84">
        <v>2131</v>
      </c>
      <c r="F84" t="s">
        <v>683</v>
      </c>
      <c r="G84">
        <v>2013</v>
      </c>
      <c r="H84">
        <v>5</v>
      </c>
      <c r="I84">
        <v>1</v>
      </c>
      <c r="J84" t="s">
        <v>523</v>
      </c>
      <c r="K84" t="s">
        <v>12</v>
      </c>
      <c r="L84" t="s">
        <v>501</v>
      </c>
      <c r="M84">
        <v>59</v>
      </c>
      <c r="N84">
        <v>-1</v>
      </c>
      <c r="O84">
        <v>18</v>
      </c>
      <c r="P84">
        <v>5</v>
      </c>
      <c r="Q84">
        <v>6</v>
      </c>
      <c r="R84">
        <v>175</v>
      </c>
      <c r="S84">
        <v>20</v>
      </c>
      <c r="T84">
        <v>59</v>
      </c>
      <c r="U84">
        <v>1</v>
      </c>
      <c r="V84" t="s">
        <v>289</v>
      </c>
      <c r="W84">
        <v>3</v>
      </c>
      <c r="X84" s="2" t="s">
        <v>638</v>
      </c>
      <c r="Y84" s="2"/>
      <c r="Z84" s="2"/>
      <c r="AA84" s="2"/>
      <c r="AB84" s="2"/>
      <c r="AC84" s="2"/>
      <c r="AD84" s="2"/>
      <c r="AE84" s="2"/>
      <c r="AF84" s="2"/>
      <c r="AG84" s="2"/>
      <c r="AO84">
        <v>8</v>
      </c>
      <c r="AR84" s="2">
        <f>(SQRT(M84*T84)*POWER((MIN(O84,20)+SQRT(MAX(O84-20,0))),0.9)*Data!$B$1)*(1-(U84-1))</f>
        <v>59.656604337726122</v>
      </c>
      <c r="AS84" s="2"/>
      <c r="AT84" s="2">
        <f>((POWER((M84*M84*T84), 0.33)*LOG10(R84)*10*Data!$B$1)*U84)+AS84</f>
        <v>95.288698571508277</v>
      </c>
      <c r="AU84" s="2">
        <f t="shared" si="42"/>
        <v>47.58064516129032</v>
      </c>
      <c r="AV84" s="2">
        <f t="shared" si="23"/>
        <v>0</v>
      </c>
      <c r="AX84" s="2">
        <v>1</v>
      </c>
      <c r="AY84" s="2">
        <v>1</v>
      </c>
      <c r="AZ84" s="2">
        <f t="shared" si="43"/>
        <v>59</v>
      </c>
      <c r="BA84" s="2">
        <f t="shared" si="44"/>
        <v>59</v>
      </c>
      <c r="BB84" s="3">
        <v>10.199999999999999</v>
      </c>
      <c r="BC84" s="3">
        <v>2.4</v>
      </c>
      <c r="BD84" s="3">
        <v>2.7</v>
      </c>
      <c r="BE84" s="2" t="str">
        <f>CONCATENATE(
ROUND(BB84*VLOOKUP(K84,'ID Scheme'!$A$2:$E$7,3),0), "x",
ROUND(BC84*VLOOKUP(K84,'ID Scheme'!$A$2:$E$7,5),0), "x",
ROUND(BD84*VLOOKUP(K84,'ID Scheme'!$A$2:$E$7,4),0))</f>
        <v>95x35x26</v>
      </c>
    </row>
    <row r="85" spans="1:57" x14ac:dyDescent="0.3">
      <c r="A85" t="s">
        <v>489</v>
      </c>
      <c r="B85" t="s">
        <v>491</v>
      </c>
      <c r="C85" t="s">
        <v>285</v>
      </c>
      <c r="D85">
        <f>IF(G85 &gt; 2020, ((G85-2020)*4)+1610+I85,IF(G85 &gt; 1900, ((G85-1900)*10)+400+I85, ((G85-1730)*2)+I85))+VLOOKUP(K85,'ID Scheme'!$A$2:$B$7,2, FALSE)</f>
        <v>2141</v>
      </c>
      <c r="E85">
        <v>2141</v>
      </c>
      <c r="F85" t="s">
        <v>683</v>
      </c>
      <c r="G85">
        <v>2014</v>
      </c>
      <c r="H85">
        <v>10</v>
      </c>
      <c r="I85">
        <v>1</v>
      </c>
      <c r="J85" t="s">
        <v>523</v>
      </c>
      <c r="K85" t="s">
        <v>12</v>
      </c>
      <c r="L85" t="s">
        <v>501</v>
      </c>
      <c r="M85">
        <v>60</v>
      </c>
      <c r="N85">
        <v>-1</v>
      </c>
      <c r="O85">
        <v>20</v>
      </c>
      <c r="P85">
        <v>7</v>
      </c>
      <c r="Q85">
        <v>11</v>
      </c>
      <c r="R85">
        <v>240</v>
      </c>
      <c r="S85">
        <v>20</v>
      </c>
      <c r="T85">
        <v>90</v>
      </c>
      <c r="U85">
        <v>0.9</v>
      </c>
      <c r="V85" t="s">
        <v>299</v>
      </c>
      <c r="W85">
        <v>3</v>
      </c>
      <c r="X85" s="2" t="s">
        <v>490</v>
      </c>
      <c r="Y85" s="2"/>
      <c r="Z85" s="2"/>
      <c r="AA85" s="2"/>
      <c r="AB85" s="2"/>
      <c r="AC85" s="2"/>
      <c r="AD85" s="2"/>
      <c r="AE85" s="2"/>
      <c r="AF85" s="2"/>
      <c r="AG85" s="2"/>
      <c r="AO85">
        <v>8</v>
      </c>
      <c r="AR85" s="2">
        <f>(SQRT(M85*T85)*POWER((MIN(O85,20)+SQRT(MAX(O85-20,0))),0.9)*Data!$B$1)*(1-(U85-1))</f>
        <v>89.86236093998113</v>
      </c>
      <c r="AS85" s="2"/>
      <c r="AT85" s="2">
        <f>((POWER((M85*M85*T85), 0.33)*LOG10(R85)*10*Data!$B$1)*U85)+AS85</f>
        <v>105.77891991708935</v>
      </c>
      <c r="AU85" s="2">
        <f t="shared" ref="AU85" si="45">M85/1.24</f>
        <v>48.387096774193552</v>
      </c>
      <c r="AV85" s="2">
        <f t="shared" si="23"/>
        <v>0</v>
      </c>
      <c r="AX85" s="2">
        <v>1</v>
      </c>
      <c r="AY85" s="2">
        <v>1</v>
      </c>
      <c r="AZ85" s="2">
        <f t="shared" ref="AZ85" si="46">T85/AY85</f>
        <v>90</v>
      </c>
      <c r="BA85" s="2">
        <f t="shared" ref="BA85" si="47">(T85)/MAX(AX85-1, 1)</f>
        <v>90</v>
      </c>
      <c r="BB85" s="3">
        <v>11.4</v>
      </c>
      <c r="BC85" s="3">
        <v>2.5499999999999998</v>
      </c>
      <c r="BD85" s="3">
        <v>4.2</v>
      </c>
      <c r="BE85" s="2" t="str">
        <f>CONCATENATE(
ROUND(BB85*VLOOKUP(K85,'ID Scheme'!$A$2:$E$7,3),0), "x",
ROUND(BC85*VLOOKUP(K85,'ID Scheme'!$A$2:$E$7,5),0), "x",
ROUND(BD85*VLOOKUP(K85,'ID Scheme'!$A$2:$E$7,4),0))</f>
        <v>106x37x41</v>
      </c>
    </row>
    <row r="86" spans="1:57" x14ac:dyDescent="0.3">
      <c r="A86" t="s">
        <v>666</v>
      </c>
      <c r="B86" t="s">
        <v>668</v>
      </c>
      <c r="C86" t="s">
        <v>285</v>
      </c>
      <c r="D86">
        <f>IF(G86 &gt; 2020, ((G86-2020)*4)+1610+I86,IF(G86 &gt; 1900, ((G86-1900)*10)+400+I86, ((G86-1730)*2)+I86))+VLOOKUP(K86,'ID Scheme'!$A$2:$B$7,2, FALSE)</f>
        <v>2181</v>
      </c>
      <c r="E86">
        <v>2181</v>
      </c>
      <c r="F86" t="s">
        <v>683</v>
      </c>
      <c r="G86">
        <v>2018</v>
      </c>
      <c r="H86">
        <v>5</v>
      </c>
      <c r="I86">
        <v>1</v>
      </c>
      <c r="J86" t="s">
        <v>523</v>
      </c>
      <c r="K86" t="s">
        <v>12</v>
      </c>
      <c r="L86" t="s">
        <v>501</v>
      </c>
      <c r="M86">
        <v>58</v>
      </c>
      <c r="N86">
        <v>-1</v>
      </c>
      <c r="O86">
        <v>18</v>
      </c>
      <c r="P86">
        <v>7</v>
      </c>
      <c r="Q86">
        <v>11</v>
      </c>
      <c r="R86">
        <v>230</v>
      </c>
      <c r="S86">
        <v>20</v>
      </c>
      <c r="T86">
        <v>96</v>
      </c>
      <c r="U86">
        <v>0.9</v>
      </c>
      <c r="V86" t="s">
        <v>299</v>
      </c>
      <c r="W86">
        <v>3</v>
      </c>
      <c r="X86" s="2" t="s">
        <v>667</v>
      </c>
      <c r="Y86" s="2"/>
      <c r="Z86" s="2"/>
      <c r="AA86" s="2"/>
      <c r="AB86" s="2"/>
      <c r="AC86" s="2"/>
      <c r="AD86" s="2"/>
      <c r="AE86" s="2"/>
      <c r="AF86" s="2"/>
      <c r="AG86" s="2"/>
      <c r="AO86">
        <v>8</v>
      </c>
      <c r="AR86" s="2">
        <f>(SQRT(M86*T86)*POWER((MIN(O86,20)+SQRT(MAX(O86-20,0))),0.9)*Data!$B$1)*(1-(U86-1))</f>
        <v>82.994405131650922</v>
      </c>
      <c r="AS86" s="2"/>
      <c r="AT86" s="2">
        <f>((POWER((M86*M86*T86), 0.33)*LOG10(R86)*10*Data!$B$1)*U86)+AS86</f>
        <v>104.84448815432327</v>
      </c>
      <c r="AU86" s="2">
        <f t="shared" si="42"/>
        <v>46.774193548387096</v>
      </c>
      <c r="AV86" s="2">
        <f t="shared" ref="AV86:AV112" si="48">AH86/1.24</f>
        <v>0</v>
      </c>
      <c r="AX86" s="2">
        <v>1</v>
      </c>
      <c r="AY86" s="2">
        <v>1</v>
      </c>
      <c r="AZ86" s="2">
        <f t="shared" si="43"/>
        <v>96</v>
      </c>
      <c r="BA86" s="2">
        <f t="shared" si="44"/>
        <v>96</v>
      </c>
      <c r="BB86" s="3">
        <v>10.5</v>
      </c>
      <c r="BC86" s="3">
        <v>2.52</v>
      </c>
      <c r="BD86" s="3">
        <v>4.4000000000000004</v>
      </c>
      <c r="BE86" s="2" t="str">
        <f>CONCATENATE(
ROUND(BB86*VLOOKUP(K86,'ID Scheme'!$A$2:$E$7,3),0), "x",
ROUND(BC86*VLOOKUP(K86,'ID Scheme'!$A$2:$E$7,5),0), "x",
ROUND(BD86*VLOOKUP(K86,'ID Scheme'!$A$2:$E$7,4),0))</f>
        <v>98x36x43</v>
      </c>
    </row>
    <row r="87" spans="1:57" x14ac:dyDescent="0.3">
      <c r="A87" t="s">
        <v>604</v>
      </c>
      <c r="B87" t="s">
        <v>603</v>
      </c>
      <c r="C87" t="s">
        <v>285</v>
      </c>
      <c r="D87">
        <f>IF(G87 &gt; 2020, ((G87-2020)*4)+1610+I87,IF(G87 &gt; 1900, ((G87-1900)*10)+400+I87, ((G87-1730)*2)+I87))+VLOOKUP(K87,'ID Scheme'!$A$2:$B$7,2, FALSE)</f>
        <v>2201</v>
      </c>
      <c r="E87">
        <v>2201</v>
      </c>
      <c r="F87" t="s">
        <v>683</v>
      </c>
      <c r="G87">
        <v>2020</v>
      </c>
      <c r="H87">
        <v>1</v>
      </c>
      <c r="I87">
        <v>1</v>
      </c>
      <c r="J87" t="s">
        <v>523</v>
      </c>
      <c r="K87" t="s">
        <v>12</v>
      </c>
      <c r="L87" t="s">
        <v>501</v>
      </c>
      <c r="M87">
        <v>55</v>
      </c>
      <c r="N87">
        <v>-1</v>
      </c>
      <c r="O87">
        <v>20</v>
      </c>
      <c r="P87">
        <v>7</v>
      </c>
      <c r="Q87">
        <v>12</v>
      </c>
      <c r="R87">
        <v>300</v>
      </c>
      <c r="S87">
        <v>20</v>
      </c>
      <c r="T87">
        <v>90</v>
      </c>
      <c r="U87">
        <v>0.75</v>
      </c>
      <c r="V87" t="s">
        <v>605</v>
      </c>
      <c r="W87">
        <v>1</v>
      </c>
      <c r="X87" s="2" t="s">
        <v>606</v>
      </c>
      <c r="Y87" s="2"/>
      <c r="Z87" s="2"/>
      <c r="AA87" s="2"/>
      <c r="AB87" s="2"/>
      <c r="AC87" s="2"/>
      <c r="AD87" s="2"/>
      <c r="AE87" s="2"/>
      <c r="AF87" s="2"/>
      <c r="AG87" s="2"/>
      <c r="AO87">
        <v>8</v>
      </c>
      <c r="AR87" s="2">
        <f>(SQRT(M87*T87)*POWER((MIN(O87,20)+SQRT(MAX(O87-20,0))),0.9)*Data!$B$1)*(1-(U87-1))</f>
        <v>97.768932194229819</v>
      </c>
      <c r="AS87" s="2"/>
      <c r="AT87" s="2">
        <f>((POWER((M87*M87*T87), 0.33)*LOG10(R87)*10*Data!$B$1)*U87)+AS87</f>
        <v>86.618208225799165</v>
      </c>
      <c r="AU87" s="2">
        <f t="shared" ref="AU87:AU88" si="49">M87/1.24</f>
        <v>44.354838709677416</v>
      </c>
      <c r="AV87" s="2">
        <f t="shared" ref="AV87:AV88" si="50">AH87/1.24</f>
        <v>0</v>
      </c>
      <c r="AX87" s="2">
        <v>1</v>
      </c>
      <c r="AY87" s="2">
        <v>1</v>
      </c>
      <c r="AZ87" s="2">
        <f t="shared" ref="AZ87:AZ88" si="51">T87/AY87</f>
        <v>90</v>
      </c>
      <c r="BA87" s="2">
        <f t="shared" ref="BA87:BA88" si="52">(T87)/MAX(AX87-1, 1)</f>
        <v>90</v>
      </c>
      <c r="BB87" s="3">
        <v>11.4</v>
      </c>
      <c r="BC87" s="3">
        <v>2.5499999999999998</v>
      </c>
      <c r="BD87" s="3">
        <v>4.2</v>
      </c>
      <c r="BE87" s="2" t="str">
        <f>CONCATENATE(
ROUND(BB87*VLOOKUP(K87,'ID Scheme'!$A$2:$E$7,3),0), "x",
ROUND(BC87*VLOOKUP(K87,'ID Scheme'!$A$2:$E$7,5),0), "x",
ROUND(BD87*VLOOKUP(K87,'ID Scheme'!$A$2:$E$7,4),0))</f>
        <v>106x37x41</v>
      </c>
    </row>
    <row r="88" spans="1:57" x14ac:dyDescent="0.3">
      <c r="A88" t="s">
        <v>663</v>
      </c>
      <c r="B88" t="s">
        <v>664</v>
      </c>
      <c r="C88" t="s">
        <v>285</v>
      </c>
      <c r="D88">
        <f>IF(G88 &gt; 2020, ((G88-2020)*4)+1610+I88,IF(G88 &gt; 1900, ((G88-1900)*10)+400+I88, ((G88-1730)*2)+I88))+VLOOKUP(K88,'ID Scheme'!$A$2:$B$7,2, FALSE)</f>
        <v>2223</v>
      </c>
      <c r="E88">
        <v>2223</v>
      </c>
      <c r="F88" t="s">
        <v>683</v>
      </c>
      <c r="G88">
        <v>2023</v>
      </c>
      <c r="H88">
        <v>1</v>
      </c>
      <c r="I88">
        <v>1</v>
      </c>
      <c r="J88" t="s">
        <v>523</v>
      </c>
      <c r="K88" t="s">
        <v>12</v>
      </c>
      <c r="L88" t="s">
        <v>501</v>
      </c>
      <c r="M88">
        <v>45</v>
      </c>
      <c r="N88">
        <v>-1</v>
      </c>
      <c r="O88">
        <v>17</v>
      </c>
      <c r="P88">
        <v>8</v>
      </c>
      <c r="Q88">
        <v>9</v>
      </c>
      <c r="R88">
        <v>275</v>
      </c>
      <c r="S88">
        <v>20</v>
      </c>
      <c r="T88">
        <v>97</v>
      </c>
      <c r="U88">
        <v>0.75</v>
      </c>
      <c r="V88" t="s">
        <v>365</v>
      </c>
      <c r="W88">
        <v>1</v>
      </c>
      <c r="X88" s="2" t="s">
        <v>665</v>
      </c>
      <c r="Y88" s="2"/>
      <c r="Z88" s="2"/>
      <c r="AA88" s="2"/>
      <c r="AB88" s="2"/>
      <c r="AC88" s="2"/>
      <c r="AD88" s="2"/>
      <c r="AE88" s="2"/>
      <c r="AF88" s="2"/>
      <c r="AG88" s="2"/>
      <c r="AO88">
        <v>8</v>
      </c>
      <c r="AR88" s="2">
        <f>(SQRT(M88*T88)*POWER((MIN(O88,20)+SQRT(MAX(O88-20,0))),0.9)*Data!$B$1)*(1-(U88-1))</f>
        <v>79.317210047723009</v>
      </c>
      <c r="AS88" s="2"/>
      <c r="AT88" s="2">
        <f>((POWER((M88*M88*T88), 0.33)*LOG10(R88)*10*Data!$B$1)*U88)+AS88</f>
        <v>76.585842585166972</v>
      </c>
      <c r="AU88" s="2">
        <f t="shared" si="49"/>
        <v>36.29032258064516</v>
      </c>
      <c r="AV88" s="2">
        <f t="shared" si="50"/>
        <v>0</v>
      </c>
      <c r="AX88" s="2">
        <v>1</v>
      </c>
      <c r="AY88" s="2">
        <v>1</v>
      </c>
      <c r="AZ88" s="2">
        <f t="shared" si="51"/>
        <v>97</v>
      </c>
      <c r="BA88" s="2">
        <f t="shared" si="52"/>
        <v>97</v>
      </c>
      <c r="BB88" s="3">
        <v>12.1</v>
      </c>
      <c r="BC88" s="3">
        <v>2.5</v>
      </c>
      <c r="BD88" s="3">
        <v>3.4</v>
      </c>
      <c r="BE88" s="2" t="str">
        <f>CONCATENATE(
ROUND(BB88*VLOOKUP(K88,'ID Scheme'!$A$2:$E$7,3),0), "x",
ROUND(BC88*VLOOKUP(K88,'ID Scheme'!$A$2:$E$7,5),0), "x",
ROUND(BD88*VLOOKUP(K88,'ID Scheme'!$A$2:$E$7,4),0))</f>
        <v>113x36x33</v>
      </c>
    </row>
    <row r="89" spans="1:57" x14ac:dyDescent="0.3">
      <c r="A89" t="s">
        <v>39</v>
      </c>
      <c r="B89" t="s">
        <v>227</v>
      </c>
      <c r="C89" t="s">
        <v>327</v>
      </c>
      <c r="D89">
        <f>IF(G89 &gt; 2020, ((G89-2020)*4)+1610+I89,IF(G89 &gt; 1900, ((G89-1900)*10)+400+I89, ((G89-1730)*2)+I89))+VLOOKUP(K89,'ID Scheme'!$A$2:$B$7,2, FALSE)</f>
        <v>2935</v>
      </c>
      <c r="E89">
        <v>2935</v>
      </c>
      <c r="F89" t="s">
        <v>683</v>
      </c>
      <c r="G89">
        <v>1897</v>
      </c>
      <c r="H89">
        <v>1</v>
      </c>
      <c r="I89">
        <v>1</v>
      </c>
      <c r="J89" t="s">
        <v>522</v>
      </c>
      <c r="K89" t="s">
        <v>13</v>
      </c>
      <c r="L89" t="s">
        <v>508</v>
      </c>
      <c r="M89">
        <v>20</v>
      </c>
      <c r="N89">
        <v>20</v>
      </c>
      <c r="O89">
        <v>15</v>
      </c>
      <c r="P89">
        <v>5</v>
      </c>
      <c r="Q89">
        <v>4</v>
      </c>
      <c r="R89">
        <v>20</v>
      </c>
      <c r="S89">
        <v>20</v>
      </c>
      <c r="T89">
        <v>13</v>
      </c>
      <c r="U89">
        <v>1</v>
      </c>
      <c r="V89" t="s">
        <v>288</v>
      </c>
      <c r="W89">
        <v>-3</v>
      </c>
      <c r="X89" s="2" t="s">
        <v>329</v>
      </c>
      <c r="Y89" s="2"/>
      <c r="Z89" s="2"/>
      <c r="AA89" s="2"/>
      <c r="AB89" s="2"/>
      <c r="AC89" s="2" t="s">
        <v>331</v>
      </c>
      <c r="AD89" s="2" t="s">
        <v>331</v>
      </c>
      <c r="AE89" s="2"/>
      <c r="AF89" s="2"/>
      <c r="AG89" s="2"/>
      <c r="AO89">
        <v>6</v>
      </c>
      <c r="AR89" s="2">
        <f>(SQRT(M89*T89)*POWER((MIN(O89,20)+SQRT(MAX(O89-20,0))),0.9)*Data!$B$1)*(1-(U89-1))</f>
        <v>13.836621803521316</v>
      </c>
      <c r="AS89" s="2"/>
      <c r="AT89" s="2">
        <f>((POWER((M89*M89*T89), 0.33)*LOG10(R89)*10*Data!$B$1)*U89)+AS89</f>
        <v>16.429701619516372</v>
      </c>
      <c r="AU89" s="2">
        <f t="shared" si="42"/>
        <v>16.129032258064516</v>
      </c>
      <c r="AV89" s="2">
        <f t="shared" si="48"/>
        <v>0</v>
      </c>
      <c r="AX89" s="2">
        <v>1</v>
      </c>
      <c r="AY89" s="2">
        <v>1</v>
      </c>
      <c r="AZ89" s="2">
        <f t="shared" si="43"/>
        <v>13</v>
      </c>
      <c r="BA89" s="2">
        <f t="shared" si="44"/>
        <v>13</v>
      </c>
      <c r="BB89" s="3"/>
      <c r="BC89" s="3"/>
      <c r="BD89" s="3"/>
      <c r="BE89" s="2" t="str">
        <f>CONCATENATE(
ROUND(BB89*VLOOKUP(K89,'ID Scheme'!$A$2:$E$7,3),0), "x",
ROUND(BC89*VLOOKUP(K89,'ID Scheme'!$A$2:$E$7,5),0), "x",
ROUND(BD89*VLOOKUP(K89,'ID Scheme'!$A$2:$E$7,4),0))</f>
        <v>0x0x0</v>
      </c>
    </row>
    <row r="90" spans="1:57" x14ac:dyDescent="0.3">
      <c r="A90" t="s">
        <v>8</v>
      </c>
      <c r="B90" t="s">
        <v>196</v>
      </c>
      <c r="C90" t="s">
        <v>327</v>
      </c>
      <c r="D90">
        <f>IF(G90 &gt; 2020, ((G90-2020)*4)+1610+I90,IF(G90 &gt; 1900, ((G90-1900)*10)+400+I90, ((G90-1730)*2)+I90))+VLOOKUP(K90,'ID Scheme'!$A$2:$B$7,2, FALSE)</f>
        <v>3021</v>
      </c>
      <c r="E90">
        <v>3021</v>
      </c>
      <c r="F90" t="s">
        <v>683</v>
      </c>
      <c r="G90">
        <v>1902</v>
      </c>
      <c r="H90">
        <v>1</v>
      </c>
      <c r="I90">
        <v>1</v>
      </c>
      <c r="J90" t="s">
        <v>522</v>
      </c>
      <c r="K90" t="s">
        <v>13</v>
      </c>
      <c r="L90" t="s">
        <v>508</v>
      </c>
      <c r="M90">
        <v>19</v>
      </c>
      <c r="N90">
        <v>20</v>
      </c>
      <c r="O90">
        <v>15</v>
      </c>
      <c r="P90">
        <v>5</v>
      </c>
      <c r="Q90">
        <v>5</v>
      </c>
      <c r="R90">
        <v>35</v>
      </c>
      <c r="S90">
        <v>20</v>
      </c>
      <c r="T90">
        <v>16</v>
      </c>
      <c r="U90">
        <v>1</v>
      </c>
      <c r="V90" t="s">
        <v>288</v>
      </c>
      <c r="W90">
        <v>-3</v>
      </c>
      <c r="X90" s="2" t="s">
        <v>332</v>
      </c>
      <c r="Y90" s="2"/>
      <c r="Z90" s="2"/>
      <c r="AA90" s="2"/>
      <c r="AB90" s="2"/>
      <c r="AC90" s="2" t="s">
        <v>331</v>
      </c>
      <c r="AD90" s="2" t="s">
        <v>331</v>
      </c>
      <c r="AE90" s="2"/>
      <c r="AF90" s="2"/>
      <c r="AG90" s="2"/>
      <c r="AO90">
        <v>8</v>
      </c>
      <c r="AR90" s="2">
        <f>(SQRT(M90*T90)*POWER((MIN(O90,20)+SQRT(MAX(O90-20,0))),0.9)*Data!$B$1)*(1-(U90-1))</f>
        <v>14.961674023450612</v>
      </c>
      <c r="AS90" s="2"/>
      <c r="AT90" s="2">
        <f>((POWER((M90*M90*T90), 0.33)*LOG10(R90)*10*Data!$B$1)*U90)+AS90</f>
        <v>20.186669341050663</v>
      </c>
      <c r="AU90" s="2">
        <f t="shared" si="42"/>
        <v>15.32258064516129</v>
      </c>
      <c r="AV90" s="2">
        <f t="shared" si="48"/>
        <v>0</v>
      </c>
      <c r="AX90" s="2">
        <v>1</v>
      </c>
      <c r="AY90" s="2">
        <v>1</v>
      </c>
      <c r="AZ90" s="2">
        <f t="shared" si="43"/>
        <v>16</v>
      </c>
      <c r="BA90" s="2">
        <f t="shared" si="44"/>
        <v>16</v>
      </c>
      <c r="BB90" s="3"/>
      <c r="BC90" s="3"/>
      <c r="BD90" s="3"/>
      <c r="BE90" s="2" t="str">
        <f>CONCATENATE(
ROUND(BB90*VLOOKUP(K90,'ID Scheme'!$A$2:$E$7,3),0), "x",
ROUND(BC90*VLOOKUP(K90,'ID Scheme'!$A$2:$E$7,5),0), "x",
ROUND(BD90*VLOOKUP(K90,'ID Scheme'!$A$2:$E$7,4),0))</f>
        <v>0x0x0</v>
      </c>
    </row>
    <row r="91" spans="1:57" x14ac:dyDescent="0.3">
      <c r="A91" t="s">
        <v>22</v>
      </c>
      <c r="B91" t="s">
        <v>228</v>
      </c>
      <c r="C91" t="s">
        <v>327</v>
      </c>
      <c r="D91">
        <f>IF(G91 &gt; 2020, ((G91-2020)*4)+1610+I91,IF(G91 &gt; 1900, ((G91-1900)*10)+400+I91, ((G91-1730)*2)+I91))+VLOOKUP(K91,'ID Scheme'!$A$2:$B$7,2, FALSE)</f>
        <v>3071</v>
      </c>
      <c r="E91">
        <v>3071</v>
      </c>
      <c r="F91" t="s">
        <v>683</v>
      </c>
      <c r="G91">
        <v>1907</v>
      </c>
      <c r="H91">
        <v>1</v>
      </c>
      <c r="I91">
        <v>1</v>
      </c>
      <c r="J91" t="s">
        <v>522</v>
      </c>
      <c r="K91" t="s">
        <v>13</v>
      </c>
      <c r="L91" t="s">
        <v>501</v>
      </c>
      <c r="M91">
        <v>22</v>
      </c>
      <c r="N91">
        <v>15</v>
      </c>
      <c r="O91">
        <v>15</v>
      </c>
      <c r="P91">
        <v>5</v>
      </c>
      <c r="Q91">
        <v>5.5</v>
      </c>
      <c r="R91">
        <v>35</v>
      </c>
      <c r="S91">
        <v>20</v>
      </c>
      <c r="T91">
        <v>18</v>
      </c>
      <c r="U91">
        <v>1</v>
      </c>
      <c r="V91" t="s">
        <v>289</v>
      </c>
      <c r="W91">
        <v>2</v>
      </c>
      <c r="X91" s="2" t="s">
        <v>333</v>
      </c>
      <c r="Y91" s="2" t="s">
        <v>331</v>
      </c>
      <c r="Z91" s="2"/>
      <c r="AA91" s="2"/>
      <c r="AB91" s="2"/>
      <c r="AC91" s="2" t="s">
        <v>331</v>
      </c>
      <c r="AD91" s="2" t="s">
        <v>331</v>
      </c>
      <c r="AE91" s="2"/>
      <c r="AF91" s="2"/>
      <c r="AG91" s="2"/>
      <c r="AO91">
        <v>7</v>
      </c>
      <c r="AR91" s="2">
        <f>(SQRT(M91*T91)*POWER((MIN(O91,20)+SQRT(MAX(O91-20,0))),0.9)*Data!$B$1)*(1-(U91-1))</f>
        <v>17.076190437355692</v>
      </c>
      <c r="AS91" s="2"/>
      <c r="AT91" s="2">
        <f>((POWER((M91*M91*T91), 0.33)*LOG10(R91)*10*Data!$B$1)*U91)+AS91</f>
        <v>23.11886954917755</v>
      </c>
      <c r="AU91" s="2">
        <f t="shared" si="42"/>
        <v>17.741935483870968</v>
      </c>
      <c r="AV91" s="2">
        <f t="shared" si="48"/>
        <v>0</v>
      </c>
      <c r="AX91" s="2">
        <v>1</v>
      </c>
      <c r="AY91" s="2">
        <v>1</v>
      </c>
      <c r="AZ91" s="2">
        <f t="shared" si="43"/>
        <v>18</v>
      </c>
      <c r="BA91" s="2">
        <f t="shared" si="44"/>
        <v>18</v>
      </c>
      <c r="BB91" s="3"/>
      <c r="BC91" s="3"/>
      <c r="BD91" s="3"/>
      <c r="BE91" s="2" t="str">
        <f>CONCATENATE(
ROUND(BB91*VLOOKUP(K91,'ID Scheme'!$A$2:$E$7,3),0), "x",
ROUND(BC91*VLOOKUP(K91,'ID Scheme'!$A$2:$E$7,5),0), "x",
ROUND(BD91*VLOOKUP(K91,'ID Scheme'!$A$2:$E$7,4),0))</f>
        <v>0x0x0</v>
      </c>
    </row>
    <row r="92" spans="1:57" x14ac:dyDescent="0.3">
      <c r="A92" t="s">
        <v>234</v>
      </c>
      <c r="B92" t="s">
        <v>233</v>
      </c>
      <c r="C92" t="s">
        <v>327</v>
      </c>
      <c r="D92">
        <f>IF(G92 &gt; 2020, ((G92-2020)*4)+1610+I92,IF(G92 &gt; 1900, ((G92-1900)*10)+400+I92, ((G92-1730)*2)+I92))+VLOOKUP(K92,'ID Scheme'!$A$2:$B$7,2, FALSE)</f>
        <v>3131</v>
      </c>
      <c r="E92">
        <v>3131</v>
      </c>
      <c r="F92" t="s">
        <v>683</v>
      </c>
      <c r="G92">
        <v>1913</v>
      </c>
      <c r="H92">
        <v>1</v>
      </c>
      <c r="I92">
        <v>1</v>
      </c>
      <c r="J92" t="s">
        <v>522</v>
      </c>
      <c r="K92" t="s">
        <v>13</v>
      </c>
      <c r="L92" t="s">
        <v>508</v>
      </c>
      <c r="M92">
        <v>24</v>
      </c>
      <c r="N92">
        <v>20</v>
      </c>
      <c r="O92">
        <v>18</v>
      </c>
      <c r="P92">
        <v>5</v>
      </c>
      <c r="Q92">
        <v>4.5</v>
      </c>
      <c r="R92">
        <v>30</v>
      </c>
      <c r="S92">
        <v>20</v>
      </c>
      <c r="T92">
        <v>18</v>
      </c>
      <c r="U92">
        <v>1</v>
      </c>
      <c r="V92" t="s">
        <v>289</v>
      </c>
      <c r="W92">
        <v>2</v>
      </c>
      <c r="X92" s="2" t="s">
        <v>478</v>
      </c>
      <c r="Y92" s="2" t="s">
        <v>331</v>
      </c>
      <c r="Z92" s="2" t="s">
        <v>331</v>
      </c>
      <c r="AA92" s="2"/>
      <c r="AB92" s="2"/>
      <c r="AC92" s="2" t="s">
        <v>331</v>
      </c>
      <c r="AD92" s="2" t="s">
        <v>331</v>
      </c>
      <c r="AE92" s="2"/>
      <c r="AF92" s="2"/>
      <c r="AG92" s="2"/>
      <c r="AO92">
        <v>7</v>
      </c>
      <c r="AR92" s="2">
        <f>(SQRT(M92*T92)*POWER((MIN(O92,20)+SQRT(MAX(O92-20,0))),0.9)*Data!$B$1)*(1-(U92-1))</f>
        <v>21.01591926507977</v>
      </c>
      <c r="AS92" s="2"/>
      <c r="AT92" s="2">
        <f>((POWER((M92*M92*T92), 0.33)*LOG10(R92)*10*Data!$B$1)*U92)+AS92</f>
        <v>23.42376794797384</v>
      </c>
      <c r="AU92" s="2">
        <f t="shared" si="42"/>
        <v>19.35483870967742</v>
      </c>
      <c r="AV92" s="2">
        <f t="shared" si="48"/>
        <v>0</v>
      </c>
      <c r="AX92" s="2">
        <v>1</v>
      </c>
      <c r="AY92" s="2">
        <v>1</v>
      </c>
      <c r="AZ92" s="2">
        <f t="shared" si="43"/>
        <v>18</v>
      </c>
      <c r="BA92" s="2">
        <f t="shared" si="44"/>
        <v>18</v>
      </c>
      <c r="BB92" s="3"/>
      <c r="BC92" s="3"/>
      <c r="BD92" s="3"/>
      <c r="BE92" s="2" t="str">
        <f>CONCATENATE(
ROUND(BB92*VLOOKUP(K92,'ID Scheme'!$A$2:$E$7,3),0), "x",
ROUND(BC92*VLOOKUP(K92,'ID Scheme'!$A$2:$E$7,5),0), "x",
ROUND(BD92*VLOOKUP(K92,'ID Scheme'!$A$2:$E$7,4),0))</f>
        <v>0x0x0</v>
      </c>
    </row>
    <row r="93" spans="1:57" x14ac:dyDescent="0.3">
      <c r="A93" t="s">
        <v>597</v>
      </c>
      <c r="B93" t="s">
        <v>598</v>
      </c>
      <c r="C93" t="s">
        <v>327</v>
      </c>
      <c r="D93">
        <f>IF(G93 &gt; 2020, ((G93-2020)*4)+1610+I93,IF(G93 &gt; 1900, ((G93-1900)*10)+400+I93, ((G93-1730)*2)+I93))+VLOOKUP(K93,'ID Scheme'!$A$2:$B$7,2, FALSE)</f>
        <v>3231</v>
      </c>
      <c r="E93">
        <v>3231</v>
      </c>
      <c r="F93" t="s">
        <v>683</v>
      </c>
      <c r="G93">
        <v>1923</v>
      </c>
      <c r="H93">
        <v>1</v>
      </c>
      <c r="I93">
        <v>1</v>
      </c>
      <c r="J93" t="s">
        <v>522</v>
      </c>
      <c r="K93" t="s">
        <v>13</v>
      </c>
      <c r="L93" t="s">
        <v>501</v>
      </c>
      <c r="M93">
        <v>28</v>
      </c>
      <c r="N93">
        <v>21</v>
      </c>
      <c r="O93">
        <v>19</v>
      </c>
      <c r="P93">
        <v>5</v>
      </c>
      <c r="Q93">
        <v>4.5</v>
      </c>
      <c r="R93">
        <v>40</v>
      </c>
      <c r="S93">
        <v>20</v>
      </c>
      <c r="T93">
        <v>18</v>
      </c>
      <c r="U93">
        <v>1</v>
      </c>
      <c r="V93" t="s">
        <v>289</v>
      </c>
      <c r="W93">
        <v>2</v>
      </c>
      <c r="X93" s="2" t="s">
        <v>599</v>
      </c>
      <c r="Y93" s="2" t="s">
        <v>331</v>
      </c>
      <c r="Z93" s="2" t="s">
        <v>331</v>
      </c>
      <c r="AA93" s="2"/>
      <c r="AB93" s="2"/>
      <c r="AC93" s="2" t="s">
        <v>331</v>
      </c>
      <c r="AD93" s="2" t="s">
        <v>331</v>
      </c>
      <c r="AE93" s="2"/>
      <c r="AF93" s="2"/>
      <c r="AG93" s="2"/>
      <c r="AO93">
        <v>7</v>
      </c>
      <c r="AR93" s="2">
        <f>(SQRT(M93*T93)*POWER((MIN(O93,20)+SQRT(MAX(O93-20,0))),0.9)*Data!$B$1)*(1-(U93-1))</f>
        <v>23.83168624016955</v>
      </c>
      <c r="AS93" s="2"/>
      <c r="AT93" s="2">
        <f>((POWER((M93*M93*T93), 0.33)*LOG10(R93)*10*Data!$B$1)*U93)+AS93</f>
        <v>28.125759935399518</v>
      </c>
      <c r="AU93" s="2">
        <f t="shared" si="42"/>
        <v>22.580645161290324</v>
      </c>
      <c r="AV93" s="2">
        <f t="shared" ref="AV93" si="53">AH93/1.24</f>
        <v>0</v>
      </c>
      <c r="AX93" s="2">
        <v>1</v>
      </c>
      <c r="AY93" s="2">
        <v>1</v>
      </c>
      <c r="AZ93" s="2">
        <f t="shared" si="43"/>
        <v>18</v>
      </c>
      <c r="BA93" s="2">
        <f t="shared" si="44"/>
        <v>18</v>
      </c>
      <c r="BB93" s="3"/>
      <c r="BC93" s="3"/>
      <c r="BD93" s="3"/>
      <c r="BE93" s="2" t="str">
        <f>CONCATENATE(
ROUND(BB93*VLOOKUP(K93,'ID Scheme'!$A$2:$E$7,3),0), "x",
ROUND(BC93*VLOOKUP(K93,'ID Scheme'!$A$2:$E$7,5),0), "x",
ROUND(BD93*VLOOKUP(K93,'ID Scheme'!$A$2:$E$7,4),0))</f>
        <v>0x0x0</v>
      </c>
    </row>
    <row r="94" spans="1:57" x14ac:dyDescent="0.3">
      <c r="A94" t="s">
        <v>60</v>
      </c>
      <c r="B94" t="s">
        <v>218</v>
      </c>
      <c r="C94" t="s">
        <v>327</v>
      </c>
      <c r="D94">
        <f>IF(G94 &gt; 2020, ((G94-2020)*4)+1610+I94,IF(G94 &gt; 1900, ((G94-1900)*10)+400+I94, ((G94-1730)*2)+I94))+VLOOKUP(K94,'ID Scheme'!$A$2:$B$7,2, FALSE)</f>
        <v>3281</v>
      </c>
      <c r="E94">
        <v>3281</v>
      </c>
      <c r="F94" t="s">
        <v>683</v>
      </c>
      <c r="G94">
        <v>1928</v>
      </c>
      <c r="H94">
        <v>1</v>
      </c>
      <c r="I94">
        <v>1</v>
      </c>
      <c r="J94" t="s">
        <v>522</v>
      </c>
      <c r="K94" t="s">
        <v>13</v>
      </c>
      <c r="L94" t="s">
        <v>501</v>
      </c>
      <c r="M94">
        <v>37</v>
      </c>
      <c r="N94">
        <v>20</v>
      </c>
      <c r="O94">
        <v>16</v>
      </c>
      <c r="P94">
        <v>5</v>
      </c>
      <c r="Q94">
        <v>6</v>
      </c>
      <c r="R94">
        <v>100</v>
      </c>
      <c r="S94">
        <v>20</v>
      </c>
      <c r="T94">
        <v>15</v>
      </c>
      <c r="U94">
        <v>1.05</v>
      </c>
      <c r="V94" t="s">
        <v>288</v>
      </c>
      <c r="W94">
        <v>-3</v>
      </c>
      <c r="X94" s="2" t="s">
        <v>334</v>
      </c>
      <c r="Y94" s="2" t="s">
        <v>331</v>
      </c>
      <c r="Z94" s="2"/>
      <c r="AA94" s="2"/>
      <c r="AB94" s="2"/>
      <c r="AC94" s="2" t="s">
        <v>331</v>
      </c>
      <c r="AD94" s="2"/>
      <c r="AE94" s="2"/>
      <c r="AF94" s="2"/>
      <c r="AG94" s="2"/>
      <c r="AO94">
        <v>8</v>
      </c>
      <c r="AR94" s="2">
        <f>(SQRT(M94*T94)*POWER((MIN(O94,20)+SQRT(MAX(O94-20,0))),0.9)*Data!$B$1)*(1-(U94-1))</f>
        <v>20.353511393559973</v>
      </c>
      <c r="AS94" s="2"/>
      <c r="AT94" s="2">
        <f>((POWER((M94*M94*T94), 0.33)*LOG10(R94)*10*Data!$B$1)*U94)+AS94</f>
        <v>41.725717318942067</v>
      </c>
      <c r="AU94" s="2">
        <f t="shared" si="42"/>
        <v>29.838709677419356</v>
      </c>
      <c r="AV94" s="2">
        <f t="shared" si="48"/>
        <v>0</v>
      </c>
      <c r="AX94" s="2">
        <v>1</v>
      </c>
      <c r="AY94" s="2">
        <v>1</v>
      </c>
      <c r="AZ94" s="2">
        <f t="shared" si="43"/>
        <v>15</v>
      </c>
      <c r="BA94" s="2">
        <f t="shared" si="44"/>
        <v>15</v>
      </c>
      <c r="BB94" s="3"/>
      <c r="BC94" s="3"/>
      <c r="BD94" s="3"/>
      <c r="BE94" s="2" t="str">
        <f>CONCATENATE(
ROUND(BB94*VLOOKUP(K94,'ID Scheme'!$A$2:$E$7,3),0), "x",
ROUND(BC94*VLOOKUP(K94,'ID Scheme'!$A$2:$E$7,5),0), "x",
ROUND(BD94*VLOOKUP(K94,'ID Scheme'!$A$2:$E$7,4),0))</f>
        <v>0x0x0</v>
      </c>
    </row>
    <row r="95" spans="1:57" x14ac:dyDescent="0.3">
      <c r="A95" t="s">
        <v>61</v>
      </c>
      <c r="B95" t="s">
        <v>189</v>
      </c>
      <c r="C95" t="s">
        <v>327</v>
      </c>
      <c r="D95">
        <f>IF(G95 &gt; 2020, ((G95-2020)*4)+1610+I95,IF(G95 &gt; 1900, ((G95-1900)*10)+400+I95, ((G95-1730)*2)+I95))+VLOOKUP(K95,'ID Scheme'!$A$2:$B$7,2, FALSE)</f>
        <v>3351</v>
      </c>
      <c r="E95">
        <v>3351</v>
      </c>
      <c r="F95" t="s">
        <v>683</v>
      </c>
      <c r="G95">
        <v>1935</v>
      </c>
      <c r="H95">
        <v>1</v>
      </c>
      <c r="I95">
        <v>1</v>
      </c>
      <c r="J95" t="s">
        <v>522</v>
      </c>
      <c r="K95" t="s">
        <v>13</v>
      </c>
      <c r="L95" t="s">
        <v>501</v>
      </c>
      <c r="M95">
        <v>29</v>
      </c>
      <c r="N95">
        <v>25</v>
      </c>
      <c r="O95">
        <v>15</v>
      </c>
      <c r="P95">
        <v>5</v>
      </c>
      <c r="Q95">
        <v>7</v>
      </c>
      <c r="R95">
        <v>110</v>
      </c>
      <c r="S95">
        <v>20</v>
      </c>
      <c r="T95">
        <v>24</v>
      </c>
      <c r="U95">
        <v>1</v>
      </c>
      <c r="V95" t="s">
        <v>289</v>
      </c>
      <c r="W95">
        <v>3</v>
      </c>
      <c r="X95" s="2" t="s">
        <v>335</v>
      </c>
      <c r="Y95" s="2" t="s">
        <v>331</v>
      </c>
      <c r="Z95" s="2"/>
      <c r="AA95" s="2"/>
      <c r="AB95" s="2"/>
      <c r="AC95" s="2"/>
      <c r="AD95" s="2"/>
      <c r="AE95" s="2"/>
      <c r="AF95" s="2"/>
      <c r="AG95" s="2"/>
      <c r="AO95">
        <v>8</v>
      </c>
      <c r="AR95" s="2">
        <f>(SQRT(M95*T95)*POWER((MIN(O95,20)+SQRT(MAX(O95-20,0))),0.9)*Data!$B$1)*(1-(U95-1))</f>
        <v>22.638519219874436</v>
      </c>
      <c r="AS95" s="2"/>
      <c r="AT95" s="2">
        <f>((POWER((M95*M95*T95), 0.33)*LOG10(R95)*10*Data!$B$1)*U95)+AS95</f>
        <v>40.331112889521961</v>
      </c>
      <c r="AU95" s="2">
        <f t="shared" si="42"/>
        <v>23.387096774193548</v>
      </c>
      <c r="AV95" s="2">
        <f t="shared" si="48"/>
        <v>0</v>
      </c>
      <c r="AX95" s="2">
        <v>1</v>
      </c>
      <c r="AY95" s="2">
        <v>1</v>
      </c>
      <c r="AZ95" s="2">
        <f t="shared" si="43"/>
        <v>24</v>
      </c>
      <c r="BA95" s="2">
        <f t="shared" si="44"/>
        <v>24</v>
      </c>
      <c r="BB95" s="3"/>
      <c r="BC95" s="3"/>
      <c r="BD95" s="3"/>
      <c r="BE95" s="2" t="str">
        <f>CONCATENATE(
ROUND(BB95*VLOOKUP(K95,'ID Scheme'!$A$2:$E$7,3),0), "x",
ROUND(BC95*VLOOKUP(K95,'ID Scheme'!$A$2:$E$7,5),0), "x",
ROUND(BD95*VLOOKUP(K95,'ID Scheme'!$A$2:$E$7,4),0))</f>
        <v>0x0x0</v>
      </c>
    </row>
    <row r="96" spans="1:57" x14ac:dyDescent="0.3">
      <c r="A96" t="s">
        <v>0</v>
      </c>
      <c r="B96" t="s">
        <v>206</v>
      </c>
      <c r="C96" t="s">
        <v>327</v>
      </c>
      <c r="D96">
        <f>IF(G96 &gt; 2020, ((G96-2020)*4)+1610+I96,IF(G96 &gt; 1900, ((G96-1900)*10)+400+I96, ((G96-1730)*2)+I96))+VLOOKUP(K96,'ID Scheme'!$A$2:$B$7,2, FALSE)</f>
        <v>3361</v>
      </c>
      <c r="E96">
        <v>3361</v>
      </c>
      <c r="F96" t="s">
        <v>683</v>
      </c>
      <c r="G96">
        <v>1936</v>
      </c>
      <c r="H96">
        <v>1</v>
      </c>
      <c r="I96">
        <v>1</v>
      </c>
      <c r="J96" t="s">
        <v>522</v>
      </c>
      <c r="K96" t="s">
        <v>13</v>
      </c>
      <c r="L96" t="s">
        <v>501</v>
      </c>
      <c r="M96">
        <v>37</v>
      </c>
      <c r="N96">
        <v>20</v>
      </c>
      <c r="O96">
        <v>15</v>
      </c>
      <c r="P96">
        <v>5</v>
      </c>
      <c r="Q96">
        <v>5.5</v>
      </c>
      <c r="R96">
        <v>70</v>
      </c>
      <c r="S96">
        <v>20</v>
      </c>
      <c r="T96">
        <v>20</v>
      </c>
      <c r="U96">
        <v>1</v>
      </c>
      <c r="V96" t="s">
        <v>289</v>
      </c>
      <c r="W96">
        <v>2</v>
      </c>
      <c r="X96" s="2" t="s">
        <v>336</v>
      </c>
      <c r="Y96" s="2" t="s">
        <v>331</v>
      </c>
      <c r="Z96" s="2"/>
      <c r="AA96" s="2"/>
      <c r="AB96" s="2"/>
      <c r="AC96" s="2" t="s">
        <v>331</v>
      </c>
      <c r="AD96" s="2" t="s">
        <v>331</v>
      </c>
      <c r="AE96" s="2"/>
      <c r="AF96" s="2"/>
      <c r="AG96" s="2"/>
      <c r="AO96">
        <v>7</v>
      </c>
      <c r="AR96" s="2">
        <f>(SQRT(M96*T96)*POWER((MIN(O96,20)+SQRT(MAX(O96-20,0))),0.9)*Data!$B$1)*(1-(U96-1))</f>
        <v>23.343139015970831</v>
      </c>
      <c r="AS96" s="2"/>
      <c r="AT96" s="2">
        <f>((POWER((M96*M96*T96), 0.33)*LOG10(R96)*10*Data!$B$1)*U96)+AS96</f>
        <v>40.311944493951287</v>
      </c>
      <c r="AU96" s="2">
        <f t="shared" si="42"/>
        <v>29.838709677419356</v>
      </c>
      <c r="AV96" s="2">
        <f t="shared" si="48"/>
        <v>0</v>
      </c>
      <c r="AX96" s="2">
        <v>1</v>
      </c>
      <c r="AY96" s="2">
        <v>1</v>
      </c>
      <c r="AZ96" s="2">
        <f t="shared" si="43"/>
        <v>20</v>
      </c>
      <c r="BA96" s="2">
        <f t="shared" si="44"/>
        <v>20</v>
      </c>
      <c r="BB96" s="3"/>
      <c r="BC96" s="3"/>
      <c r="BD96" s="3"/>
      <c r="BE96" s="2" t="str">
        <f>CONCATENATE(
ROUND(BB96*VLOOKUP(K96,'ID Scheme'!$A$2:$E$7,3),0), "x",
ROUND(BC96*VLOOKUP(K96,'ID Scheme'!$A$2:$E$7,5),0), "x",
ROUND(BD96*VLOOKUP(K96,'ID Scheme'!$A$2:$E$7,4),0))</f>
        <v>0x0x0</v>
      </c>
    </row>
    <row r="97" spans="1:58" x14ac:dyDescent="0.3">
      <c r="A97" t="s">
        <v>600</v>
      </c>
      <c r="B97" t="s">
        <v>601</v>
      </c>
      <c r="C97" t="s">
        <v>327</v>
      </c>
      <c r="D97">
        <f>IF(G97 &gt; 2020, ((G97-2020)*4)+1610+I97,IF(G97 &gt; 1900, ((G97-1900)*10)+400+I97, ((G97-1730)*2)+I97))+VLOOKUP(K97,'ID Scheme'!$A$2:$B$7,2, FALSE)</f>
        <v>3491</v>
      </c>
      <c r="E97">
        <v>3491</v>
      </c>
      <c r="F97" t="s">
        <v>683</v>
      </c>
      <c r="G97">
        <v>1949</v>
      </c>
      <c r="H97">
        <v>7</v>
      </c>
      <c r="I97">
        <v>1</v>
      </c>
      <c r="J97" t="s">
        <v>522</v>
      </c>
      <c r="K97" t="s">
        <v>13</v>
      </c>
      <c r="L97" t="s">
        <v>501</v>
      </c>
      <c r="M97">
        <v>46</v>
      </c>
      <c r="N97">
        <v>18</v>
      </c>
      <c r="O97">
        <v>15</v>
      </c>
      <c r="P97">
        <v>5</v>
      </c>
      <c r="Q97">
        <v>6</v>
      </c>
      <c r="R97">
        <v>90</v>
      </c>
      <c r="S97">
        <v>20</v>
      </c>
      <c r="T97">
        <v>19</v>
      </c>
      <c r="U97">
        <v>1</v>
      </c>
      <c r="V97" t="s">
        <v>289</v>
      </c>
      <c r="W97">
        <v>2</v>
      </c>
      <c r="X97" s="2" t="s">
        <v>602</v>
      </c>
      <c r="Y97" s="2" t="s">
        <v>331</v>
      </c>
      <c r="Z97" s="2" t="s">
        <v>331</v>
      </c>
      <c r="AA97" s="2"/>
      <c r="AB97" s="2"/>
      <c r="AC97" s="2"/>
      <c r="AD97" s="2"/>
      <c r="AE97" s="2"/>
      <c r="AF97" s="2"/>
      <c r="AG97" s="2"/>
      <c r="AO97">
        <v>8</v>
      </c>
      <c r="AR97" s="2">
        <f>(SQRT(M97*T97)*POWER((MIN(O97,20)+SQRT(MAX(O97-20,0))),0.9)*Data!$B$1)*(1-(U97-1))</f>
        <v>25.368752581748886</v>
      </c>
      <c r="AS97" s="2"/>
      <c r="AT97" s="2">
        <f>((POWER((M97*M97*T97), 0.33)*LOG10(R97)*10*Data!$B$1)*U97)+AS97</f>
        <v>48.467272071279751</v>
      </c>
      <c r="AU97" s="2">
        <f t="shared" si="42"/>
        <v>37.096774193548384</v>
      </c>
      <c r="AV97" s="2">
        <f t="shared" ref="AV97" si="54">AH97/1.24</f>
        <v>0</v>
      </c>
      <c r="AX97" s="2">
        <v>1</v>
      </c>
      <c r="AY97" s="2">
        <v>1</v>
      </c>
      <c r="AZ97" s="2">
        <f t="shared" si="43"/>
        <v>19</v>
      </c>
      <c r="BA97" s="2">
        <f t="shared" si="44"/>
        <v>19</v>
      </c>
      <c r="BB97" s="3"/>
      <c r="BC97" s="3"/>
      <c r="BD97" s="3"/>
      <c r="BE97" s="2" t="str">
        <f>CONCATENATE(
ROUND(BB97*VLOOKUP(K97,'ID Scheme'!$A$2:$E$7,3),0), "x",
ROUND(BC97*VLOOKUP(K97,'ID Scheme'!$A$2:$E$7,5),0), "x",
ROUND(BD97*VLOOKUP(K97,'ID Scheme'!$A$2:$E$7,4),0))</f>
        <v>0x0x0</v>
      </c>
    </row>
    <row r="98" spans="1:58" x14ac:dyDescent="0.3">
      <c r="A98" t="s">
        <v>1</v>
      </c>
      <c r="B98" t="s">
        <v>208</v>
      </c>
      <c r="C98" t="s">
        <v>327</v>
      </c>
      <c r="D98">
        <f>IF(G98 &gt; 2020, ((G98-2020)*4)+1610+I98,IF(G98 &gt; 1900, ((G98-1900)*10)+400+I98, ((G98-1730)*2)+I98))+VLOOKUP(K98,'ID Scheme'!$A$2:$B$7,2, FALSE)</f>
        <v>3521</v>
      </c>
      <c r="E98">
        <v>3521</v>
      </c>
      <c r="F98" t="s">
        <v>683</v>
      </c>
      <c r="G98">
        <v>1952</v>
      </c>
      <c r="H98">
        <v>1</v>
      </c>
      <c r="I98">
        <v>1</v>
      </c>
      <c r="J98" t="s">
        <v>522</v>
      </c>
      <c r="K98" t="s">
        <v>13</v>
      </c>
      <c r="L98" t="s">
        <v>501</v>
      </c>
      <c r="M98">
        <v>38</v>
      </c>
      <c r="N98">
        <v>25</v>
      </c>
      <c r="O98">
        <v>15</v>
      </c>
      <c r="P98">
        <v>5</v>
      </c>
      <c r="Q98">
        <v>7.5</v>
      </c>
      <c r="R98">
        <v>100</v>
      </c>
      <c r="S98">
        <v>20</v>
      </c>
      <c r="T98">
        <v>25</v>
      </c>
      <c r="U98">
        <v>1</v>
      </c>
      <c r="V98" t="s">
        <v>289</v>
      </c>
      <c r="W98">
        <v>3</v>
      </c>
      <c r="X98" s="2" t="s">
        <v>337</v>
      </c>
      <c r="Y98" s="2" t="s">
        <v>331</v>
      </c>
      <c r="Z98" s="2"/>
      <c r="AA98" s="2"/>
      <c r="AB98" s="2"/>
      <c r="AC98" s="2"/>
      <c r="AD98" s="2"/>
      <c r="AE98" s="2"/>
      <c r="AF98" s="2"/>
      <c r="AG98" s="2"/>
      <c r="AO98">
        <v>8</v>
      </c>
      <c r="AR98" s="2">
        <f>(SQRT(M98*T98)*POWER((MIN(O98,20)+SQRT(MAX(O98-20,0))),0.9)*Data!$B$1)*(1-(U98-1))</f>
        <v>26.448752899711359</v>
      </c>
      <c r="AS98" s="2"/>
      <c r="AT98" s="2">
        <f>((POWER((M98*M98*T98), 0.33)*LOG10(R98)*10*Data!$B$1)*U98)+AS98</f>
        <v>47.870574076263431</v>
      </c>
      <c r="AU98" s="2">
        <f t="shared" si="42"/>
        <v>30.64516129032258</v>
      </c>
      <c r="AV98" s="2">
        <f t="shared" si="48"/>
        <v>0</v>
      </c>
      <c r="AX98" s="2">
        <v>1</v>
      </c>
      <c r="AY98" s="2">
        <v>1</v>
      </c>
      <c r="AZ98" s="2">
        <f t="shared" si="43"/>
        <v>25</v>
      </c>
      <c r="BA98" s="2">
        <f t="shared" si="44"/>
        <v>25</v>
      </c>
      <c r="BB98" s="3"/>
      <c r="BC98" s="3"/>
      <c r="BD98" s="3"/>
      <c r="BE98" s="2" t="str">
        <f>CONCATENATE(
ROUND(BB98*VLOOKUP(K98,'ID Scheme'!$A$2:$E$7,3),0), "x",
ROUND(BC98*VLOOKUP(K98,'ID Scheme'!$A$2:$E$7,5),0), "x",
ROUND(BD98*VLOOKUP(K98,'ID Scheme'!$A$2:$E$7,4),0))</f>
        <v>0x0x0</v>
      </c>
    </row>
    <row r="99" spans="1:58" x14ac:dyDescent="0.3">
      <c r="A99" t="s">
        <v>4</v>
      </c>
      <c r="B99" t="s">
        <v>198</v>
      </c>
      <c r="C99" t="s">
        <v>327</v>
      </c>
      <c r="D99">
        <f>IF(G99 &gt; 2020, ((G99-2020)*4)+1610+I99,IF(G99 &gt; 1900, ((G99-1900)*10)+400+I99, ((G99-1730)*2)+I99))+VLOOKUP(K99,'ID Scheme'!$A$2:$B$7,2, FALSE)</f>
        <v>3571</v>
      </c>
      <c r="E99">
        <v>3571</v>
      </c>
      <c r="F99" t="s">
        <v>683</v>
      </c>
      <c r="G99">
        <v>1957</v>
      </c>
      <c r="H99">
        <v>1</v>
      </c>
      <c r="I99">
        <v>1</v>
      </c>
      <c r="J99" t="s">
        <v>522</v>
      </c>
      <c r="K99" t="s">
        <v>13</v>
      </c>
      <c r="L99" t="s">
        <v>501</v>
      </c>
      <c r="M99">
        <v>44</v>
      </c>
      <c r="N99">
        <v>20</v>
      </c>
      <c r="O99">
        <v>15</v>
      </c>
      <c r="P99">
        <v>5</v>
      </c>
      <c r="Q99">
        <v>6.5</v>
      </c>
      <c r="R99">
        <v>110</v>
      </c>
      <c r="S99">
        <v>20</v>
      </c>
      <c r="T99">
        <v>21</v>
      </c>
      <c r="U99">
        <v>1</v>
      </c>
      <c r="V99" t="s">
        <v>289</v>
      </c>
      <c r="W99">
        <v>2</v>
      </c>
      <c r="X99" s="2" t="s">
        <v>338</v>
      </c>
      <c r="Y99" s="2" t="s">
        <v>331</v>
      </c>
      <c r="Z99" s="2" t="s">
        <v>331</v>
      </c>
      <c r="AA99" s="2"/>
      <c r="AB99" s="2"/>
      <c r="AC99" s="2"/>
      <c r="AD99" s="2"/>
      <c r="AE99" s="2"/>
      <c r="AF99" s="2"/>
      <c r="AG99" s="2"/>
      <c r="AO99">
        <v>8</v>
      </c>
      <c r="AR99" s="2">
        <f>(SQRT(M99*T99)*POWER((MIN(O99,20)+SQRT(MAX(O99-20,0))),0.9)*Data!$B$1)*(1-(U99-1))</f>
        <v>26.084311753554509</v>
      </c>
      <c r="AS99" s="2"/>
      <c r="AT99" s="2">
        <f>((POWER((M99*M99*T99), 0.33)*LOG10(R99)*10*Data!$B$1)*U99)+AS99</f>
        <v>50.815821559497905</v>
      </c>
      <c r="AU99" s="2">
        <f t="shared" si="42"/>
        <v>35.483870967741936</v>
      </c>
      <c r="AV99" s="2">
        <f t="shared" si="48"/>
        <v>0</v>
      </c>
      <c r="AX99" s="2">
        <v>1</v>
      </c>
      <c r="AY99" s="2">
        <v>1</v>
      </c>
      <c r="AZ99" s="2">
        <f t="shared" si="43"/>
        <v>21</v>
      </c>
      <c r="BA99" s="2">
        <f t="shared" si="44"/>
        <v>21</v>
      </c>
      <c r="BB99" s="3"/>
      <c r="BC99" s="3"/>
      <c r="BD99" s="3"/>
      <c r="BE99" s="2" t="str">
        <f>CONCATENATE(
ROUND(BB99*VLOOKUP(K99,'ID Scheme'!$A$2:$E$7,3),0), "x",
ROUND(BC99*VLOOKUP(K99,'ID Scheme'!$A$2:$E$7,5),0), "x",
ROUND(BD99*VLOOKUP(K99,'ID Scheme'!$A$2:$E$7,4),0))</f>
        <v>0x0x0</v>
      </c>
    </row>
    <row r="100" spans="1:58" x14ac:dyDescent="0.3">
      <c r="A100" t="s">
        <v>74</v>
      </c>
      <c r="B100" t="s">
        <v>191</v>
      </c>
      <c r="C100" t="s">
        <v>327</v>
      </c>
      <c r="D100">
        <f>IF(G100 &gt; 2020, ((G100-2020)*4)+1610+I100,IF(G100 &gt; 1900, ((G100-1900)*10)+400+I100, ((G100-1730)*2)+I100))+VLOOKUP(K100,'ID Scheme'!$A$2:$B$7,2, FALSE)</f>
        <v>3591</v>
      </c>
      <c r="E100">
        <v>3591</v>
      </c>
      <c r="F100" t="s">
        <v>683</v>
      </c>
      <c r="G100">
        <v>1959</v>
      </c>
      <c r="H100">
        <v>1</v>
      </c>
      <c r="I100">
        <v>1</v>
      </c>
      <c r="J100" t="s">
        <v>522</v>
      </c>
      <c r="K100" t="s">
        <v>13</v>
      </c>
      <c r="L100" t="s">
        <v>501</v>
      </c>
      <c r="M100">
        <v>58</v>
      </c>
      <c r="N100">
        <v>30</v>
      </c>
      <c r="O100">
        <v>20</v>
      </c>
      <c r="P100">
        <v>5</v>
      </c>
      <c r="Q100">
        <v>3</v>
      </c>
      <c r="R100">
        <v>72</v>
      </c>
      <c r="S100">
        <v>20</v>
      </c>
      <c r="T100">
        <v>16</v>
      </c>
      <c r="U100">
        <v>1</v>
      </c>
      <c r="V100" t="s">
        <v>289</v>
      </c>
      <c r="W100">
        <v>0</v>
      </c>
      <c r="X100" s="2" t="s">
        <v>339</v>
      </c>
      <c r="Y100" s="2" t="s">
        <v>331</v>
      </c>
      <c r="Z100" s="2" t="s">
        <v>331</v>
      </c>
      <c r="AA100" s="2"/>
      <c r="AB100" s="2"/>
      <c r="AC100" s="2"/>
      <c r="AD100" s="2"/>
      <c r="AE100" s="2"/>
      <c r="AF100" s="2"/>
      <c r="AG100" s="2"/>
      <c r="AO100">
        <v>6</v>
      </c>
      <c r="AR100" s="2">
        <f>(SQRT(M100*T100)*POWER((MIN(O100,20)+SQRT(MAX(O100-20,0))),0.9)*Data!$B$1)*(1-(U100-1))</f>
        <v>33.865870832027731</v>
      </c>
      <c r="AS100" s="2"/>
      <c r="AT100" s="2">
        <f>((POWER((M100*M100*T100), 0.33)*LOG10(R100)*10*Data!$B$1)*U100)+AS100</f>
        <v>50.719269605559212</v>
      </c>
      <c r="AU100" s="2">
        <f t="shared" si="42"/>
        <v>46.774193548387096</v>
      </c>
      <c r="AV100" s="2">
        <f t="shared" si="48"/>
        <v>0</v>
      </c>
      <c r="AX100" s="2">
        <v>1</v>
      </c>
      <c r="AY100" s="2">
        <v>1</v>
      </c>
      <c r="AZ100" s="2">
        <f t="shared" si="43"/>
        <v>16</v>
      </c>
      <c r="BA100" s="2">
        <f t="shared" si="44"/>
        <v>16</v>
      </c>
      <c r="BB100" s="3">
        <v>6.2</v>
      </c>
      <c r="BC100" s="3">
        <v>2.2000000000000002</v>
      </c>
      <c r="BD100" s="3">
        <v>2.6</v>
      </c>
      <c r="BE100" s="2" t="str">
        <f>CONCATENATE(
ROUND(BB100*VLOOKUP(K100,'ID Scheme'!$A$2:$E$7,3),0), "x",
ROUND(BC100*VLOOKUP(K100,'ID Scheme'!$A$2:$E$7,5),0), "x",
ROUND(BD100*VLOOKUP(K100,'ID Scheme'!$A$2:$E$7,4),0))</f>
        <v>58x32x25</v>
      </c>
      <c r="BF100" t="s">
        <v>81</v>
      </c>
    </row>
    <row r="101" spans="1:58" x14ac:dyDescent="0.3">
      <c r="A101" t="s">
        <v>495</v>
      </c>
      <c r="B101" t="s">
        <v>496</v>
      </c>
      <c r="C101" t="s">
        <v>497</v>
      </c>
      <c r="D101">
        <f>IF(G101 &gt; 2020, ((G101-2020)*4)+1610+I101,IF(G101 &gt; 1900, ((G101-1900)*10)+400+I101, ((G101-1730)*2)+I101))+VLOOKUP(K101,'ID Scheme'!$A$2:$B$7,2, FALSE)</f>
        <v>3581</v>
      </c>
      <c r="E101">
        <v>3581</v>
      </c>
      <c r="F101" t="s">
        <v>683</v>
      </c>
      <c r="G101">
        <v>1958</v>
      </c>
      <c r="H101">
        <v>2</v>
      </c>
      <c r="I101">
        <v>1</v>
      </c>
      <c r="J101" t="s">
        <v>522</v>
      </c>
      <c r="K101" t="s">
        <v>13</v>
      </c>
      <c r="L101" t="s">
        <v>501</v>
      </c>
      <c r="M101">
        <v>52</v>
      </c>
      <c r="N101">
        <v>10</v>
      </c>
      <c r="O101">
        <v>15</v>
      </c>
      <c r="P101">
        <v>5</v>
      </c>
      <c r="Q101">
        <v>8</v>
      </c>
      <c r="R101">
        <v>200</v>
      </c>
      <c r="S101">
        <v>20</v>
      </c>
      <c r="T101">
        <v>22</v>
      </c>
      <c r="U101">
        <v>1</v>
      </c>
      <c r="V101" t="s">
        <v>289</v>
      </c>
      <c r="W101">
        <v>3</v>
      </c>
      <c r="X101" s="2" t="s">
        <v>498</v>
      </c>
      <c r="Y101" s="2"/>
      <c r="Z101" s="2"/>
      <c r="AA101" s="2"/>
      <c r="AB101" s="2"/>
      <c r="AC101" s="2"/>
      <c r="AD101" s="2"/>
      <c r="AE101" s="2"/>
      <c r="AF101" s="2"/>
      <c r="AG101" s="2"/>
      <c r="AO101">
        <v>8</v>
      </c>
      <c r="AR101" s="2">
        <f>(SQRT(M101*T101)*POWER((MIN(O101,20)+SQRT(MAX(O101-20,0))),0.9)*Data!$B$1)*(1-(U101-1))</f>
        <v>29.023942752634394</v>
      </c>
      <c r="AS101" s="2"/>
      <c r="AT101" s="2">
        <f>((POWER((M101*M101*T101), 0.33)*LOG10(R101)*10*Data!$B$1)*U101)+AS101</f>
        <v>64.944927291155707</v>
      </c>
      <c r="AU101" s="2">
        <f t="shared" si="42"/>
        <v>41.935483870967744</v>
      </c>
      <c r="AV101" s="2">
        <f t="shared" si="48"/>
        <v>0</v>
      </c>
      <c r="AX101" s="2">
        <v>1</v>
      </c>
      <c r="AY101" s="2">
        <v>1</v>
      </c>
      <c r="AZ101" s="2">
        <f t="shared" si="43"/>
        <v>22</v>
      </c>
      <c r="BA101" s="2">
        <f t="shared" si="44"/>
        <v>22</v>
      </c>
      <c r="BB101" s="3"/>
      <c r="BC101" s="3"/>
      <c r="BD101" s="3"/>
      <c r="BE101" s="2" t="str">
        <f>CONCATENATE(
ROUND(BB101*VLOOKUP(K101,'ID Scheme'!$A$2:$E$7,3),0), "x",
ROUND(BC101*VLOOKUP(K101,'ID Scheme'!$A$2:$E$7,5),0), "x",
ROUND(BD101*VLOOKUP(K101,'ID Scheme'!$A$2:$E$7,4),0))</f>
        <v>0x0x0</v>
      </c>
    </row>
    <row r="102" spans="1:58" x14ac:dyDescent="0.3">
      <c r="A102" t="s">
        <v>3</v>
      </c>
      <c r="B102" t="s">
        <v>199</v>
      </c>
      <c r="C102" t="s">
        <v>327</v>
      </c>
      <c r="D102">
        <f>IF(G102 &gt; 2020, ((G102-2020)*4)+1610+I102,IF(G102 &gt; 1900, ((G102-1900)*10)+400+I102, ((G102-1730)*2)+I102))+VLOOKUP(K102,'ID Scheme'!$A$2:$B$7,2, FALSE)</f>
        <v>3631</v>
      </c>
      <c r="E102">
        <v>3631</v>
      </c>
      <c r="F102" t="s">
        <v>683</v>
      </c>
      <c r="G102">
        <v>1963</v>
      </c>
      <c r="H102">
        <v>1</v>
      </c>
      <c r="I102">
        <v>1</v>
      </c>
      <c r="J102" t="s">
        <v>522</v>
      </c>
      <c r="K102" t="s">
        <v>13</v>
      </c>
      <c r="L102" t="s">
        <v>501</v>
      </c>
      <c r="M102">
        <v>48</v>
      </c>
      <c r="N102">
        <v>20</v>
      </c>
      <c r="O102">
        <v>16</v>
      </c>
      <c r="P102">
        <v>5</v>
      </c>
      <c r="Q102">
        <v>7</v>
      </c>
      <c r="R102">
        <v>120</v>
      </c>
      <c r="S102">
        <v>20</v>
      </c>
      <c r="T102">
        <v>24</v>
      </c>
      <c r="U102">
        <v>1</v>
      </c>
      <c r="V102" t="s">
        <v>289</v>
      </c>
      <c r="W102">
        <v>3</v>
      </c>
      <c r="X102" s="2" t="s">
        <v>340</v>
      </c>
      <c r="Y102" s="2" t="s">
        <v>331</v>
      </c>
      <c r="Z102" s="2" t="s">
        <v>331</v>
      </c>
      <c r="AA102" s="2"/>
      <c r="AB102" s="2"/>
      <c r="AC102" s="2"/>
      <c r="AD102" s="2"/>
      <c r="AE102" s="2"/>
      <c r="AF102" s="2"/>
      <c r="AG102" s="2"/>
      <c r="AO102">
        <v>8</v>
      </c>
      <c r="AR102" s="2">
        <f>(SQRT(M102*T102)*POWER((MIN(O102,20)+SQRT(MAX(O102-20,0))),0.9)*Data!$B$1)*(1-(U102-1))</f>
        <v>30.867075721045236</v>
      </c>
      <c r="AS102" s="2"/>
      <c r="AT102" s="2">
        <f>((POWER((M102*M102*T102), 0.33)*LOG10(R102)*10*Data!$B$1)*U102)+AS102</f>
        <v>57.285213898505866</v>
      </c>
      <c r="AU102" s="2">
        <f t="shared" si="42"/>
        <v>38.70967741935484</v>
      </c>
      <c r="AV102" s="2">
        <f t="shared" si="48"/>
        <v>0</v>
      </c>
      <c r="AX102" s="2">
        <v>1</v>
      </c>
      <c r="AY102" s="2">
        <v>1</v>
      </c>
      <c r="AZ102" s="2">
        <f t="shared" si="43"/>
        <v>24</v>
      </c>
      <c r="BA102" s="2">
        <f t="shared" si="44"/>
        <v>24</v>
      </c>
      <c r="BB102" s="3"/>
      <c r="BC102" s="3"/>
      <c r="BD102" s="3"/>
      <c r="BE102" s="2" t="str">
        <f>CONCATENATE(
ROUND(BB102*VLOOKUP(K102,'ID Scheme'!$A$2:$E$7,3),0), "x",
ROUND(BC102*VLOOKUP(K102,'ID Scheme'!$A$2:$E$7,5),0), "x",
ROUND(BD102*VLOOKUP(K102,'ID Scheme'!$A$2:$E$7,4),0))</f>
        <v>0x0x0</v>
      </c>
    </row>
    <row r="103" spans="1:58" x14ac:dyDescent="0.3">
      <c r="A103" t="s">
        <v>20</v>
      </c>
      <c r="B103" t="s">
        <v>226</v>
      </c>
      <c r="C103" t="s">
        <v>327</v>
      </c>
      <c r="D103">
        <f>IF(G103 &gt; 2020, ((G103-2020)*4)+1610+I103,IF(G103 &gt; 1900, ((G103-1900)*10)+400+I103, ((G103-1730)*2)+I103))+VLOOKUP(K103,'ID Scheme'!$A$2:$B$7,2, FALSE)</f>
        <v>3642</v>
      </c>
      <c r="E103">
        <v>3642</v>
      </c>
      <c r="F103" t="s">
        <v>683</v>
      </c>
      <c r="G103">
        <v>1964</v>
      </c>
      <c r="H103">
        <v>1</v>
      </c>
      <c r="I103">
        <v>2</v>
      </c>
      <c r="J103" t="s">
        <v>522</v>
      </c>
      <c r="K103" t="s">
        <v>13</v>
      </c>
      <c r="L103" t="s">
        <v>501</v>
      </c>
      <c r="M103">
        <v>54</v>
      </c>
      <c r="N103">
        <v>20</v>
      </c>
      <c r="O103">
        <v>15</v>
      </c>
      <c r="P103">
        <v>5</v>
      </c>
      <c r="Q103">
        <v>7.5</v>
      </c>
      <c r="R103">
        <v>170</v>
      </c>
      <c r="S103">
        <v>20</v>
      </c>
      <c r="T103">
        <v>22</v>
      </c>
      <c r="U103">
        <v>1</v>
      </c>
      <c r="V103" t="s">
        <v>289</v>
      </c>
      <c r="W103">
        <v>3</v>
      </c>
      <c r="X103" s="2" t="s">
        <v>341</v>
      </c>
      <c r="Y103" s="2" t="s">
        <v>331</v>
      </c>
      <c r="Z103" s="2"/>
      <c r="AA103" s="2"/>
      <c r="AB103" s="2"/>
      <c r="AC103" s="2"/>
      <c r="AD103" s="2"/>
      <c r="AE103" s="2"/>
      <c r="AF103" s="2"/>
      <c r="AG103" s="2"/>
      <c r="AO103">
        <v>8</v>
      </c>
      <c r="AR103" s="2">
        <f>(SQRT(M103*T103)*POWER((MIN(O103,20)+SQRT(MAX(O103-20,0))),0.9)*Data!$B$1)*(1-(U103-1))</f>
        <v>29.576829437221864</v>
      </c>
      <c r="AS103" s="2"/>
      <c r="AT103" s="2">
        <f>((POWER((M103*M103*T103), 0.33)*LOG10(R103)*10*Data!$B$1)*U103)+AS103</f>
        <v>64.540587091557995</v>
      </c>
      <c r="AU103" s="2">
        <f t="shared" si="42"/>
        <v>43.548387096774192</v>
      </c>
      <c r="AV103" s="2">
        <f t="shared" si="48"/>
        <v>0</v>
      </c>
      <c r="AX103" s="2">
        <v>1</v>
      </c>
      <c r="AY103" s="2">
        <v>1</v>
      </c>
      <c r="AZ103" s="2">
        <f t="shared" si="43"/>
        <v>22</v>
      </c>
      <c r="BA103" s="2">
        <f t="shared" si="44"/>
        <v>22</v>
      </c>
      <c r="BB103" s="3"/>
      <c r="BC103" s="3"/>
      <c r="BD103" s="3"/>
      <c r="BE103" s="2" t="str">
        <f>CONCATENATE(
ROUND(BB103*VLOOKUP(K103,'ID Scheme'!$A$2:$E$7,3),0), "x",
ROUND(BC103*VLOOKUP(K103,'ID Scheme'!$A$2:$E$7,5),0), "x",
ROUND(BD103*VLOOKUP(K103,'ID Scheme'!$A$2:$E$7,4),0))</f>
        <v>0x0x0</v>
      </c>
      <c r="BF103" t="s">
        <v>21</v>
      </c>
    </row>
    <row r="104" spans="1:58" x14ac:dyDescent="0.3">
      <c r="A104" t="s">
        <v>75</v>
      </c>
      <c r="B104" t="s">
        <v>224</v>
      </c>
      <c r="C104" t="s">
        <v>327</v>
      </c>
      <c r="D104">
        <f>IF(G104 &gt; 2020, ((G104-2020)*4)+1610+I104,IF(G104 &gt; 1900, ((G104-1900)*10)+400+I104, ((G104-1730)*2)+I104))+VLOOKUP(K104,'ID Scheme'!$A$2:$B$7,2, FALSE)</f>
        <v>3652</v>
      </c>
      <c r="E104">
        <v>3652</v>
      </c>
      <c r="F104" t="s">
        <v>683</v>
      </c>
      <c r="G104">
        <v>1965</v>
      </c>
      <c r="H104">
        <v>1</v>
      </c>
      <c r="I104">
        <v>2</v>
      </c>
      <c r="J104" t="s">
        <v>522</v>
      </c>
      <c r="K104" t="s">
        <v>13</v>
      </c>
      <c r="L104" t="s">
        <v>501</v>
      </c>
      <c r="M104">
        <v>60</v>
      </c>
      <c r="N104">
        <v>20</v>
      </c>
      <c r="O104">
        <v>17</v>
      </c>
      <c r="P104">
        <v>5</v>
      </c>
      <c r="Q104">
        <v>3</v>
      </c>
      <c r="R104">
        <v>82</v>
      </c>
      <c r="S104">
        <v>20</v>
      </c>
      <c r="T104">
        <v>16</v>
      </c>
      <c r="U104">
        <v>1</v>
      </c>
      <c r="V104" t="s">
        <v>289</v>
      </c>
      <c r="W104">
        <v>0</v>
      </c>
      <c r="X104" s="2" t="s">
        <v>328</v>
      </c>
      <c r="Y104" s="2" t="s">
        <v>331</v>
      </c>
      <c r="Z104" s="2"/>
      <c r="AA104" s="2"/>
      <c r="AB104" s="2"/>
      <c r="AC104" s="2"/>
      <c r="AD104" s="2"/>
      <c r="AE104" s="2"/>
      <c r="AF104" s="2"/>
      <c r="AG104" s="2"/>
      <c r="AH104">
        <v>56</v>
      </c>
      <c r="AO104">
        <v>6</v>
      </c>
      <c r="AR104" s="2">
        <f>(SQRT(M104*T104)*POWER((MIN(O104,20)+SQRT(MAX(O104-20,0))),0.9)*Data!$B$1)*(1-(U104-1))</f>
        <v>29.757806068644722</v>
      </c>
      <c r="AS104" s="2"/>
      <c r="AT104" s="2">
        <f>((POWER((M104*M104*T104), 0.33)*LOG10(R104)*10*Data!$B$1)*U104)+AS104</f>
        <v>53.444174907561425</v>
      </c>
      <c r="AU104" s="2">
        <f t="shared" si="42"/>
        <v>48.387096774193552</v>
      </c>
      <c r="AV104" s="2">
        <f t="shared" si="48"/>
        <v>45.161290322580648</v>
      </c>
      <c r="AX104" s="2">
        <v>1</v>
      </c>
      <c r="AY104" s="2">
        <v>1</v>
      </c>
      <c r="AZ104" s="2">
        <f t="shared" si="43"/>
        <v>16</v>
      </c>
      <c r="BA104" s="2">
        <f t="shared" si="44"/>
        <v>16</v>
      </c>
      <c r="BB104" s="3">
        <v>6.2</v>
      </c>
      <c r="BC104" s="3">
        <v>2.2000000000000002</v>
      </c>
      <c r="BD104" s="3">
        <v>2.6</v>
      </c>
      <c r="BE104" s="2" t="str">
        <f>CONCATENATE(
ROUND(BB104*VLOOKUP(K104,'ID Scheme'!$A$2:$E$7,3),0), "x",
ROUND(BC104*VLOOKUP(K104,'ID Scheme'!$A$2:$E$7,5),0), "x",
ROUND(BD104*VLOOKUP(K104,'ID Scheme'!$A$2:$E$7,4),0))</f>
        <v>58x32x25</v>
      </c>
      <c r="BF104" t="s">
        <v>80</v>
      </c>
    </row>
    <row r="105" spans="1:58" x14ac:dyDescent="0.3">
      <c r="A105" t="s">
        <v>83</v>
      </c>
      <c r="B105" t="s">
        <v>216</v>
      </c>
      <c r="C105" t="s">
        <v>327</v>
      </c>
      <c r="D105">
        <f>IF(G105 &gt; 2020, ((G105-2020)*4)+1610+I105,IF(G105 &gt; 1900, ((G105-1900)*10)+400+I105, ((G105-1730)*2)+I105))+VLOOKUP(K105,'ID Scheme'!$A$2:$B$7,2, FALSE)</f>
        <v>3671</v>
      </c>
      <c r="E105">
        <v>3671</v>
      </c>
      <c r="F105" t="s">
        <v>683</v>
      </c>
      <c r="G105">
        <v>1967</v>
      </c>
      <c r="H105">
        <v>1</v>
      </c>
      <c r="I105">
        <v>1</v>
      </c>
      <c r="J105" t="s">
        <v>522</v>
      </c>
      <c r="K105" t="s">
        <v>13</v>
      </c>
      <c r="L105" t="s">
        <v>501</v>
      </c>
      <c r="M105">
        <v>56</v>
      </c>
      <c r="N105">
        <v>15</v>
      </c>
      <c r="O105">
        <v>22</v>
      </c>
      <c r="P105">
        <v>5</v>
      </c>
      <c r="Q105">
        <v>5</v>
      </c>
      <c r="R105">
        <v>170</v>
      </c>
      <c r="S105">
        <v>20</v>
      </c>
      <c r="T105">
        <v>22</v>
      </c>
      <c r="U105">
        <v>1</v>
      </c>
      <c r="V105" t="s">
        <v>289</v>
      </c>
      <c r="W105">
        <v>3</v>
      </c>
      <c r="X105" s="2" t="s">
        <v>344</v>
      </c>
      <c r="Y105" s="2" t="s">
        <v>331</v>
      </c>
      <c r="Z105" s="2" t="s">
        <v>331</v>
      </c>
      <c r="AA105" s="2"/>
      <c r="AB105" s="2"/>
      <c r="AC105" s="2"/>
      <c r="AD105" s="2"/>
      <c r="AE105" s="2"/>
      <c r="AF105" s="2"/>
      <c r="AG105" s="2"/>
      <c r="AO105">
        <v>8</v>
      </c>
      <c r="AR105" s="2">
        <f>(SQRT(M105*T105)*POWER((MIN(O105,20)+SQRT(MAX(O105-20,0))),0.9)*Data!$B$1)*(1-(U105-1))</f>
        <v>41.495264182549853</v>
      </c>
      <c r="AS105" s="2"/>
      <c r="AT105" s="2">
        <f>((POWER((M105*M105*T105), 0.33)*LOG10(R105)*10*Data!$B$1)*U105)+AS105</f>
        <v>66.108473335639829</v>
      </c>
      <c r="AU105" s="2">
        <f t="shared" si="42"/>
        <v>45.161290322580648</v>
      </c>
      <c r="AV105" s="2">
        <f t="shared" si="48"/>
        <v>0</v>
      </c>
      <c r="AX105" s="2">
        <v>1</v>
      </c>
      <c r="AY105" s="2">
        <v>1</v>
      </c>
      <c r="AZ105" s="2">
        <f t="shared" si="43"/>
        <v>22</v>
      </c>
      <c r="BA105" s="2">
        <f t="shared" si="44"/>
        <v>22</v>
      </c>
      <c r="BB105" s="3">
        <v>8.5</v>
      </c>
      <c r="BC105" s="3">
        <v>2.5</v>
      </c>
      <c r="BD105" s="3">
        <v>2.8</v>
      </c>
      <c r="BE105" s="2" t="str">
        <f>CONCATENATE(
ROUND(BB105*VLOOKUP(K105,'ID Scheme'!$A$2:$E$7,3),0), "x",
ROUND(BC105*VLOOKUP(K105,'ID Scheme'!$A$2:$E$7,5),0), "x",
ROUND(BD105*VLOOKUP(K105,'ID Scheme'!$A$2:$E$7,4),0))</f>
        <v>79x36x27</v>
      </c>
      <c r="BF105" t="s">
        <v>21</v>
      </c>
    </row>
    <row r="106" spans="1:58" x14ac:dyDescent="0.3">
      <c r="A106" t="s">
        <v>613</v>
      </c>
      <c r="B106" t="s">
        <v>612</v>
      </c>
      <c r="C106" t="s">
        <v>327</v>
      </c>
      <c r="D106">
        <f>IF(G106 &gt; 2020, ((G106-2020)*4)+1610+I106,IF(G106 &gt; 1900, ((G106-1900)*10)+400+I106, ((G106-1730)*2)+I106))+VLOOKUP(K106,'ID Scheme'!$A$2:$B$7,2, FALSE)</f>
        <v>3701</v>
      </c>
      <c r="E106">
        <v>3701</v>
      </c>
      <c r="F106" t="s">
        <v>683</v>
      </c>
      <c r="G106">
        <v>1970</v>
      </c>
      <c r="H106">
        <v>1</v>
      </c>
      <c r="I106">
        <v>1</v>
      </c>
      <c r="J106" t="s">
        <v>522</v>
      </c>
      <c r="K106" t="s">
        <v>13</v>
      </c>
      <c r="L106" t="s">
        <v>501</v>
      </c>
      <c r="M106">
        <v>55</v>
      </c>
      <c r="N106">
        <v>21</v>
      </c>
      <c r="O106">
        <v>19</v>
      </c>
      <c r="P106">
        <v>5</v>
      </c>
      <c r="Q106">
        <v>8</v>
      </c>
      <c r="R106">
        <v>220</v>
      </c>
      <c r="S106">
        <v>20</v>
      </c>
      <c r="T106">
        <v>26</v>
      </c>
      <c r="U106">
        <v>1</v>
      </c>
      <c r="V106" t="s">
        <v>289</v>
      </c>
      <c r="W106">
        <v>3</v>
      </c>
      <c r="X106" s="2" t="s">
        <v>614</v>
      </c>
      <c r="Y106" s="2" t="s">
        <v>331</v>
      </c>
      <c r="Z106" s="2" t="s">
        <v>331</v>
      </c>
      <c r="AA106" s="2"/>
      <c r="AB106" s="2"/>
      <c r="AC106" s="2"/>
      <c r="AD106" s="2"/>
      <c r="AE106" s="2"/>
      <c r="AF106" s="2"/>
      <c r="AG106" s="2"/>
      <c r="AO106">
        <v>8</v>
      </c>
      <c r="AR106" s="2">
        <f>(SQRT(M106*T106)*POWER((MIN(O106,20)+SQRT(MAX(O106-20,0))),0.9)*Data!$B$1)*(1-(U106-1))</f>
        <v>40.14278718004045</v>
      </c>
      <c r="AS106" s="2"/>
      <c r="AT106" s="2">
        <f>((POWER((M106*M106*T106), 0.33)*LOG10(R106)*10*Data!$B$1)*U106)+AS106</f>
        <v>72.494842022665296</v>
      </c>
      <c r="AU106" s="2">
        <f t="shared" si="42"/>
        <v>44.354838709677416</v>
      </c>
      <c r="AV106" s="2">
        <f t="shared" si="48"/>
        <v>0</v>
      </c>
      <c r="AX106" s="2">
        <v>1</v>
      </c>
      <c r="AY106" s="2">
        <v>1</v>
      </c>
      <c r="AZ106" s="2">
        <f t="shared" si="43"/>
        <v>26</v>
      </c>
      <c r="BA106" s="2">
        <f t="shared" si="44"/>
        <v>26</v>
      </c>
      <c r="BB106" s="3"/>
      <c r="BC106" s="3"/>
      <c r="BD106" s="3"/>
      <c r="BE106" s="2" t="str">
        <f>CONCATENATE(
ROUND(BB106*VLOOKUP(K106,'ID Scheme'!$A$2:$E$7,3),0), "x",
ROUND(BC106*VLOOKUP(K106,'ID Scheme'!$A$2:$E$7,5),0), "x",
ROUND(BD106*VLOOKUP(K106,'ID Scheme'!$A$2:$E$7,4),0))</f>
        <v>0x0x0</v>
      </c>
    </row>
    <row r="107" spans="1:58" x14ac:dyDescent="0.3">
      <c r="A107" t="s">
        <v>607</v>
      </c>
      <c r="B107" t="s">
        <v>608</v>
      </c>
      <c r="C107" t="s">
        <v>327</v>
      </c>
      <c r="D107">
        <f>IF(G107 &gt; 2020, ((G107-2020)*4)+1610+I107,IF(G107 &gt; 1900, ((G107-1900)*10)+400+I107, ((G107-1730)*2)+I107))+VLOOKUP(K107,'ID Scheme'!$A$2:$B$7,2, FALSE)</f>
        <v>3751</v>
      </c>
      <c r="E107">
        <v>3751</v>
      </c>
      <c r="F107" t="s">
        <v>683</v>
      </c>
      <c r="G107">
        <v>1975</v>
      </c>
      <c r="H107">
        <v>1</v>
      </c>
      <c r="I107">
        <v>1</v>
      </c>
      <c r="J107" t="s">
        <v>522</v>
      </c>
      <c r="K107" t="s">
        <v>13</v>
      </c>
      <c r="L107" t="s">
        <v>501</v>
      </c>
      <c r="M107">
        <v>58</v>
      </c>
      <c r="N107">
        <v>22</v>
      </c>
      <c r="O107">
        <v>17</v>
      </c>
      <c r="P107">
        <v>5</v>
      </c>
      <c r="Q107">
        <v>8</v>
      </c>
      <c r="R107">
        <v>240</v>
      </c>
      <c r="S107">
        <v>20</v>
      </c>
      <c r="T107">
        <v>26</v>
      </c>
      <c r="U107">
        <v>1</v>
      </c>
      <c r="V107" t="s">
        <v>289</v>
      </c>
      <c r="W107">
        <v>3</v>
      </c>
      <c r="X107" s="2" t="s">
        <v>609</v>
      </c>
      <c r="Y107" s="2" t="s">
        <v>331</v>
      </c>
      <c r="Z107" s="2" t="s">
        <v>331</v>
      </c>
      <c r="AA107" s="2"/>
      <c r="AB107" s="2"/>
      <c r="AC107" s="2"/>
      <c r="AD107" s="2"/>
      <c r="AE107" s="2"/>
      <c r="AF107" s="2"/>
      <c r="AG107" s="2"/>
      <c r="AO107">
        <v>8</v>
      </c>
      <c r="AR107" s="2">
        <f>(SQRT(M107*T107)*POWER((MIN(O107,20)+SQRT(MAX(O107-20,0))),0.9)*Data!$B$1)*(1-(U107-1))</f>
        <v>37.296318367299385</v>
      </c>
      <c r="AS107" s="2"/>
      <c r="AT107" s="2">
        <f>((POWER((M107*M107*T107), 0.33)*LOG10(R107)*10*Data!$B$1)*U107)+AS107</f>
        <v>76.292254000000923</v>
      </c>
      <c r="AU107" s="2">
        <f t="shared" ref="AU107" si="55">M107/1.24</f>
        <v>46.774193548387096</v>
      </c>
      <c r="AV107" s="2">
        <f t="shared" ref="AV107" si="56">AH107/1.24</f>
        <v>0</v>
      </c>
      <c r="AX107" s="2">
        <v>1</v>
      </c>
      <c r="AY107" s="2">
        <v>1</v>
      </c>
      <c r="AZ107" s="2">
        <f t="shared" ref="AZ107" si="57">T107/AY107</f>
        <v>26</v>
      </c>
      <c r="BA107" s="2">
        <f t="shared" ref="BA107" si="58">(T107)/MAX(AX107-1, 1)</f>
        <v>26</v>
      </c>
      <c r="BB107" s="3"/>
      <c r="BC107" s="3"/>
      <c r="BD107" s="3"/>
      <c r="BE107" s="2" t="str">
        <f>CONCATENATE(
ROUND(BB107*VLOOKUP(K107,'ID Scheme'!$A$2:$E$7,3),0), "x",
ROUND(BC107*VLOOKUP(K107,'ID Scheme'!$A$2:$E$7,5),0), "x",
ROUND(BD107*VLOOKUP(K107,'ID Scheme'!$A$2:$E$7,4),0))</f>
        <v>0x0x0</v>
      </c>
    </row>
    <row r="108" spans="1:58" x14ac:dyDescent="0.3">
      <c r="A108" t="s">
        <v>73</v>
      </c>
      <c r="B108" t="s">
        <v>200</v>
      </c>
      <c r="C108" t="s">
        <v>327</v>
      </c>
      <c r="D108">
        <f>IF(G108 &gt; 2020, ((G108-2020)*4)+1610+I108,IF(G108 &gt; 1900, ((G108-1900)*10)+400+I108, ((G108-1730)*2)+I108))+VLOOKUP(K108,'ID Scheme'!$A$2:$B$7,2, FALSE)</f>
        <v>3811</v>
      </c>
      <c r="E108">
        <v>3811</v>
      </c>
      <c r="F108" t="s">
        <v>683</v>
      </c>
      <c r="G108">
        <v>1981</v>
      </c>
      <c r="H108">
        <v>1</v>
      </c>
      <c r="I108">
        <v>1</v>
      </c>
      <c r="J108" t="s">
        <v>522</v>
      </c>
      <c r="K108" t="s">
        <v>13</v>
      </c>
      <c r="L108" t="s">
        <v>501</v>
      </c>
      <c r="M108">
        <v>68</v>
      </c>
      <c r="N108">
        <v>16</v>
      </c>
      <c r="O108">
        <v>18</v>
      </c>
      <c r="P108">
        <v>5</v>
      </c>
      <c r="Q108">
        <v>3</v>
      </c>
      <c r="R108">
        <v>90</v>
      </c>
      <c r="S108">
        <v>20</v>
      </c>
      <c r="T108">
        <v>18</v>
      </c>
      <c r="U108">
        <v>1</v>
      </c>
      <c r="V108" t="s">
        <v>289</v>
      </c>
      <c r="W108">
        <v>0</v>
      </c>
      <c r="X108" s="2" t="s">
        <v>477</v>
      </c>
      <c r="Y108" s="2" t="s">
        <v>331</v>
      </c>
      <c r="Z108" s="2" t="s">
        <v>331</v>
      </c>
      <c r="AA108" s="2"/>
      <c r="AB108" s="2"/>
      <c r="AC108" s="2"/>
      <c r="AD108" s="2"/>
      <c r="AE108" s="2"/>
      <c r="AF108" s="2"/>
      <c r="AG108" s="2"/>
      <c r="AH108">
        <v>56</v>
      </c>
      <c r="AO108">
        <v>6</v>
      </c>
      <c r="AR108" s="2">
        <f>(SQRT(M108*T108)*POWER((MIN(O108,20)+SQRT(MAX(O108-20,0))),0.9)*Data!$B$1)*(1-(U108-1))</f>
        <v>35.375063400315305</v>
      </c>
      <c r="AS108" s="2"/>
      <c r="AT108" s="2">
        <f>((POWER((M108*M108*T108), 0.33)*LOG10(R108)*10*Data!$B$1)*U108)+AS108</f>
        <v>61.621962939651276</v>
      </c>
      <c r="AU108" s="2">
        <f t="shared" si="42"/>
        <v>54.838709677419352</v>
      </c>
      <c r="AV108" s="2">
        <f t="shared" si="48"/>
        <v>45.161290322580648</v>
      </c>
      <c r="AX108" s="2">
        <v>1</v>
      </c>
      <c r="AY108" s="2">
        <v>1</v>
      </c>
      <c r="AZ108" s="2">
        <f t="shared" si="43"/>
        <v>18</v>
      </c>
      <c r="BA108" s="2">
        <f t="shared" si="44"/>
        <v>18</v>
      </c>
      <c r="BB108" s="3">
        <v>6.2</v>
      </c>
      <c r="BC108" s="3">
        <v>2.2000000000000002</v>
      </c>
      <c r="BD108" s="3">
        <v>2.6</v>
      </c>
      <c r="BE108" s="2" t="str">
        <f>CONCATENATE(
ROUND(BB108*VLOOKUP(K108,'ID Scheme'!$A$2:$E$7,3),0), "x",
ROUND(BC108*VLOOKUP(K108,'ID Scheme'!$A$2:$E$7,5),0), "x",
ROUND(BD108*VLOOKUP(K108,'ID Scheme'!$A$2:$E$7,4),0))</f>
        <v>58x32x25</v>
      </c>
      <c r="BF108" t="s">
        <v>79</v>
      </c>
    </row>
    <row r="109" spans="1:58" x14ac:dyDescent="0.3">
      <c r="A109" t="s">
        <v>30</v>
      </c>
      <c r="B109" t="s">
        <v>194</v>
      </c>
      <c r="C109" t="s">
        <v>327</v>
      </c>
      <c r="D109">
        <f>IF(G109 &gt; 2020, ((G109-2020)*4)+1610+I109,IF(G109 &gt; 1900, ((G109-1900)*10)+400+I109, ((G109-1730)*2)+I109))+VLOOKUP(K109,'ID Scheme'!$A$2:$B$7,2, FALSE)</f>
        <v>3821</v>
      </c>
      <c r="E109">
        <v>3821</v>
      </c>
      <c r="F109" t="s">
        <v>683</v>
      </c>
      <c r="G109">
        <v>1982</v>
      </c>
      <c r="H109">
        <v>1</v>
      </c>
      <c r="I109">
        <v>1</v>
      </c>
      <c r="J109" t="s">
        <v>522</v>
      </c>
      <c r="K109" t="s">
        <v>13</v>
      </c>
      <c r="L109" t="s">
        <v>501</v>
      </c>
      <c r="M109">
        <v>60</v>
      </c>
      <c r="N109">
        <v>20</v>
      </c>
      <c r="O109">
        <v>20</v>
      </c>
      <c r="P109">
        <v>5</v>
      </c>
      <c r="Q109">
        <v>9</v>
      </c>
      <c r="R109">
        <v>315</v>
      </c>
      <c r="S109">
        <v>20</v>
      </c>
      <c r="T109">
        <v>28</v>
      </c>
      <c r="U109">
        <v>1</v>
      </c>
      <c r="V109" t="s">
        <v>299</v>
      </c>
      <c r="W109">
        <v>3</v>
      </c>
      <c r="X109" s="2" t="s">
        <v>472</v>
      </c>
      <c r="Y109" s="2" t="s">
        <v>331</v>
      </c>
      <c r="Z109" s="2" t="s">
        <v>331</v>
      </c>
      <c r="AA109" s="2"/>
      <c r="AB109" s="2"/>
      <c r="AC109" s="2"/>
      <c r="AD109" s="2"/>
      <c r="AE109" s="2"/>
      <c r="AF109" s="2"/>
      <c r="AG109" s="2"/>
      <c r="AH109">
        <v>56</v>
      </c>
      <c r="AO109">
        <v>8</v>
      </c>
      <c r="AR109" s="2">
        <f>(SQRT(M109*T109)*POWER((MIN(O109,20)+SQRT(MAX(O109-20,0))),0.9)*Data!$B$1)*(1-(U109-1))</f>
        <v>45.566209265732887</v>
      </c>
      <c r="AS109" s="2"/>
      <c r="AT109" s="2">
        <f>((POWER((M109*M109*T109), 0.33)*LOG10(R109)*10*Data!$B$1)*U109)+AS109</f>
        <v>83.916944346608517</v>
      </c>
      <c r="AU109" s="2">
        <f t="shared" si="42"/>
        <v>48.387096774193552</v>
      </c>
      <c r="AV109" s="2">
        <f t="shared" si="48"/>
        <v>45.161290322580648</v>
      </c>
      <c r="AX109" s="2">
        <v>1</v>
      </c>
      <c r="AY109" s="2">
        <v>1</v>
      </c>
      <c r="AZ109" s="2">
        <f t="shared" si="43"/>
        <v>28</v>
      </c>
      <c r="BA109" s="2">
        <f t="shared" si="44"/>
        <v>28</v>
      </c>
      <c r="BB109" s="3"/>
      <c r="BC109" s="3"/>
      <c r="BD109" s="3"/>
      <c r="BE109" s="2" t="str">
        <f>CONCATENATE(
ROUND(BB109*VLOOKUP(K109,'ID Scheme'!$A$2:$E$7,3),0), "x",
ROUND(BC109*VLOOKUP(K109,'ID Scheme'!$A$2:$E$7,5),0), "x",
ROUND(BD109*VLOOKUP(K109,'ID Scheme'!$A$2:$E$7,4),0))</f>
        <v>0x0x0</v>
      </c>
    </row>
    <row r="110" spans="1:58" x14ac:dyDescent="0.3">
      <c r="A110" t="s">
        <v>88</v>
      </c>
      <c r="B110" t="s">
        <v>212</v>
      </c>
      <c r="C110" t="s">
        <v>327</v>
      </c>
      <c r="D110">
        <f>IF(G110 &gt; 2020, ((G110-2020)*4)+1610+I110,IF(G110 &gt; 1900, ((G110-1900)*10)+400+I110, ((G110-1730)*2)+I110))+VLOOKUP(K110,'ID Scheme'!$A$2:$B$7,2, FALSE)</f>
        <v>3831</v>
      </c>
      <c r="E110">
        <v>3831</v>
      </c>
      <c r="F110" t="s">
        <v>683</v>
      </c>
      <c r="G110">
        <v>1983</v>
      </c>
      <c r="H110">
        <v>1</v>
      </c>
      <c r="I110">
        <v>1</v>
      </c>
      <c r="J110" t="s">
        <v>522</v>
      </c>
      <c r="K110" t="s">
        <v>13</v>
      </c>
      <c r="L110" t="s">
        <v>501</v>
      </c>
      <c r="M110">
        <v>64</v>
      </c>
      <c r="N110">
        <v>18</v>
      </c>
      <c r="O110">
        <v>19</v>
      </c>
      <c r="P110">
        <v>5</v>
      </c>
      <c r="Q110">
        <v>9</v>
      </c>
      <c r="R110">
        <v>136</v>
      </c>
      <c r="S110">
        <v>20</v>
      </c>
      <c r="T110">
        <v>22</v>
      </c>
      <c r="U110">
        <v>1</v>
      </c>
      <c r="V110" t="s">
        <v>289</v>
      </c>
      <c r="W110">
        <v>0</v>
      </c>
      <c r="X110" s="2" t="s">
        <v>471</v>
      </c>
      <c r="Y110" s="2" t="s">
        <v>331</v>
      </c>
      <c r="Z110" s="2" t="s">
        <v>331</v>
      </c>
      <c r="AA110" s="2"/>
      <c r="AB110" s="2"/>
      <c r="AC110" s="2"/>
      <c r="AD110" s="2"/>
      <c r="AE110" s="2"/>
      <c r="AF110" s="2"/>
      <c r="AG110" s="2"/>
      <c r="AH110">
        <v>56</v>
      </c>
      <c r="AO110">
        <v>7</v>
      </c>
      <c r="AR110" s="2">
        <f>(SQRT(M110*T110)*POWER((MIN(O110,20)+SQRT(MAX(O110-20,0))),0.9)*Data!$B$1)*(1-(U110-1))</f>
        <v>39.832799628379171</v>
      </c>
      <c r="AS110" s="2"/>
      <c r="AT110" s="2">
        <f>((POWER((M110*M110*T110), 0.33)*LOG10(R110)*10*Data!$B$1)*U110)+AS110</f>
        <v>69.06215060093264</v>
      </c>
      <c r="AU110" s="2">
        <f t="shared" si="42"/>
        <v>51.612903225806456</v>
      </c>
      <c r="AV110" s="2">
        <f t="shared" si="48"/>
        <v>45.161290322580648</v>
      </c>
      <c r="AX110" s="2">
        <v>1</v>
      </c>
      <c r="AY110" s="2">
        <v>1</v>
      </c>
      <c r="AZ110" s="2">
        <f t="shared" si="43"/>
        <v>22</v>
      </c>
      <c r="BA110" s="2">
        <f t="shared" si="44"/>
        <v>22</v>
      </c>
      <c r="BB110" s="3">
        <v>7.7</v>
      </c>
      <c r="BC110" s="3">
        <v>2.2000000000000002</v>
      </c>
      <c r="BD110" s="3">
        <v>2.6</v>
      </c>
      <c r="BE110" s="2" t="str">
        <f>CONCATENATE(
ROUND(BB110*VLOOKUP(K110,'ID Scheme'!$A$2:$E$7,3),0), "x",
ROUND(BC110*VLOOKUP(K110,'ID Scheme'!$A$2:$E$7,5),0), "x",
ROUND(BD110*VLOOKUP(K110,'ID Scheme'!$A$2:$E$7,4),0))</f>
        <v>72x32x25</v>
      </c>
      <c r="BF110" t="s">
        <v>89</v>
      </c>
    </row>
    <row r="111" spans="1:58" ht="14.25" customHeight="1" x14ac:dyDescent="0.3">
      <c r="A111" t="s">
        <v>31</v>
      </c>
      <c r="B111" t="s">
        <v>195</v>
      </c>
      <c r="C111" t="s">
        <v>327</v>
      </c>
      <c r="D111">
        <f>IF(G111 &gt; 2020, ((G111-2020)*4)+1610+I111,IF(G111 &gt; 1900, ((G111-1900)*10)+400+I111, ((G111-1730)*2)+I111))+VLOOKUP(K111,'ID Scheme'!$A$2:$B$7,2, FALSE)</f>
        <v>3861</v>
      </c>
      <c r="E111">
        <v>3861</v>
      </c>
      <c r="F111" t="s">
        <v>683</v>
      </c>
      <c r="G111">
        <v>1986</v>
      </c>
      <c r="H111">
        <v>1</v>
      </c>
      <c r="I111">
        <v>1</v>
      </c>
      <c r="J111" t="s">
        <v>522</v>
      </c>
      <c r="K111" t="s">
        <v>13</v>
      </c>
      <c r="L111" t="s">
        <v>501</v>
      </c>
      <c r="M111">
        <v>62</v>
      </c>
      <c r="N111">
        <v>20</v>
      </c>
      <c r="O111">
        <v>20</v>
      </c>
      <c r="P111">
        <v>5</v>
      </c>
      <c r="Q111">
        <v>9</v>
      </c>
      <c r="R111">
        <v>315</v>
      </c>
      <c r="S111">
        <v>20</v>
      </c>
      <c r="T111">
        <v>30</v>
      </c>
      <c r="U111">
        <v>1</v>
      </c>
      <c r="V111" t="s">
        <v>299</v>
      </c>
      <c r="W111">
        <v>3</v>
      </c>
      <c r="X111" s="2" t="s">
        <v>470</v>
      </c>
      <c r="Y111" s="2" t="s">
        <v>331</v>
      </c>
      <c r="Z111" s="2" t="s">
        <v>331</v>
      </c>
      <c r="AA111" s="2"/>
      <c r="AB111" s="2"/>
      <c r="AC111" s="2"/>
      <c r="AD111" s="2"/>
      <c r="AE111" s="2"/>
      <c r="AF111" s="2"/>
      <c r="AG111" s="2"/>
      <c r="AH111">
        <v>56</v>
      </c>
      <c r="AO111">
        <v>8</v>
      </c>
      <c r="AR111" s="2">
        <f>(SQRT(M111*T111)*POWER((MIN(O111,20)+SQRT(MAX(O111-20,0))),0.9)*Data!$B$1)*(1-(U111-1))</f>
        <v>47.945155509895372</v>
      </c>
      <c r="AS111" s="2"/>
      <c r="AT111" s="2">
        <f>((POWER((M111*M111*T111), 0.33)*LOG10(R111)*10*Data!$B$1)*U111)+AS111</f>
        <v>87.727593286354292</v>
      </c>
      <c r="AU111" s="2">
        <f t="shared" si="42"/>
        <v>50</v>
      </c>
      <c r="AV111" s="2">
        <f t="shared" si="48"/>
        <v>45.161290322580648</v>
      </c>
      <c r="AX111" s="2">
        <v>1</v>
      </c>
      <c r="AY111" s="2">
        <v>1</v>
      </c>
      <c r="AZ111" s="2">
        <f t="shared" si="43"/>
        <v>30</v>
      </c>
      <c r="BA111" s="2">
        <f t="shared" si="44"/>
        <v>30</v>
      </c>
      <c r="BB111" s="3"/>
      <c r="BC111" s="3"/>
      <c r="BD111" s="3"/>
      <c r="BE111" s="2" t="str">
        <f>CONCATENATE(
ROUND(BB111*VLOOKUP(K111,'ID Scheme'!$A$2:$E$7,3),0), "x",
ROUND(BC111*VLOOKUP(K111,'ID Scheme'!$A$2:$E$7,5),0), "x",
ROUND(BD111*VLOOKUP(K111,'ID Scheme'!$A$2:$E$7,4),0))</f>
        <v>0x0x0</v>
      </c>
    </row>
    <row r="112" spans="1:58" x14ac:dyDescent="0.3">
      <c r="A112" t="s">
        <v>76</v>
      </c>
      <c r="B112" t="s">
        <v>204</v>
      </c>
      <c r="C112" t="s">
        <v>327</v>
      </c>
      <c r="D112">
        <f>IF(G112 &gt; 2020, ((G112-2020)*4)+1610+I112,IF(G112 &gt; 1900, ((G112-1900)*10)+400+I112, ((G112-1730)*2)+I112))+VLOOKUP(K112,'ID Scheme'!$A$2:$B$7,2, FALSE)</f>
        <v>3931</v>
      </c>
      <c r="E112">
        <v>3931</v>
      </c>
      <c r="F112" t="s">
        <v>683</v>
      </c>
      <c r="G112">
        <v>1993</v>
      </c>
      <c r="H112">
        <v>1</v>
      </c>
      <c r="I112">
        <v>1</v>
      </c>
      <c r="J112" t="s">
        <v>522</v>
      </c>
      <c r="K112" t="s">
        <v>13</v>
      </c>
      <c r="L112" t="s">
        <v>501</v>
      </c>
      <c r="M112">
        <v>72</v>
      </c>
      <c r="N112">
        <v>-1</v>
      </c>
      <c r="O112">
        <v>18</v>
      </c>
      <c r="P112">
        <v>5</v>
      </c>
      <c r="Q112">
        <v>3</v>
      </c>
      <c r="R112">
        <v>105</v>
      </c>
      <c r="S112">
        <v>20</v>
      </c>
      <c r="T112">
        <v>18</v>
      </c>
      <c r="U112">
        <v>1</v>
      </c>
      <c r="V112" t="s">
        <v>289</v>
      </c>
      <c r="W112">
        <v>0</v>
      </c>
      <c r="X112" s="2" t="s">
        <v>469</v>
      </c>
      <c r="Y112" s="2" t="s">
        <v>331</v>
      </c>
      <c r="Z112" s="2" t="s">
        <v>331</v>
      </c>
      <c r="AA112" s="2"/>
      <c r="AB112" s="2"/>
      <c r="AC112" s="2"/>
      <c r="AD112" s="2"/>
      <c r="AE112" s="2"/>
      <c r="AF112" s="2"/>
      <c r="AG112" s="2"/>
      <c r="AH112">
        <v>56</v>
      </c>
      <c r="AO112">
        <v>7</v>
      </c>
      <c r="AR112" s="2">
        <f>(SQRT(M112*T112)*POWER((MIN(O112,20)+SQRT(MAX(O112-20,0))),0.9)*Data!$B$1)*(1-(U112-1))</f>
        <v>36.400639934883735</v>
      </c>
      <c r="AS112" s="2"/>
      <c r="AT112" s="2">
        <f>((POWER((M112*M112*T112), 0.33)*LOG10(R112)*10*Data!$B$1)*U112)+AS112</f>
        <v>66.183179614250491</v>
      </c>
      <c r="AU112" s="2">
        <f t="shared" si="42"/>
        <v>58.064516129032256</v>
      </c>
      <c r="AV112" s="2">
        <f t="shared" si="48"/>
        <v>45.161290322580648</v>
      </c>
      <c r="AX112" s="2">
        <v>1</v>
      </c>
      <c r="AY112" s="2">
        <v>1</v>
      </c>
      <c r="AZ112" s="2">
        <f t="shared" si="43"/>
        <v>18</v>
      </c>
      <c r="BA112" s="2">
        <f t="shared" si="44"/>
        <v>18</v>
      </c>
      <c r="BB112" s="3">
        <v>6.2</v>
      </c>
      <c r="BC112" s="3">
        <v>2.2000000000000002</v>
      </c>
      <c r="BD112" s="3">
        <v>2.6</v>
      </c>
      <c r="BE112" s="2" t="str">
        <f>CONCATENATE(
ROUND(BB112*VLOOKUP(K112,'ID Scheme'!$A$2:$E$7,3),0), "x",
ROUND(BC112*VLOOKUP(K112,'ID Scheme'!$A$2:$E$7,5),0), "x",
ROUND(BD112*VLOOKUP(K112,'ID Scheme'!$A$2:$E$7,4),0))</f>
        <v>58x32x25</v>
      </c>
      <c r="BF112" t="s">
        <v>82</v>
      </c>
    </row>
    <row r="113" spans="1:58" ht="14.25" customHeight="1" x14ac:dyDescent="0.3">
      <c r="A113" t="s">
        <v>617</v>
      </c>
      <c r="B113" t="s">
        <v>618</v>
      </c>
      <c r="C113" t="s">
        <v>327</v>
      </c>
      <c r="D113">
        <f>IF(G113 &gt; 2020, ((G113-2020)*4)+1610+I113,IF(G113 &gt; 1900, ((G113-1900)*10)+400+I113, ((G113-1730)*2)+I113))+VLOOKUP(K113,'ID Scheme'!$A$2:$B$7,2, FALSE)</f>
        <v>3932</v>
      </c>
      <c r="E113">
        <v>3932</v>
      </c>
      <c r="F113" t="s">
        <v>683</v>
      </c>
      <c r="G113">
        <v>1993</v>
      </c>
      <c r="H113">
        <v>3</v>
      </c>
      <c r="I113">
        <v>2</v>
      </c>
      <c r="J113" t="s">
        <v>522</v>
      </c>
      <c r="K113" t="s">
        <v>13</v>
      </c>
      <c r="L113" t="s">
        <v>501</v>
      </c>
      <c r="M113">
        <v>65</v>
      </c>
      <c r="N113">
        <v>22</v>
      </c>
      <c r="O113">
        <v>19</v>
      </c>
      <c r="P113">
        <v>5</v>
      </c>
      <c r="Q113">
        <v>9</v>
      </c>
      <c r="R113">
        <v>420</v>
      </c>
      <c r="S113">
        <v>20</v>
      </c>
      <c r="T113">
        <v>30</v>
      </c>
      <c r="U113">
        <v>1</v>
      </c>
      <c r="V113" t="s">
        <v>295</v>
      </c>
      <c r="W113">
        <v>3</v>
      </c>
      <c r="X113" s="2" t="s">
        <v>619</v>
      </c>
      <c r="Y113" s="2" t="s">
        <v>331</v>
      </c>
      <c r="Z113" s="2" t="s">
        <v>331</v>
      </c>
      <c r="AA113" s="2"/>
      <c r="AB113" s="2"/>
      <c r="AC113" s="2"/>
      <c r="AD113" s="2"/>
      <c r="AE113" s="2"/>
      <c r="AF113" s="2"/>
      <c r="AG113" s="2"/>
      <c r="AH113">
        <v>56</v>
      </c>
      <c r="AO113">
        <v>8</v>
      </c>
      <c r="AR113" s="2">
        <f>(SQRT(M113*T113)*POWER((MIN(O113,20)+SQRT(MAX(O113-20,0))),0.9)*Data!$B$1)*(1-(U113-1))</f>
        <v>46.876676153043313</v>
      </c>
      <c r="AS113" s="2"/>
      <c r="AT113" s="2">
        <f>((POWER((M113*M113*T113), 0.33)*LOG10(R113)*10*Data!$B$1)*U113)+AS113</f>
        <v>95.032828795885933</v>
      </c>
      <c r="AU113" s="2">
        <f t="shared" ref="AU113" si="59">M113/1.24</f>
        <v>52.41935483870968</v>
      </c>
      <c r="AV113" s="2">
        <f t="shared" ref="AV113" si="60">AH113/1.24</f>
        <v>45.161290322580648</v>
      </c>
      <c r="AX113" s="2">
        <v>1</v>
      </c>
      <c r="AY113" s="2">
        <v>1</v>
      </c>
      <c r="AZ113" s="2">
        <f t="shared" ref="AZ113" si="61">T113/AY113</f>
        <v>30</v>
      </c>
      <c r="BA113" s="2">
        <f t="shared" ref="BA113" si="62">(T113)/MAX(AX113-1, 1)</f>
        <v>30</v>
      </c>
      <c r="BB113" s="3"/>
      <c r="BC113" s="3"/>
      <c r="BD113" s="3"/>
      <c r="BE113" s="2" t="str">
        <f>CONCATENATE(
ROUND(BB113*VLOOKUP(K113,'ID Scheme'!$A$2:$E$7,3),0), "x",
ROUND(BC113*VLOOKUP(K113,'ID Scheme'!$A$2:$E$7,5),0), "x",
ROUND(BD113*VLOOKUP(K113,'ID Scheme'!$A$2:$E$7,4),0))</f>
        <v>0x0x0</v>
      </c>
    </row>
    <row r="114" spans="1:58" x14ac:dyDescent="0.3">
      <c r="A114" t="s">
        <v>15</v>
      </c>
      <c r="B114" t="s">
        <v>197</v>
      </c>
      <c r="C114" t="s">
        <v>327</v>
      </c>
      <c r="D114">
        <f>IF(G114 &gt; 2020, ((G114-2020)*4)+1610+I114,IF(G114 &gt; 1900, ((G114-1900)*10)+400+I114, ((G114-1730)*2)+I114))+VLOOKUP(K114,'ID Scheme'!$A$2:$B$7,2, FALSE)</f>
        <v>3971</v>
      </c>
      <c r="E114">
        <v>3971</v>
      </c>
      <c r="F114" t="s">
        <v>683</v>
      </c>
      <c r="G114">
        <v>1997</v>
      </c>
      <c r="H114">
        <v>1</v>
      </c>
      <c r="I114">
        <v>1</v>
      </c>
      <c r="J114" t="s">
        <v>522</v>
      </c>
      <c r="K114" t="s">
        <v>13</v>
      </c>
      <c r="L114" t="s">
        <v>501</v>
      </c>
      <c r="M114">
        <v>70</v>
      </c>
      <c r="N114">
        <v>-1</v>
      </c>
      <c r="O114">
        <v>15</v>
      </c>
      <c r="P114">
        <v>5</v>
      </c>
      <c r="Q114">
        <v>9</v>
      </c>
      <c r="R114">
        <v>405</v>
      </c>
      <c r="S114">
        <v>20</v>
      </c>
      <c r="T114">
        <v>32</v>
      </c>
      <c r="U114">
        <v>1</v>
      </c>
      <c r="V114" t="s">
        <v>299</v>
      </c>
      <c r="W114">
        <v>3</v>
      </c>
      <c r="X114" s="2" t="s">
        <v>466</v>
      </c>
      <c r="Y114" s="2" t="s">
        <v>331</v>
      </c>
      <c r="Z114" s="2" t="s">
        <v>331</v>
      </c>
      <c r="AA114" s="2"/>
      <c r="AB114" s="2"/>
      <c r="AC114" s="2"/>
      <c r="AD114" s="2"/>
      <c r="AE114" s="2"/>
      <c r="AF114" s="2"/>
      <c r="AG114" s="2"/>
      <c r="AH114">
        <v>56</v>
      </c>
      <c r="AO114">
        <v>8</v>
      </c>
      <c r="AR114" s="2">
        <f>(SQRT(M114*T114)*POWER((MIN(O114,20)+SQRT(MAX(O114-20,0))),0.9)*Data!$B$1)*(1-(U114-1))</f>
        <v>40.613218318644378</v>
      </c>
      <c r="AS114" s="2"/>
      <c r="AT114" s="2">
        <f>((POWER((M114*M114*T114), 0.33)*LOG10(R114)*10*Data!$B$1)*U114)+AS114</f>
        <v>101.33099065775636</v>
      </c>
      <c r="AU114" s="2">
        <f t="shared" si="42"/>
        <v>56.451612903225808</v>
      </c>
      <c r="AV114" s="2">
        <f t="shared" ref="AV114:AV148" si="63">AH114/1.24</f>
        <v>45.161290322580648</v>
      </c>
      <c r="AX114" s="2">
        <v>1</v>
      </c>
      <c r="AY114" s="2">
        <v>1</v>
      </c>
      <c r="AZ114" s="2">
        <f t="shared" si="43"/>
        <v>32</v>
      </c>
      <c r="BA114" s="2">
        <f t="shared" si="44"/>
        <v>32</v>
      </c>
      <c r="BB114" s="3"/>
      <c r="BC114" s="3"/>
      <c r="BD114" s="3"/>
      <c r="BE114" s="2" t="str">
        <f>CONCATENATE(
ROUND(BB114*VLOOKUP(K114,'ID Scheme'!$A$2:$E$7,3),0), "x",
ROUND(BC114*VLOOKUP(K114,'ID Scheme'!$A$2:$E$7,5),0), "x",
ROUND(BD114*VLOOKUP(K114,'ID Scheme'!$A$2:$E$7,4),0))</f>
        <v>0x0x0</v>
      </c>
    </row>
    <row r="115" spans="1:58" ht="14.25" customHeight="1" x14ac:dyDescent="0.3">
      <c r="A115" t="s">
        <v>620</v>
      </c>
      <c r="B115" t="s">
        <v>621</v>
      </c>
      <c r="C115" t="s">
        <v>327</v>
      </c>
      <c r="D115">
        <f>IF(G115 &gt; 2020, ((G115-2020)*4)+1610+I115,IF(G115 &gt; 1900, ((G115-1900)*10)+400+I115, ((G115-1730)*2)+I115))+VLOOKUP(K115,'ID Scheme'!$A$2:$B$7,2, FALSE)</f>
        <v>3981</v>
      </c>
      <c r="E115">
        <v>3981</v>
      </c>
      <c r="F115" t="s">
        <v>683</v>
      </c>
      <c r="G115">
        <v>1998</v>
      </c>
      <c r="H115">
        <v>5</v>
      </c>
      <c r="I115">
        <v>1</v>
      </c>
      <c r="J115" t="s">
        <v>522</v>
      </c>
      <c r="K115" t="s">
        <v>13</v>
      </c>
      <c r="L115" t="s">
        <v>501</v>
      </c>
      <c r="M115">
        <v>72</v>
      </c>
      <c r="N115">
        <v>-1</v>
      </c>
      <c r="O115">
        <v>14</v>
      </c>
      <c r="P115">
        <v>5</v>
      </c>
      <c r="Q115">
        <v>9</v>
      </c>
      <c r="R115">
        <v>460</v>
      </c>
      <c r="S115">
        <v>20</v>
      </c>
      <c r="T115">
        <v>30</v>
      </c>
      <c r="U115">
        <v>1</v>
      </c>
      <c r="V115" t="s">
        <v>289</v>
      </c>
      <c r="W115">
        <v>3</v>
      </c>
      <c r="X115" s="2" t="s">
        <v>622</v>
      </c>
      <c r="Y115" s="2" t="s">
        <v>331</v>
      </c>
      <c r="Z115" s="2" t="s">
        <v>331</v>
      </c>
      <c r="AA115" s="2"/>
      <c r="AB115" s="2"/>
      <c r="AC115" s="2"/>
      <c r="AD115" s="2"/>
      <c r="AE115" s="2"/>
      <c r="AF115" s="2"/>
      <c r="AG115" s="2"/>
      <c r="AH115">
        <v>56</v>
      </c>
      <c r="AO115">
        <v>8</v>
      </c>
      <c r="AR115" s="2">
        <f>(SQRT(M115*T115)*POWER((MIN(O115,20)+SQRT(MAX(O115-20,0))),0.9)*Data!$B$1)*(1-(U115-1))</f>
        <v>37.480326983572404</v>
      </c>
      <c r="AS115" s="2"/>
      <c r="AT115" s="2">
        <f>((POWER((M115*M115*T115), 0.33)*LOG10(R115)*10*Data!$B$1)*U115)+AS115</f>
        <v>103.20064123902668</v>
      </c>
      <c r="AU115" s="2">
        <f t="shared" si="42"/>
        <v>58.064516129032256</v>
      </c>
      <c r="AV115" s="2">
        <f t="shared" si="63"/>
        <v>45.161290322580648</v>
      </c>
      <c r="AX115" s="2">
        <v>1</v>
      </c>
      <c r="AY115" s="2">
        <v>1</v>
      </c>
      <c r="AZ115" s="2">
        <f t="shared" si="43"/>
        <v>30</v>
      </c>
      <c r="BA115" s="2">
        <f t="shared" si="44"/>
        <v>30</v>
      </c>
      <c r="BB115" s="3"/>
      <c r="BC115" s="3"/>
      <c r="BD115" s="3"/>
      <c r="BE115" s="2" t="str">
        <f>CONCATENATE(
ROUND(BB115*VLOOKUP(K115,'ID Scheme'!$A$2:$E$7,3),0), "x",
ROUND(BC115*VLOOKUP(K115,'ID Scheme'!$A$2:$E$7,5),0), "x",
ROUND(BD115*VLOOKUP(K115,'ID Scheme'!$A$2:$E$7,4),0))</f>
        <v>0x0x0</v>
      </c>
    </row>
    <row r="116" spans="1:58" x14ac:dyDescent="0.3">
      <c r="A116" t="s">
        <v>90</v>
      </c>
      <c r="B116" t="s">
        <v>192</v>
      </c>
      <c r="C116" t="s">
        <v>327</v>
      </c>
      <c r="D116">
        <f>IF(G116 &gt; 2020, ((G116-2020)*4)+1610+I116,IF(G116 &gt; 1900, ((G116-1900)*10)+400+I116, ((G116-1730)*2)+I116))+VLOOKUP(K116,'ID Scheme'!$A$2:$B$7,2, FALSE)</f>
        <v>4012</v>
      </c>
      <c r="E116">
        <v>4012</v>
      </c>
      <c r="F116" t="s">
        <v>683</v>
      </c>
      <c r="G116">
        <v>2001</v>
      </c>
      <c r="H116">
        <v>1</v>
      </c>
      <c r="I116">
        <v>2</v>
      </c>
      <c r="J116" t="s">
        <v>522</v>
      </c>
      <c r="K116" t="s">
        <v>13</v>
      </c>
      <c r="L116" t="s">
        <v>501</v>
      </c>
      <c r="M116">
        <v>75</v>
      </c>
      <c r="N116">
        <v>-1</v>
      </c>
      <c r="O116">
        <v>18</v>
      </c>
      <c r="P116">
        <v>5</v>
      </c>
      <c r="Q116">
        <v>9</v>
      </c>
      <c r="R116">
        <v>207</v>
      </c>
      <c r="S116">
        <v>20</v>
      </c>
      <c r="T116">
        <v>24</v>
      </c>
      <c r="U116">
        <v>1</v>
      </c>
      <c r="V116" t="s">
        <v>289</v>
      </c>
      <c r="W116">
        <v>0</v>
      </c>
      <c r="X116" s="2" t="s">
        <v>464</v>
      </c>
      <c r="Y116" s="2" t="s">
        <v>331</v>
      </c>
      <c r="Z116" s="2" t="s">
        <v>331</v>
      </c>
      <c r="AA116" s="2"/>
      <c r="AB116" s="2"/>
      <c r="AC116" s="2"/>
      <c r="AD116" s="2"/>
      <c r="AE116" s="2"/>
      <c r="AF116" s="2"/>
      <c r="AG116" s="2"/>
      <c r="AH116">
        <v>56</v>
      </c>
      <c r="AO116">
        <v>7</v>
      </c>
      <c r="AR116" s="2">
        <f>(SQRT(M116*T116)*POWER((MIN(O116,20)+SQRT(MAX(O116-20,0))),0.9)*Data!$B$1)*(1-(U116-1))</f>
        <v>42.898565562476904</v>
      </c>
      <c r="AS116" s="2"/>
      <c r="AT116" s="2">
        <f>((POWER((M116*M116*T116), 0.33)*LOG10(R116)*10*Data!$B$1)*U116)+AS116</f>
        <v>85.665193700262009</v>
      </c>
      <c r="AU116" s="2">
        <f t="shared" si="42"/>
        <v>60.483870967741936</v>
      </c>
      <c r="AV116" s="2">
        <f t="shared" si="63"/>
        <v>45.161290322580648</v>
      </c>
      <c r="AX116" s="2">
        <v>1</v>
      </c>
      <c r="AY116" s="2">
        <v>1</v>
      </c>
      <c r="AZ116" s="2">
        <f t="shared" si="43"/>
        <v>24</v>
      </c>
      <c r="BA116" s="2">
        <f t="shared" si="44"/>
        <v>24</v>
      </c>
      <c r="BB116" s="3">
        <v>8.5</v>
      </c>
      <c r="BC116" s="3">
        <v>2.2000000000000002</v>
      </c>
      <c r="BD116" s="3">
        <v>2.6</v>
      </c>
      <c r="BE116" s="2" t="str">
        <f>CONCATENATE(
ROUND(BB116*VLOOKUP(K116,'ID Scheme'!$A$2:$E$7,3),0), "x",
ROUND(BC116*VLOOKUP(K116,'ID Scheme'!$A$2:$E$7,5),0), "x",
ROUND(BD116*VLOOKUP(K116,'ID Scheme'!$A$2:$E$7,4),0))</f>
        <v>79x32x25</v>
      </c>
      <c r="BF116" t="s">
        <v>91</v>
      </c>
    </row>
    <row r="117" spans="1:58" x14ac:dyDescent="0.3">
      <c r="A117" t="s">
        <v>77</v>
      </c>
      <c r="B117" t="s">
        <v>214</v>
      </c>
      <c r="C117" t="s">
        <v>327</v>
      </c>
      <c r="D117">
        <f>IF(G117 &gt; 2020, ((G117-2020)*4)+1610+I117,IF(G117 &gt; 1900, ((G117-1900)*10)+400+I117, ((G117-1730)*2)+I117))+VLOOKUP(K117,'ID Scheme'!$A$2:$B$7,2, FALSE)</f>
        <v>4051</v>
      </c>
      <c r="E117">
        <v>4051</v>
      </c>
      <c r="F117" t="s">
        <v>683</v>
      </c>
      <c r="G117">
        <v>2005</v>
      </c>
      <c r="H117">
        <v>1</v>
      </c>
      <c r="I117">
        <v>1</v>
      </c>
      <c r="J117" t="s">
        <v>522</v>
      </c>
      <c r="K117" t="s">
        <v>13</v>
      </c>
      <c r="L117" t="s">
        <v>501</v>
      </c>
      <c r="M117">
        <v>80</v>
      </c>
      <c r="N117">
        <v>-1</v>
      </c>
      <c r="O117">
        <v>19</v>
      </c>
      <c r="P117">
        <v>5</v>
      </c>
      <c r="Q117">
        <v>3</v>
      </c>
      <c r="R117">
        <v>175</v>
      </c>
      <c r="S117">
        <v>20</v>
      </c>
      <c r="T117">
        <v>18</v>
      </c>
      <c r="U117">
        <v>1</v>
      </c>
      <c r="V117" t="s">
        <v>289</v>
      </c>
      <c r="W117">
        <v>0</v>
      </c>
      <c r="X117" s="2" t="s">
        <v>462</v>
      </c>
      <c r="Y117" s="2" t="s">
        <v>331</v>
      </c>
      <c r="Z117" s="2" t="s">
        <v>331</v>
      </c>
      <c r="AA117" s="2"/>
      <c r="AB117" s="2"/>
      <c r="AC117" s="2"/>
      <c r="AD117" s="2"/>
      <c r="AE117" s="2"/>
      <c r="AF117" s="2"/>
      <c r="AG117" s="2"/>
      <c r="AO117">
        <v>6</v>
      </c>
      <c r="AR117" s="2">
        <f>(SQRT(M117*T117)*POWER((MIN(O117,20)+SQRT(MAX(O117-20,0))),0.9)*Data!$B$1)*(1-(U117-1))</f>
        <v>40.282902046468678</v>
      </c>
      <c r="AS117" s="2"/>
      <c r="AT117" s="2">
        <f>((POWER((M117*M117*T117), 0.33)*LOG10(R117)*10*Data!$B$1)*U117)+AS117</f>
        <v>78.736702415748411</v>
      </c>
      <c r="AU117" s="2">
        <f t="shared" si="42"/>
        <v>64.516129032258064</v>
      </c>
      <c r="AV117" s="2">
        <f t="shared" si="63"/>
        <v>0</v>
      </c>
      <c r="AX117" s="2">
        <v>1</v>
      </c>
      <c r="AY117" s="2">
        <v>1</v>
      </c>
      <c r="AZ117" s="2">
        <f t="shared" si="43"/>
        <v>18</v>
      </c>
      <c r="BA117" s="2">
        <f t="shared" si="44"/>
        <v>18</v>
      </c>
      <c r="BB117" s="3">
        <v>6.2</v>
      </c>
      <c r="BC117" s="3">
        <v>2.2000000000000002</v>
      </c>
      <c r="BD117" s="3">
        <v>2.6</v>
      </c>
      <c r="BE117" s="2" t="str">
        <f>CONCATENATE(
ROUND(BB117*VLOOKUP(K117,'ID Scheme'!$A$2:$E$7,3),0), "x",
ROUND(BC117*VLOOKUP(K117,'ID Scheme'!$A$2:$E$7,5),0), "x",
ROUND(BD117*VLOOKUP(K117,'ID Scheme'!$A$2:$E$7,4),0))</f>
        <v>58x32x25</v>
      </c>
      <c r="BF117" t="s">
        <v>78</v>
      </c>
    </row>
    <row r="118" spans="1:58" x14ac:dyDescent="0.3">
      <c r="A118" t="s">
        <v>639</v>
      </c>
      <c r="B118" t="s">
        <v>640</v>
      </c>
      <c r="C118" t="s">
        <v>327</v>
      </c>
      <c r="D118">
        <f>IF(G118 &gt; 2020, ((G118-2020)*4)+1610+I118,IF(G118 &gt; 1900, ((G118-1900)*10)+400+I118, ((G118-1730)*2)+I118))+VLOOKUP(K118,'ID Scheme'!$A$2:$B$7,2, FALSE)</f>
        <v>4071</v>
      </c>
      <c r="E118">
        <v>4071</v>
      </c>
      <c r="F118" t="s">
        <v>683</v>
      </c>
      <c r="G118">
        <v>2007</v>
      </c>
      <c r="H118">
        <v>1</v>
      </c>
      <c r="I118">
        <v>1</v>
      </c>
      <c r="J118" t="s">
        <v>522</v>
      </c>
      <c r="K118" t="s">
        <v>13</v>
      </c>
      <c r="L118" t="s">
        <v>501</v>
      </c>
      <c r="M118">
        <v>74</v>
      </c>
      <c r="N118">
        <v>-1</v>
      </c>
      <c r="O118">
        <v>16</v>
      </c>
      <c r="P118">
        <v>5</v>
      </c>
      <c r="Q118">
        <v>9</v>
      </c>
      <c r="R118">
        <v>440</v>
      </c>
      <c r="S118">
        <v>20</v>
      </c>
      <c r="T118">
        <v>32</v>
      </c>
      <c r="U118">
        <v>1</v>
      </c>
      <c r="V118" t="s">
        <v>295</v>
      </c>
      <c r="W118">
        <v>3</v>
      </c>
      <c r="X118" s="2" t="s">
        <v>641</v>
      </c>
      <c r="Y118" s="2" t="s">
        <v>331</v>
      </c>
      <c r="Z118" s="2" t="s">
        <v>331</v>
      </c>
      <c r="AA118" s="2"/>
      <c r="AB118" s="2"/>
      <c r="AC118" s="2"/>
      <c r="AD118" s="2"/>
      <c r="AE118" s="2"/>
      <c r="AF118" s="2"/>
      <c r="AG118" s="2"/>
      <c r="AH118">
        <v>56</v>
      </c>
      <c r="AO118">
        <v>8</v>
      </c>
      <c r="AR118" s="2">
        <f>(SQRT(M118*T118)*POWER((MIN(O118,20)+SQRT(MAX(O118-20,0))),0.9)*Data!$B$1)*(1-(U118-1))</f>
        <v>44.254770899144248</v>
      </c>
      <c r="AS118" s="2"/>
      <c r="AT118" s="2">
        <f>((POWER((M118*M118*T118), 0.33)*LOG10(R118)*10*Data!$B$1)*U118)+AS118</f>
        <v>106.56761130788216</v>
      </c>
      <c r="AU118" s="2">
        <f t="shared" ref="AU118:AU119" si="64">M118/1.24</f>
        <v>59.677419354838712</v>
      </c>
      <c r="AV118" s="2">
        <f t="shared" ref="AV118:AV119" si="65">AH118/1.24</f>
        <v>45.161290322580648</v>
      </c>
      <c r="AX118" s="2">
        <v>1</v>
      </c>
      <c r="AY118" s="2">
        <v>1</v>
      </c>
      <c r="AZ118" s="2">
        <f t="shared" ref="AZ118:AZ119" si="66">T118/AY118</f>
        <v>32</v>
      </c>
      <c r="BA118" s="2">
        <f t="shared" ref="BA118:BA119" si="67">(T118)/MAX(AX118-1, 1)</f>
        <v>32</v>
      </c>
      <c r="BB118" s="3"/>
      <c r="BC118" s="3"/>
      <c r="BD118" s="3"/>
      <c r="BE118" s="2" t="str">
        <f>CONCATENATE(
ROUND(BB118*VLOOKUP(K118,'ID Scheme'!$A$2:$E$7,3),0), "x",
ROUND(BC118*VLOOKUP(K118,'ID Scheme'!$A$2:$E$7,5),0), "x",
ROUND(BD118*VLOOKUP(K118,'ID Scheme'!$A$2:$E$7,4),0))</f>
        <v>0x0x0</v>
      </c>
    </row>
    <row r="119" spans="1:58" x14ac:dyDescent="0.3">
      <c r="A119" t="s">
        <v>678</v>
      </c>
      <c r="B119" t="s">
        <v>679</v>
      </c>
      <c r="C119" t="s">
        <v>327</v>
      </c>
      <c r="D119">
        <f>IF(G119 &gt; 2020, ((G119-2020)*4)+1610+I119,IF(G119 &gt; 1900, ((G119-1900)*10)+400+I119, ((G119-1730)*2)+I119))+VLOOKUP(K119,'ID Scheme'!$A$2:$B$7,2, FALSE)</f>
        <v>4219</v>
      </c>
      <c r="E119">
        <v>4219</v>
      </c>
      <c r="F119" t="s">
        <v>683</v>
      </c>
      <c r="G119">
        <v>2022</v>
      </c>
      <c r="H119">
        <v>6</v>
      </c>
      <c r="I119">
        <v>1</v>
      </c>
      <c r="J119" t="s">
        <v>522</v>
      </c>
      <c r="K119" t="s">
        <v>13</v>
      </c>
      <c r="L119" t="s">
        <v>501</v>
      </c>
      <c r="M119">
        <v>60</v>
      </c>
      <c r="N119">
        <v>-1</v>
      </c>
      <c r="O119">
        <v>17</v>
      </c>
      <c r="P119">
        <v>5</v>
      </c>
      <c r="Q119">
        <v>8</v>
      </c>
      <c r="R119">
        <v>250</v>
      </c>
      <c r="S119">
        <v>20</v>
      </c>
      <c r="T119">
        <v>22</v>
      </c>
      <c r="U119">
        <v>1</v>
      </c>
      <c r="V119" t="s">
        <v>365</v>
      </c>
      <c r="W119">
        <v>0</v>
      </c>
      <c r="X119" s="2" t="s">
        <v>680</v>
      </c>
      <c r="Y119" s="2" t="s">
        <v>331</v>
      </c>
      <c r="Z119" s="2" t="s">
        <v>331</v>
      </c>
      <c r="AA119" s="2"/>
      <c r="AB119" s="2"/>
      <c r="AC119" s="2"/>
      <c r="AD119" s="2"/>
      <c r="AE119" s="2"/>
      <c r="AF119" s="2"/>
      <c r="AG119" s="2"/>
      <c r="AH119">
        <v>56</v>
      </c>
      <c r="AO119">
        <v>7</v>
      </c>
      <c r="AR119" s="2">
        <f>(SQRT(M119*T119)*POWER((MIN(O119,20)+SQRT(MAX(O119-20,0))),0.9)*Data!$B$1)*(1-(U119-1))</f>
        <v>34.894120640535121</v>
      </c>
      <c r="AS119" s="2"/>
      <c r="AT119" s="2">
        <f>((POWER((M119*M119*T119), 0.33)*LOG10(R119)*10*Data!$B$1)*U119)+AS119</f>
        <v>74.383890085288741</v>
      </c>
      <c r="AU119" s="2">
        <f t="shared" si="64"/>
        <v>48.387096774193552</v>
      </c>
      <c r="AV119" s="2">
        <f t="shared" si="65"/>
        <v>45.161290322580648</v>
      </c>
      <c r="AX119" s="2">
        <v>1</v>
      </c>
      <c r="AY119" s="2">
        <v>1</v>
      </c>
      <c r="AZ119" s="2">
        <f t="shared" si="66"/>
        <v>22</v>
      </c>
      <c r="BA119" s="2">
        <f t="shared" si="67"/>
        <v>22</v>
      </c>
      <c r="BB119" s="3"/>
      <c r="BC119" s="3"/>
      <c r="BD119" s="3"/>
      <c r="BE119" s="2" t="str">
        <f>CONCATENATE(
ROUND(BB119*VLOOKUP(K119,'ID Scheme'!$A$2:$E$7,3),0), "x",
ROUND(BC119*VLOOKUP(K119,'ID Scheme'!$A$2:$E$7,5),0), "x",
ROUND(BD119*VLOOKUP(K119,'ID Scheme'!$A$2:$E$7,4),0))</f>
        <v>0x0x0</v>
      </c>
    </row>
    <row r="120" spans="1:58" x14ac:dyDescent="0.3">
      <c r="A120" t="s">
        <v>57</v>
      </c>
      <c r="B120" t="s">
        <v>262</v>
      </c>
      <c r="C120" t="s">
        <v>360</v>
      </c>
      <c r="D120">
        <f>IF(G120 &gt; 2020, ((G120-2020)*4)+1610+I120,IF(G120 &gt; 1900, ((G120-1900)*10)+400+I120, ((G120-1730)*2)+I120))+VLOOKUP(K120,'ID Scheme'!$A$2:$B$7,2, FALSE)</f>
        <v>5121</v>
      </c>
      <c r="E120">
        <v>5121</v>
      </c>
      <c r="F120" t="s">
        <v>683</v>
      </c>
      <c r="G120">
        <v>1912</v>
      </c>
      <c r="H120">
        <v>1</v>
      </c>
      <c r="I120">
        <v>1</v>
      </c>
      <c r="J120" t="s">
        <v>522</v>
      </c>
      <c r="K120" t="s">
        <v>14</v>
      </c>
      <c r="L120" t="s">
        <v>508</v>
      </c>
      <c r="M120">
        <v>40</v>
      </c>
      <c r="N120">
        <v>28</v>
      </c>
      <c r="O120">
        <v>12</v>
      </c>
      <c r="P120">
        <v>5</v>
      </c>
      <c r="Q120">
        <v>1</v>
      </c>
      <c r="R120">
        <v>20</v>
      </c>
      <c r="S120">
        <v>20</v>
      </c>
      <c r="T120">
        <v>4</v>
      </c>
      <c r="U120">
        <v>1</v>
      </c>
      <c r="V120" t="s">
        <v>356</v>
      </c>
      <c r="W120">
        <v>-3</v>
      </c>
      <c r="X120" s="2" t="s">
        <v>460</v>
      </c>
      <c r="Y120" s="2"/>
      <c r="Z120" s="2"/>
      <c r="AA120" s="2"/>
      <c r="AB120" s="2"/>
      <c r="AC120" s="2"/>
      <c r="AD120" s="2"/>
      <c r="AE120" s="2"/>
      <c r="AF120" s="2"/>
      <c r="AG120" s="2"/>
      <c r="AO120">
        <v>4</v>
      </c>
      <c r="AR120" s="2">
        <f>(SQRT(M120*T120)*POWER((MIN(O120,20)+SQRT(MAX(O120-20,0))),0.9)*Data!$B$1)*(1-(U120-1))</f>
        <v>8.8794154486294588</v>
      </c>
      <c r="AS120" s="2"/>
      <c r="AT120" s="2">
        <f>((POWER((M120*M120*T120), 0.33)*LOG10(R120)*10*Data!$B$1)*U120)+AS120</f>
        <v>17.594947052790868</v>
      </c>
      <c r="AU120" s="2">
        <f t="shared" ref="AU120:AU153" si="68">M120/1.24</f>
        <v>32.258064516129032</v>
      </c>
      <c r="AV120" s="2">
        <f t="shared" si="63"/>
        <v>0</v>
      </c>
      <c r="AX120" s="2">
        <v>1</v>
      </c>
      <c r="AY120" s="2">
        <v>1</v>
      </c>
      <c r="AZ120" s="2">
        <f t="shared" ref="AZ120:AZ153" si="69">T120/AY120</f>
        <v>4</v>
      </c>
      <c r="BA120" s="2">
        <f t="shared" ref="BA120:BA153" si="70">(T120)/MAX(AX120-1, 1)</f>
        <v>4</v>
      </c>
      <c r="BB120" s="3"/>
      <c r="BC120" s="3"/>
      <c r="BD120" s="3"/>
      <c r="BE120" s="2" t="str">
        <f>CONCATENATE(
ROUND(BB120*VLOOKUP(K120,'ID Scheme'!$A$2:$E$7,3),0), "x",
ROUND(BC120*VLOOKUP(K120,'ID Scheme'!$A$2:$E$7,5),0), "x",
ROUND(BD120*VLOOKUP(K120,'ID Scheme'!$A$2:$E$7,4),0))</f>
        <v>0x0x0</v>
      </c>
    </row>
    <row r="121" spans="1:58" x14ac:dyDescent="0.3">
      <c r="A121" t="s">
        <v>63</v>
      </c>
      <c r="B121" t="s">
        <v>257</v>
      </c>
      <c r="C121" t="s">
        <v>360</v>
      </c>
      <c r="D121">
        <f>IF(G121 &gt; 2020, ((G121-2020)*4)+1610+I121,IF(G121 &gt; 1900, ((G121-1900)*10)+400+I121, ((G121-1730)*2)+I121))+VLOOKUP(K121,'ID Scheme'!$A$2:$B$7,2, FALSE)</f>
        <v>5381</v>
      </c>
      <c r="E121">
        <v>5381</v>
      </c>
      <c r="F121" t="s">
        <v>683</v>
      </c>
      <c r="G121">
        <v>1938</v>
      </c>
      <c r="H121">
        <v>6</v>
      </c>
      <c r="I121">
        <v>1</v>
      </c>
      <c r="J121" t="s">
        <v>522</v>
      </c>
      <c r="K121" t="s">
        <v>14</v>
      </c>
      <c r="L121" t="s">
        <v>501</v>
      </c>
      <c r="M121">
        <v>45</v>
      </c>
      <c r="N121">
        <v>20</v>
      </c>
      <c r="O121">
        <v>14</v>
      </c>
      <c r="P121">
        <v>5</v>
      </c>
      <c r="Q121">
        <v>1</v>
      </c>
      <c r="R121">
        <v>32</v>
      </c>
      <c r="S121">
        <v>20</v>
      </c>
      <c r="T121">
        <v>5</v>
      </c>
      <c r="U121">
        <v>1</v>
      </c>
      <c r="V121" t="s">
        <v>356</v>
      </c>
      <c r="W121">
        <v>-3</v>
      </c>
      <c r="X121" s="2" t="s">
        <v>459</v>
      </c>
      <c r="Y121" s="2"/>
      <c r="Z121" s="2"/>
      <c r="AA121" s="2"/>
      <c r="AB121" s="2"/>
      <c r="AC121" s="2"/>
      <c r="AD121" s="2"/>
      <c r="AE121" s="2"/>
      <c r="AF121" s="2"/>
      <c r="AG121" s="2"/>
      <c r="AO121">
        <v>4</v>
      </c>
      <c r="AR121" s="2">
        <f>(SQRT(M121*T121)*POWER((MIN(O121,20)+SQRT(MAX(O121-20,0))),0.9)*Data!$B$1)*(1-(U121-1))</f>
        <v>12.0967235181487</v>
      </c>
      <c r="AS121" s="2"/>
      <c r="AT121" s="2">
        <f>((POWER((M121*M121*T121), 0.33)*LOG10(R121)*10*Data!$B$1)*U121)+AS121</f>
        <v>23.682164888763008</v>
      </c>
      <c r="AU121" s="2">
        <f t="shared" si="68"/>
        <v>36.29032258064516</v>
      </c>
      <c r="AV121" s="2">
        <f t="shared" si="63"/>
        <v>0</v>
      </c>
      <c r="AX121" s="2">
        <v>1</v>
      </c>
      <c r="AY121" s="2">
        <v>1</v>
      </c>
      <c r="AZ121" s="2">
        <f t="shared" si="69"/>
        <v>5</v>
      </c>
      <c r="BA121" s="2">
        <f t="shared" si="70"/>
        <v>5</v>
      </c>
      <c r="BB121" s="3"/>
      <c r="BC121" s="3"/>
      <c r="BD121" s="3"/>
      <c r="BE121" s="2" t="str">
        <f>CONCATENATE(
ROUND(BB121*VLOOKUP(K121,'ID Scheme'!$A$2:$E$7,3),0), "x",
ROUND(BC121*VLOOKUP(K121,'ID Scheme'!$A$2:$E$7,5),0), "x",
ROUND(BD121*VLOOKUP(K121,'ID Scheme'!$A$2:$E$7,4),0))</f>
        <v>0x0x0</v>
      </c>
    </row>
    <row r="122" spans="1:58" x14ac:dyDescent="0.3">
      <c r="A122" t="s">
        <v>651</v>
      </c>
      <c r="B122" t="s">
        <v>650</v>
      </c>
      <c r="C122" t="s">
        <v>648</v>
      </c>
      <c r="D122">
        <f>IF(G122 &gt; 2020, ((G122-2020)*4)+1610+I122,IF(G122 &gt; 1900, ((G122-1900)*10)+400+I122, ((G122-1730)*2)+I122))+VLOOKUP(K122,'ID Scheme'!$A$2:$B$7,2, FALSE)</f>
        <v>5551</v>
      </c>
      <c r="E122">
        <v>5551</v>
      </c>
      <c r="F122" t="s">
        <v>683</v>
      </c>
      <c r="G122">
        <v>1955</v>
      </c>
      <c r="H122">
        <v>1</v>
      </c>
      <c r="I122">
        <v>1</v>
      </c>
      <c r="J122" t="s">
        <v>522</v>
      </c>
      <c r="K122" t="s">
        <v>14</v>
      </c>
      <c r="L122" t="s">
        <v>501</v>
      </c>
      <c r="M122">
        <v>20</v>
      </c>
      <c r="N122">
        <v>40</v>
      </c>
      <c r="O122">
        <v>22</v>
      </c>
      <c r="P122">
        <v>5</v>
      </c>
      <c r="Q122">
        <v>2</v>
      </c>
      <c r="R122">
        <v>20</v>
      </c>
      <c r="S122">
        <v>20</v>
      </c>
      <c r="T122">
        <v>10</v>
      </c>
      <c r="U122">
        <v>1</v>
      </c>
      <c r="V122" t="s">
        <v>365</v>
      </c>
      <c r="W122">
        <v>-3</v>
      </c>
      <c r="X122" s="2" t="s">
        <v>649</v>
      </c>
      <c r="Y122" s="2"/>
      <c r="Z122" s="2"/>
      <c r="AA122" s="2"/>
      <c r="AB122" s="2"/>
      <c r="AC122" s="2"/>
      <c r="AD122" s="2"/>
      <c r="AE122" s="2"/>
      <c r="AF122" s="2"/>
      <c r="AG122" s="2"/>
      <c r="AO122">
        <v>5</v>
      </c>
      <c r="AR122" s="2">
        <f>(SQRT(M122*T122)*POWER((MIN(O122,20)+SQRT(MAX(O122-20,0))),0.9)*Data!$B$1)*(1-(U122-1))</f>
        <v>16.718918388299262</v>
      </c>
      <c r="AS122" s="2"/>
      <c r="AT122" s="2">
        <f>((POWER((M122*M122*T122), 0.33)*LOG10(R122)*10*Data!$B$1)*U122)+AS122</f>
        <v>15.067054875315222</v>
      </c>
      <c r="AU122" s="2">
        <f t="shared" ref="AU122" si="71">M122/1.24</f>
        <v>16.129032258064516</v>
      </c>
      <c r="AV122" s="2">
        <f t="shared" ref="AV122" si="72">AH122/1.24</f>
        <v>0</v>
      </c>
      <c r="AX122" s="2">
        <v>1</v>
      </c>
      <c r="AY122" s="2">
        <v>1</v>
      </c>
      <c r="AZ122" s="2">
        <f t="shared" ref="AZ122" si="73">T122/AY122</f>
        <v>10</v>
      </c>
      <c r="BA122" s="2">
        <f t="shared" ref="BA122" si="74">(T122)/MAX(AX122-1, 1)</f>
        <v>10</v>
      </c>
      <c r="BB122" s="3"/>
      <c r="BC122" s="3"/>
      <c r="BD122" s="3"/>
      <c r="BE122" s="2" t="str">
        <f>CONCATENATE(
ROUND(BB122*VLOOKUP(K122,'ID Scheme'!$A$2:$E$7,3),0), "x",
ROUND(BC122*VLOOKUP(K122,'ID Scheme'!$A$2:$E$7,5),0), "x",
ROUND(BD122*VLOOKUP(K122,'ID Scheme'!$A$2:$E$7,4),0))</f>
        <v>0x0x0</v>
      </c>
    </row>
    <row r="123" spans="1:58" x14ac:dyDescent="0.3">
      <c r="A123" t="s">
        <v>264</v>
      </c>
      <c r="B123" t="s">
        <v>263</v>
      </c>
      <c r="C123" t="s">
        <v>360</v>
      </c>
      <c r="D123">
        <f>IF(G123 &gt; 2020, ((G123-2020)*4)+1610+I123,IF(G123 &gt; 1900, ((G123-1900)*10)+400+I123, ((G123-1730)*2)+I123))+VLOOKUP(K123,'ID Scheme'!$A$2:$B$7,2, FALSE)</f>
        <v>5571</v>
      </c>
      <c r="E123">
        <v>5571</v>
      </c>
      <c r="F123" t="s">
        <v>683</v>
      </c>
      <c r="G123">
        <v>1957</v>
      </c>
      <c r="H123">
        <v>1</v>
      </c>
      <c r="I123">
        <v>1</v>
      </c>
      <c r="J123" t="s">
        <v>522</v>
      </c>
      <c r="K123" t="s">
        <v>14</v>
      </c>
      <c r="L123" t="s">
        <v>501</v>
      </c>
      <c r="M123">
        <v>60</v>
      </c>
      <c r="N123">
        <v>16</v>
      </c>
      <c r="O123">
        <v>12</v>
      </c>
      <c r="P123">
        <v>5</v>
      </c>
      <c r="Q123">
        <v>1</v>
      </c>
      <c r="R123">
        <v>53</v>
      </c>
      <c r="S123">
        <v>20</v>
      </c>
      <c r="T123">
        <v>6</v>
      </c>
      <c r="U123">
        <v>1</v>
      </c>
      <c r="V123" t="s">
        <v>356</v>
      </c>
      <c r="W123">
        <v>-3</v>
      </c>
      <c r="X123" s="2" t="s">
        <v>458</v>
      </c>
      <c r="Y123" s="2"/>
      <c r="Z123" s="2"/>
      <c r="AA123" s="2"/>
      <c r="AB123" s="2"/>
      <c r="AC123" s="2"/>
      <c r="AD123" s="2"/>
      <c r="AE123" s="2"/>
      <c r="AF123" s="2"/>
      <c r="AG123" s="2"/>
      <c r="AO123">
        <v>5</v>
      </c>
      <c r="AR123" s="2">
        <f>(SQRT(M123*T123)*POWER((MIN(O123,20)+SQRT(MAX(O123-20,0))),0.9)*Data!$B$1)*(1-(U123-1))</f>
        <v>13.319123172944188</v>
      </c>
      <c r="AS123" s="2"/>
      <c r="AT123" s="2">
        <f>((POWER((M123*M123*T123), 0.33)*LOG10(R123)*10*Data!$B$1)*U123)+AS123</f>
        <v>34.83675961560575</v>
      </c>
      <c r="AU123" s="2">
        <f t="shared" si="68"/>
        <v>48.387096774193552</v>
      </c>
      <c r="AV123" s="2">
        <f t="shared" si="63"/>
        <v>0</v>
      </c>
      <c r="AX123" s="2">
        <v>1</v>
      </c>
      <c r="AY123" s="2">
        <v>1</v>
      </c>
      <c r="AZ123" s="2">
        <f t="shared" si="69"/>
        <v>6</v>
      </c>
      <c r="BA123" s="2">
        <f t="shared" si="70"/>
        <v>6</v>
      </c>
      <c r="BB123" s="3"/>
      <c r="BC123" s="3"/>
      <c r="BD123" s="3"/>
      <c r="BE123" s="2" t="str">
        <f>CONCATENATE(
ROUND(BB123*VLOOKUP(K123,'ID Scheme'!$A$2:$E$7,3),0), "x",
ROUND(BC123*VLOOKUP(K123,'ID Scheme'!$A$2:$E$7,5),0), "x",
ROUND(BD123*VLOOKUP(K123,'ID Scheme'!$A$2:$E$7,4),0))</f>
        <v>0x0x0</v>
      </c>
    </row>
    <row r="124" spans="1:58" x14ac:dyDescent="0.3">
      <c r="A124" t="s">
        <v>62</v>
      </c>
      <c r="B124" t="s">
        <v>261</v>
      </c>
      <c r="C124" t="s">
        <v>360</v>
      </c>
      <c r="D124">
        <f>IF(G124 &gt; 2020, ((G124-2020)*4)+1610+I124,IF(G124 &gt; 1900, ((G124-1900)*10)+400+I124, ((G124-1730)*2)+I124))+VLOOKUP(K124,'ID Scheme'!$A$2:$B$7,2, FALSE)</f>
        <v>5601</v>
      </c>
      <c r="E124">
        <v>5601</v>
      </c>
      <c r="F124" t="s">
        <v>683</v>
      </c>
      <c r="G124">
        <v>1960</v>
      </c>
      <c r="H124">
        <v>1</v>
      </c>
      <c r="I124">
        <v>1</v>
      </c>
      <c r="J124" t="s">
        <v>522</v>
      </c>
      <c r="K124" t="s">
        <v>14</v>
      </c>
      <c r="L124" t="s">
        <v>501</v>
      </c>
      <c r="M124">
        <v>60</v>
      </c>
      <c r="N124">
        <v>22</v>
      </c>
      <c r="O124">
        <v>15</v>
      </c>
      <c r="P124">
        <v>5</v>
      </c>
      <c r="Q124">
        <v>1</v>
      </c>
      <c r="R124">
        <v>58</v>
      </c>
      <c r="S124">
        <v>20</v>
      </c>
      <c r="T124">
        <v>8</v>
      </c>
      <c r="U124">
        <v>1.1000000000000001</v>
      </c>
      <c r="V124" t="s">
        <v>356</v>
      </c>
      <c r="W124">
        <v>-3</v>
      </c>
      <c r="X124" s="2" t="s">
        <v>480</v>
      </c>
      <c r="Y124" s="2"/>
      <c r="Z124" s="2"/>
      <c r="AA124" s="2"/>
      <c r="AB124" s="2"/>
      <c r="AC124" s="2"/>
      <c r="AD124" s="2"/>
      <c r="AE124" s="2"/>
      <c r="AF124" s="2"/>
      <c r="AG124" s="2"/>
      <c r="AO124">
        <v>5</v>
      </c>
      <c r="AR124" s="2">
        <f>(SQRT(M124*T124)*POWER((MIN(O124,20)+SQRT(MAX(O124-20,0))),0.9)*Data!$B$1)*(1-(U124-1))</f>
        <v>16.920240226133288</v>
      </c>
      <c r="AS124" s="2"/>
      <c r="AT124" s="2">
        <f>((POWER((M124*M124*T124), 0.33)*LOG10(R124)*10*Data!$B$1)*U124)+AS124</f>
        <v>43.093443625686163</v>
      </c>
      <c r="AU124" s="2">
        <f t="shared" si="68"/>
        <v>48.387096774193552</v>
      </c>
      <c r="AV124" s="2">
        <f t="shared" si="63"/>
        <v>0</v>
      </c>
      <c r="AX124" s="2">
        <v>1</v>
      </c>
      <c r="AY124" s="2">
        <v>1</v>
      </c>
      <c r="AZ124" s="2">
        <f t="shared" si="69"/>
        <v>8</v>
      </c>
      <c r="BA124" s="2">
        <f t="shared" si="70"/>
        <v>8</v>
      </c>
      <c r="BB124" s="3"/>
      <c r="BC124" s="3"/>
      <c r="BD124" s="3"/>
      <c r="BE124" s="2" t="str">
        <f>CONCATENATE(
ROUND(BB124*VLOOKUP(K124,'ID Scheme'!$A$2:$E$7,3),0), "x",
ROUND(BC124*VLOOKUP(K124,'ID Scheme'!$A$2:$E$7,5),0), "x",
ROUND(BD124*VLOOKUP(K124,'ID Scheme'!$A$2:$E$7,4),0))</f>
        <v>0x0x0</v>
      </c>
    </row>
    <row r="125" spans="1:58" x14ac:dyDescent="0.3">
      <c r="A125" t="s">
        <v>37</v>
      </c>
      <c r="B125" t="s">
        <v>266</v>
      </c>
      <c r="C125" t="s">
        <v>360</v>
      </c>
      <c r="D125">
        <f>IF(G125 &gt; 2020, ((G125-2020)*4)+1610+I125,IF(G125 &gt; 1900, ((G125-1900)*10)+400+I125, ((G125-1730)*2)+I125))+VLOOKUP(K125,'ID Scheme'!$A$2:$B$7,2, FALSE)</f>
        <v>5651</v>
      </c>
      <c r="E125">
        <v>5651</v>
      </c>
      <c r="F125" t="s">
        <v>683</v>
      </c>
      <c r="G125">
        <v>1965</v>
      </c>
      <c r="H125">
        <v>12</v>
      </c>
      <c r="I125">
        <v>1</v>
      </c>
      <c r="J125" t="s">
        <v>522</v>
      </c>
      <c r="K125" t="s">
        <v>14</v>
      </c>
      <c r="L125" t="s">
        <v>501</v>
      </c>
      <c r="M125">
        <v>65</v>
      </c>
      <c r="N125">
        <v>18</v>
      </c>
      <c r="O125">
        <v>14</v>
      </c>
      <c r="P125">
        <v>5</v>
      </c>
      <c r="Q125">
        <v>1.5</v>
      </c>
      <c r="R125">
        <v>90</v>
      </c>
      <c r="S125">
        <v>20</v>
      </c>
      <c r="T125">
        <v>8</v>
      </c>
      <c r="U125">
        <v>1</v>
      </c>
      <c r="V125" t="s">
        <v>356</v>
      </c>
      <c r="W125">
        <v>-3</v>
      </c>
      <c r="X125" s="2" t="s">
        <v>457</v>
      </c>
      <c r="Y125" s="2"/>
      <c r="Z125" s="2"/>
      <c r="AA125" s="2"/>
      <c r="AB125" s="2"/>
      <c r="AC125" s="2"/>
      <c r="AD125" s="2"/>
      <c r="AE125" s="2"/>
      <c r="AF125" s="2"/>
      <c r="AG125" s="2"/>
      <c r="AO125">
        <v>6</v>
      </c>
      <c r="AR125" s="2">
        <f>(SQRT(M125*T125)*POWER((MIN(O125,20)+SQRT(MAX(O125-20,0))),0.9)*Data!$B$1)*(1-(U125-1))</f>
        <v>18.389849172815911</v>
      </c>
      <c r="AS125" s="2"/>
      <c r="AT125" s="2">
        <f>((POWER((M125*M125*T125), 0.33)*LOG10(R125)*10*Data!$B$1)*U125)+AS125</f>
        <v>45.77013890849053</v>
      </c>
      <c r="AU125" s="2">
        <f t="shared" si="68"/>
        <v>52.41935483870968</v>
      </c>
      <c r="AV125" s="2">
        <f t="shared" si="63"/>
        <v>0</v>
      </c>
      <c r="AX125" s="2">
        <v>1</v>
      </c>
      <c r="AY125" s="2">
        <v>1</v>
      </c>
      <c r="AZ125" s="2">
        <f t="shared" si="69"/>
        <v>8</v>
      </c>
      <c r="BA125" s="2">
        <f t="shared" si="70"/>
        <v>8</v>
      </c>
      <c r="BB125" s="3"/>
      <c r="BC125" s="3"/>
      <c r="BD125" s="3"/>
      <c r="BE125" s="2" t="str">
        <f>CONCATENATE(
ROUND(BB125*VLOOKUP(K125,'ID Scheme'!$A$2:$E$7,3),0), "x",
ROUND(BC125*VLOOKUP(K125,'ID Scheme'!$A$2:$E$7,5),0), "x",
ROUND(BD125*VLOOKUP(K125,'ID Scheme'!$A$2:$E$7,4),0))</f>
        <v>0x0x0</v>
      </c>
    </row>
    <row r="126" spans="1:58" x14ac:dyDescent="0.3">
      <c r="A126" t="s">
        <v>655</v>
      </c>
      <c r="B126" t="s">
        <v>656</v>
      </c>
      <c r="C126" t="s">
        <v>360</v>
      </c>
      <c r="D126">
        <f>IF(G126 &gt; 2020, ((G126-2020)*4)+1610+I126,IF(G126 &gt; 1900, ((G126-1900)*10)+400+I126, ((G126-1730)*2)+I126))+VLOOKUP(K126,'ID Scheme'!$A$2:$B$7,2, FALSE)</f>
        <v>5691</v>
      </c>
      <c r="E126">
        <v>5691</v>
      </c>
      <c r="F126" t="s">
        <v>683</v>
      </c>
      <c r="G126">
        <v>1969</v>
      </c>
      <c r="H126">
        <v>6</v>
      </c>
      <c r="I126">
        <v>1</v>
      </c>
      <c r="J126" t="s">
        <v>522</v>
      </c>
      <c r="K126" t="s">
        <v>14</v>
      </c>
      <c r="L126" t="s">
        <v>501</v>
      </c>
      <c r="M126">
        <v>73</v>
      </c>
      <c r="N126">
        <v>18</v>
      </c>
      <c r="O126">
        <v>15</v>
      </c>
      <c r="P126">
        <v>5</v>
      </c>
      <c r="Q126">
        <v>1.5</v>
      </c>
      <c r="R126">
        <v>70</v>
      </c>
      <c r="S126">
        <v>20</v>
      </c>
      <c r="T126">
        <v>9</v>
      </c>
      <c r="U126">
        <v>1</v>
      </c>
      <c r="V126" t="s">
        <v>289</v>
      </c>
      <c r="W126">
        <v>-3</v>
      </c>
      <c r="X126" s="2" t="s">
        <v>657</v>
      </c>
      <c r="Y126" s="2"/>
      <c r="Z126" s="2"/>
      <c r="AA126" s="2"/>
      <c r="AB126" s="2"/>
      <c r="AC126" s="2"/>
      <c r="AD126" s="2"/>
      <c r="AE126" s="2"/>
      <c r="AF126" s="2"/>
      <c r="AG126" s="2"/>
      <c r="AO126">
        <v>6</v>
      </c>
      <c r="AR126" s="2">
        <f>(SQRT(M126*T126)*POWER((MIN(O126,20)+SQRT(MAX(O126-20,0))),0.9)*Data!$B$1)*(1-(U126-1))</f>
        <v>21.995107115642153</v>
      </c>
      <c r="AS126" s="2"/>
      <c r="AT126" s="2">
        <f>((POWER((M126*M126*T126), 0.33)*LOG10(R126)*10*Data!$B$1)*U126)+AS126</f>
        <v>48.503583583185062</v>
      </c>
      <c r="AU126" s="2">
        <f t="shared" ref="AU126" si="75">M126/1.24</f>
        <v>58.870967741935488</v>
      </c>
      <c r="AV126" s="2">
        <f t="shared" ref="AV126" si="76">AH126/1.24</f>
        <v>0</v>
      </c>
      <c r="AX126" s="2">
        <v>1</v>
      </c>
      <c r="AY126" s="2">
        <v>1</v>
      </c>
      <c r="AZ126" s="2">
        <f t="shared" ref="AZ126" si="77">T126/AY126</f>
        <v>9</v>
      </c>
      <c r="BA126" s="2">
        <f t="shared" ref="BA126" si="78">(T126)/MAX(AX126-1, 1)</f>
        <v>9</v>
      </c>
      <c r="BB126" s="3"/>
      <c r="BC126" s="3"/>
      <c r="BD126" s="3"/>
      <c r="BE126" s="2" t="str">
        <f>CONCATENATE(
ROUND(BB126*VLOOKUP(K126,'ID Scheme'!$A$2:$E$7,3),0), "x",
ROUND(BC126*VLOOKUP(K126,'ID Scheme'!$A$2:$E$7,5),0), "x",
ROUND(BD126*VLOOKUP(K126,'ID Scheme'!$A$2:$E$7,4),0))</f>
        <v>0x0x0</v>
      </c>
    </row>
    <row r="127" spans="1:58" x14ac:dyDescent="0.3">
      <c r="A127" t="s">
        <v>38</v>
      </c>
      <c r="B127" t="s">
        <v>267</v>
      </c>
      <c r="C127" t="s">
        <v>360</v>
      </c>
      <c r="D127">
        <f>IF(G127 &gt; 2020, ((G127-2020)*4)+1610+I127,IF(G127 &gt; 1900, ((G127-1900)*10)+400+I127, ((G127-1730)*2)+I127))+VLOOKUP(K127,'ID Scheme'!$A$2:$B$7,2, FALSE)</f>
        <v>5861</v>
      </c>
      <c r="E127">
        <v>5861</v>
      </c>
      <c r="F127" t="s">
        <v>683</v>
      </c>
      <c r="G127">
        <v>1986</v>
      </c>
      <c r="H127">
        <v>1</v>
      </c>
      <c r="I127">
        <v>1</v>
      </c>
      <c r="J127" t="s">
        <v>522</v>
      </c>
      <c r="K127" t="s">
        <v>14</v>
      </c>
      <c r="L127" t="s">
        <v>501</v>
      </c>
      <c r="M127">
        <v>80</v>
      </c>
      <c r="N127">
        <v>20</v>
      </c>
      <c r="O127">
        <v>14</v>
      </c>
      <c r="P127">
        <v>5</v>
      </c>
      <c r="Q127">
        <v>1.5</v>
      </c>
      <c r="R127">
        <v>100</v>
      </c>
      <c r="S127">
        <v>20</v>
      </c>
      <c r="T127">
        <v>10</v>
      </c>
      <c r="U127">
        <v>1</v>
      </c>
      <c r="V127" t="s">
        <v>356</v>
      </c>
      <c r="W127">
        <v>-3</v>
      </c>
      <c r="X127" s="2" t="s">
        <v>449</v>
      </c>
      <c r="Y127" s="2"/>
      <c r="Z127" s="2"/>
      <c r="AA127" s="2"/>
      <c r="AB127" s="2"/>
      <c r="AC127" s="2"/>
      <c r="AD127" s="2"/>
      <c r="AE127" s="2"/>
      <c r="AF127" s="2"/>
      <c r="AG127" s="2"/>
      <c r="AO127">
        <v>6</v>
      </c>
      <c r="AR127" s="2">
        <f>(SQRT(M127*T127)*POWER((MIN(O127,20)+SQRT(MAX(O127-20,0))),0.9)*Data!$B$1)*(1-(U127-1))</f>
        <v>22.809800612857963</v>
      </c>
      <c r="AS127" s="2"/>
      <c r="AT127" s="2">
        <f>((POWER((M127*M127*T127), 0.33)*LOG10(R127)*10*Data!$B$1)*U127)+AS127</f>
        <v>57.826998441289433</v>
      </c>
      <c r="AU127" s="2">
        <f t="shared" si="68"/>
        <v>64.516129032258064</v>
      </c>
      <c r="AV127" s="2">
        <f t="shared" si="63"/>
        <v>0</v>
      </c>
      <c r="AX127" s="2">
        <v>1</v>
      </c>
      <c r="AY127" s="2">
        <v>1</v>
      </c>
      <c r="AZ127" s="2">
        <f t="shared" si="69"/>
        <v>10</v>
      </c>
      <c r="BA127" s="2">
        <f t="shared" si="70"/>
        <v>10</v>
      </c>
      <c r="BB127" s="3"/>
      <c r="BC127" s="3"/>
      <c r="BD127" s="3"/>
      <c r="BE127" s="2" t="str">
        <f>CONCATENATE(
ROUND(BB127*VLOOKUP(K127,'ID Scheme'!$A$2:$E$7,3),0), "x",
ROUND(BC127*VLOOKUP(K127,'ID Scheme'!$A$2:$E$7,5),0), "x",
ROUND(BD127*VLOOKUP(K127,'ID Scheme'!$A$2:$E$7,4),0))</f>
        <v>0x0x0</v>
      </c>
    </row>
    <row r="128" spans="1:58" x14ac:dyDescent="0.3">
      <c r="A128" t="s">
        <v>40</v>
      </c>
      <c r="B128" t="s">
        <v>259</v>
      </c>
      <c r="C128" t="s">
        <v>360</v>
      </c>
      <c r="D128">
        <f>IF(G128 &gt; 2020, ((G128-2020)*4)+1610+I128,IF(G128 &gt; 1900, ((G128-1900)*10)+400+I128, ((G128-1730)*2)+I128))+VLOOKUP(K128,'ID Scheme'!$A$2:$B$7,2, FALSE)</f>
        <v>5862</v>
      </c>
      <c r="E128">
        <v>5862</v>
      </c>
      <c r="F128" t="s">
        <v>683</v>
      </c>
      <c r="G128">
        <v>1986</v>
      </c>
      <c r="H128">
        <v>1</v>
      </c>
      <c r="I128">
        <v>2</v>
      </c>
      <c r="J128" t="s">
        <v>522</v>
      </c>
      <c r="K128" t="s">
        <v>14</v>
      </c>
      <c r="L128" t="s">
        <v>501</v>
      </c>
      <c r="M128">
        <v>65</v>
      </c>
      <c r="N128">
        <v>20</v>
      </c>
      <c r="O128">
        <v>14</v>
      </c>
      <c r="P128">
        <v>5</v>
      </c>
      <c r="Q128">
        <v>1</v>
      </c>
      <c r="R128">
        <v>44</v>
      </c>
      <c r="S128">
        <v>20</v>
      </c>
      <c r="T128">
        <v>4</v>
      </c>
      <c r="U128">
        <v>1</v>
      </c>
      <c r="V128" t="s">
        <v>356</v>
      </c>
      <c r="W128">
        <v>-4</v>
      </c>
      <c r="X128" s="2" t="s">
        <v>455</v>
      </c>
      <c r="Y128" s="2"/>
      <c r="Z128" s="2"/>
      <c r="AA128" s="2"/>
      <c r="AB128" s="2"/>
      <c r="AC128" s="2"/>
      <c r="AD128" s="2"/>
      <c r="AE128" s="2"/>
      <c r="AF128" s="2"/>
      <c r="AG128" s="2"/>
      <c r="AO128">
        <v>4</v>
      </c>
      <c r="AR128" s="2">
        <f>(SQRT(M128*T128)*POWER((MIN(O128,20)+SQRT(MAX(O128-20,0))),0.9)*Data!$B$1)*(1-(U128-1))</f>
        <v>13.003587055095952</v>
      </c>
      <c r="AS128" s="2"/>
      <c r="AT128" s="2">
        <f>((POWER((M128*M128*T128), 0.33)*LOG10(R128)*10*Data!$B$1)*U128)+AS128</f>
        <v>30.621120528083672</v>
      </c>
      <c r="AU128" s="2">
        <f t="shared" si="68"/>
        <v>52.41935483870968</v>
      </c>
      <c r="AV128" s="2">
        <f t="shared" si="63"/>
        <v>0</v>
      </c>
      <c r="AX128" s="2">
        <v>1</v>
      </c>
      <c r="AY128" s="2">
        <v>1</v>
      </c>
      <c r="AZ128" s="2">
        <f t="shared" si="69"/>
        <v>4</v>
      </c>
      <c r="BA128" s="2">
        <f t="shared" si="70"/>
        <v>4</v>
      </c>
      <c r="BB128" s="3"/>
      <c r="BC128" s="3"/>
      <c r="BD128" s="3"/>
      <c r="BE128" s="2" t="str">
        <f>CONCATENATE(
ROUND(BB128*VLOOKUP(K128,'ID Scheme'!$A$2:$E$7,3),0), "x",
ROUND(BC128*VLOOKUP(K128,'ID Scheme'!$A$2:$E$7,5),0), "x",
ROUND(BD128*VLOOKUP(K128,'ID Scheme'!$A$2:$E$7,4),0))</f>
        <v>0x0x0</v>
      </c>
    </row>
    <row r="129" spans="1:58" x14ac:dyDescent="0.3">
      <c r="A129" t="s">
        <v>42</v>
      </c>
      <c r="B129" t="s">
        <v>213</v>
      </c>
      <c r="C129" t="s">
        <v>360</v>
      </c>
      <c r="D129">
        <f>IF(G129 &gt; 2020, ((G129-2020)*4)+1610+I129,IF(G129 &gt; 1900, ((G129-1900)*10)+400+I129, ((G129-1730)*2)+I129))+VLOOKUP(K129,'ID Scheme'!$A$2:$B$7,2, FALSE)</f>
        <v>6061</v>
      </c>
      <c r="E129">
        <v>6061</v>
      </c>
      <c r="F129" t="s">
        <v>683</v>
      </c>
      <c r="G129">
        <v>2006</v>
      </c>
      <c r="H129">
        <v>1</v>
      </c>
      <c r="I129">
        <v>1</v>
      </c>
      <c r="J129" t="s">
        <v>522</v>
      </c>
      <c r="K129" t="s">
        <v>14</v>
      </c>
      <c r="L129" t="s">
        <v>501</v>
      </c>
      <c r="M129">
        <v>85</v>
      </c>
      <c r="N129">
        <v>-1</v>
      </c>
      <c r="O129">
        <v>15</v>
      </c>
      <c r="P129">
        <v>5</v>
      </c>
      <c r="Q129">
        <v>2</v>
      </c>
      <c r="R129">
        <v>160</v>
      </c>
      <c r="S129">
        <v>20</v>
      </c>
      <c r="T129">
        <v>12</v>
      </c>
      <c r="U129">
        <v>1</v>
      </c>
      <c r="V129" t="s">
        <v>356</v>
      </c>
      <c r="W129">
        <v>-4</v>
      </c>
      <c r="X129" s="2" t="s">
        <v>454</v>
      </c>
      <c r="Y129" s="2"/>
      <c r="Z129" s="2"/>
      <c r="AA129" s="2"/>
      <c r="AB129" s="2"/>
      <c r="AC129" s="2"/>
      <c r="AD129" s="2"/>
      <c r="AE129" s="2"/>
      <c r="AF129" s="2"/>
      <c r="AG129" s="2"/>
      <c r="AO129">
        <v>7</v>
      </c>
      <c r="AR129" s="2">
        <f>(SQRT(M129*T129)*POWER((MIN(O129,20)+SQRT(MAX(O129-20,0))),0.9)*Data!$B$1)*(1-(U129-1))</f>
        <v>27.405863002169326</v>
      </c>
      <c r="AS129" s="2"/>
      <c r="AT129" s="2">
        <f>((POWER((M129*M129*T129), 0.33)*LOG10(R129)*10*Data!$B$1)*U129)+AS129</f>
        <v>70.44380358335296</v>
      </c>
      <c r="AU129" s="2">
        <f t="shared" si="68"/>
        <v>68.548387096774192</v>
      </c>
      <c r="AV129" s="2">
        <f t="shared" si="63"/>
        <v>0</v>
      </c>
      <c r="AX129" s="2">
        <v>1</v>
      </c>
      <c r="AY129" s="2">
        <v>1</v>
      </c>
      <c r="AZ129" s="2">
        <f t="shared" si="69"/>
        <v>12</v>
      </c>
      <c r="BA129" s="2">
        <f t="shared" si="70"/>
        <v>12</v>
      </c>
      <c r="BB129" s="3"/>
      <c r="BC129" s="3"/>
      <c r="BD129" s="3"/>
      <c r="BE129" s="2" t="str">
        <f>CONCATENATE(
ROUND(BB129*VLOOKUP(K129,'ID Scheme'!$A$2:$E$7,3),0), "x",
ROUND(BC129*VLOOKUP(K129,'ID Scheme'!$A$2:$E$7,5),0), "x",
ROUND(BD129*VLOOKUP(K129,'ID Scheme'!$A$2:$E$7,4),0))</f>
        <v>0x0x0</v>
      </c>
    </row>
    <row r="130" spans="1:58" x14ac:dyDescent="0.3">
      <c r="A130" t="s">
        <v>41</v>
      </c>
      <c r="B130" t="s">
        <v>265</v>
      </c>
      <c r="C130" t="s">
        <v>360</v>
      </c>
      <c r="D130">
        <f>IF(G130 &gt; 2020, ((G130-2020)*4)+1610+I130,IF(G130 &gt; 1900, ((G130-1900)*10)+400+I130, ((G130-1730)*2)+I130))+VLOOKUP(K130,'ID Scheme'!$A$2:$B$7,2, FALSE)</f>
        <v>6121</v>
      </c>
      <c r="E130">
        <v>6121</v>
      </c>
      <c r="F130" t="s">
        <v>683</v>
      </c>
      <c r="G130">
        <v>2012</v>
      </c>
      <c r="H130">
        <v>1</v>
      </c>
      <c r="I130">
        <v>1</v>
      </c>
      <c r="J130" t="s">
        <v>522</v>
      </c>
      <c r="K130" t="s">
        <v>14</v>
      </c>
      <c r="L130" t="s">
        <v>501</v>
      </c>
      <c r="M130">
        <v>92</v>
      </c>
      <c r="N130">
        <v>-1</v>
      </c>
      <c r="O130">
        <v>14</v>
      </c>
      <c r="P130">
        <v>5</v>
      </c>
      <c r="Q130">
        <v>1.5</v>
      </c>
      <c r="R130">
        <v>125</v>
      </c>
      <c r="S130">
        <v>20</v>
      </c>
      <c r="T130">
        <v>10</v>
      </c>
      <c r="U130">
        <v>1</v>
      </c>
      <c r="V130" t="s">
        <v>356</v>
      </c>
      <c r="W130">
        <v>-4</v>
      </c>
      <c r="X130" s="2" t="s">
        <v>453</v>
      </c>
      <c r="Y130" s="2"/>
      <c r="Z130" s="2"/>
      <c r="AA130" s="2"/>
      <c r="AB130" s="2"/>
      <c r="AC130" s="2"/>
      <c r="AD130" s="2"/>
      <c r="AE130" s="2"/>
      <c r="AF130" s="2"/>
      <c r="AG130" s="2"/>
      <c r="AO130">
        <v>6</v>
      </c>
      <c r="AR130" s="2">
        <f>(SQRT(M130*T130)*POWER((MIN(O130,20)+SQRT(MAX(O130-20,0))),0.9)*Data!$B$1)*(1-(U130-1))</f>
        <v>24.460786058466841</v>
      </c>
      <c r="AS130" s="2"/>
      <c r="AT130" s="2">
        <f>((POWER((M130*M130*T130), 0.33)*LOG10(R130)*10*Data!$B$1)*U130)+AS130</f>
        <v>66.487656097371513</v>
      </c>
      <c r="AU130" s="2">
        <f t="shared" si="68"/>
        <v>74.193548387096769</v>
      </c>
      <c r="AV130" s="2">
        <f t="shared" si="63"/>
        <v>0</v>
      </c>
      <c r="AX130" s="2">
        <v>1</v>
      </c>
      <c r="AY130" s="2">
        <v>1</v>
      </c>
      <c r="AZ130" s="2">
        <f t="shared" si="69"/>
        <v>10</v>
      </c>
      <c r="BA130" s="2">
        <f t="shared" si="70"/>
        <v>10</v>
      </c>
      <c r="BB130" s="3"/>
      <c r="BC130" s="3"/>
      <c r="BD130" s="3"/>
      <c r="BE130" s="2" t="str">
        <f>CONCATENATE(
ROUND(BB130*VLOOKUP(K130,'ID Scheme'!$A$2:$E$7,3),0), "x",
ROUND(BC130*VLOOKUP(K130,'ID Scheme'!$A$2:$E$7,5),0), "x",
ROUND(BD130*VLOOKUP(K130,'ID Scheme'!$A$2:$E$7,4),0))</f>
        <v>0x0x0</v>
      </c>
    </row>
    <row r="131" spans="1:58" x14ac:dyDescent="0.3">
      <c r="A131" t="s">
        <v>49</v>
      </c>
      <c r="B131" t="s">
        <v>258</v>
      </c>
      <c r="C131" t="s">
        <v>361</v>
      </c>
      <c r="D131">
        <f>IF(G131 &gt; 2020, ((G131-2020)*4)+1610+I131,IF(G131 &gt; 1900, ((G131-1900)*10)+400+I131, ((G131-1730)*2)+I131))+VLOOKUP(K131,'ID Scheme'!$A$2:$B$7,2, FALSE)</f>
        <v>7581</v>
      </c>
      <c r="E131">
        <v>7581</v>
      </c>
      <c r="F131" t="s">
        <v>683</v>
      </c>
      <c r="G131">
        <v>1958</v>
      </c>
      <c r="H131">
        <v>1</v>
      </c>
      <c r="I131">
        <v>1</v>
      </c>
      <c r="J131" t="s">
        <v>523</v>
      </c>
      <c r="K131" t="s">
        <v>48</v>
      </c>
      <c r="L131" t="s">
        <v>501</v>
      </c>
      <c r="M131">
        <v>75</v>
      </c>
      <c r="N131">
        <v>50</v>
      </c>
      <c r="O131">
        <v>15</v>
      </c>
      <c r="P131">
        <v>5</v>
      </c>
      <c r="Q131">
        <v>1.6</v>
      </c>
      <c r="R131">
        <v>68</v>
      </c>
      <c r="S131">
        <v>10</v>
      </c>
      <c r="T131">
        <v>4</v>
      </c>
      <c r="U131">
        <v>0.95</v>
      </c>
      <c r="V131" t="s">
        <v>356</v>
      </c>
      <c r="W131">
        <v>-4</v>
      </c>
      <c r="X131" s="2" t="s">
        <v>452</v>
      </c>
      <c r="Y131" s="2"/>
      <c r="Z131" s="2"/>
      <c r="AA131" s="2"/>
      <c r="AB131" s="2"/>
      <c r="AC131" s="2"/>
      <c r="AD131" s="2"/>
      <c r="AE131" s="2"/>
      <c r="AF131" s="2"/>
      <c r="AG131" s="2">
        <v>230</v>
      </c>
      <c r="AO131">
        <v>4</v>
      </c>
      <c r="AR131" s="2">
        <f>(SQRT(M131*T131)*POWER((MIN(O131,20)+SQRT(MAX(O131-20,0))),0.9)*Data!$B$1)*(1-(U131-1))</f>
        <v>15.606061820936905</v>
      </c>
      <c r="AS131" s="2"/>
      <c r="AT131" s="2">
        <f>((POWER((M131*M131*T131), 0.33)*LOG10(R131)*10*Data!$B$1)*U131)+AS131</f>
        <v>35.649315485846252</v>
      </c>
      <c r="AU131" s="2">
        <f t="shared" si="68"/>
        <v>60.483870967741936</v>
      </c>
      <c r="AV131" s="2">
        <f t="shared" si="63"/>
        <v>0</v>
      </c>
      <c r="AX131" s="2">
        <v>1</v>
      </c>
      <c r="AY131" s="2">
        <v>1</v>
      </c>
      <c r="AZ131" s="2">
        <f t="shared" si="69"/>
        <v>4</v>
      </c>
      <c r="BA131" s="2">
        <f t="shared" si="70"/>
        <v>4</v>
      </c>
      <c r="BB131" s="3"/>
      <c r="BC131" s="3"/>
      <c r="BD131" s="3"/>
      <c r="BE131" s="2" t="str">
        <f>CONCATENATE(
ROUND(BB131*VLOOKUP(K131,'ID Scheme'!$A$2:$E$7,3),0), "x",
ROUND(BC131*VLOOKUP(K131,'ID Scheme'!$A$2:$E$7,5),0), "x",
ROUND(BD131*VLOOKUP(K131,'ID Scheme'!$A$2:$E$7,4),0))</f>
        <v>0x0x0</v>
      </c>
      <c r="BF131" t="s">
        <v>55</v>
      </c>
    </row>
    <row r="132" spans="1:58" x14ac:dyDescent="0.3">
      <c r="A132" t="s">
        <v>71</v>
      </c>
      <c r="B132" t="s">
        <v>209</v>
      </c>
      <c r="C132" t="s">
        <v>285</v>
      </c>
      <c r="D132">
        <f>IF(G132 &gt; 2020, ((G132-2020)*4)+1610+I132,IF(G132 &gt; 1900, ((G132-1900)*10)+400+I132, ((G132-1730)*2)+I132))+VLOOKUP(K132,'ID Scheme'!$A$2:$B$7,2, FALSE)</f>
        <v>7741</v>
      </c>
      <c r="E132">
        <v>7741</v>
      </c>
      <c r="F132" t="s">
        <v>683</v>
      </c>
      <c r="G132">
        <v>1974</v>
      </c>
      <c r="H132">
        <v>6</v>
      </c>
      <c r="I132">
        <v>1</v>
      </c>
      <c r="J132" t="s">
        <v>523</v>
      </c>
      <c r="K132" t="s">
        <v>48</v>
      </c>
      <c r="L132" t="s">
        <v>501</v>
      </c>
      <c r="M132">
        <v>63</v>
      </c>
      <c r="N132">
        <v>22</v>
      </c>
      <c r="O132">
        <v>12</v>
      </c>
      <c r="P132">
        <v>5</v>
      </c>
      <c r="Q132">
        <v>1.5</v>
      </c>
      <c r="R132">
        <v>55</v>
      </c>
      <c r="S132">
        <v>20</v>
      </c>
      <c r="T132">
        <v>8</v>
      </c>
      <c r="U132">
        <v>1</v>
      </c>
      <c r="V132" t="s">
        <v>356</v>
      </c>
      <c r="W132">
        <v>-4</v>
      </c>
      <c r="X132" s="2" t="s">
        <v>451</v>
      </c>
      <c r="Y132" s="2"/>
      <c r="Z132" s="2"/>
      <c r="AA132" s="2"/>
      <c r="AB132" s="2"/>
      <c r="AC132" s="2"/>
      <c r="AD132" s="2"/>
      <c r="AE132" s="2"/>
      <c r="AF132" s="2"/>
      <c r="AG132" s="2"/>
      <c r="AO132">
        <v>5</v>
      </c>
      <c r="AR132" s="2">
        <f>(SQRT(M132*T132)*POWER((MIN(O132,20)+SQRT(MAX(O132-20,0))),0.9)*Data!$B$1)*(1-(U132-1))</f>
        <v>15.759399066413742</v>
      </c>
      <c r="AS132" s="2"/>
      <c r="AT132" s="2">
        <f>((POWER((M132*M132*T132), 0.33)*LOG10(R132)*10*Data!$B$1)*U132)+AS132</f>
        <v>39.928728984013709</v>
      </c>
      <c r="AU132" s="2">
        <f t="shared" si="68"/>
        <v>50.806451612903224</v>
      </c>
      <c r="AV132" s="2">
        <f t="shared" si="63"/>
        <v>0</v>
      </c>
      <c r="AX132" s="2">
        <v>1</v>
      </c>
      <c r="AY132" s="2">
        <v>1</v>
      </c>
      <c r="AZ132" s="2">
        <f t="shared" si="69"/>
        <v>8</v>
      </c>
      <c r="BA132" s="2">
        <f t="shared" si="70"/>
        <v>8</v>
      </c>
      <c r="BD132" s="3"/>
      <c r="BE132" s="2" t="str">
        <f>CONCATENATE(
ROUND(BB132*VLOOKUP(K132,'ID Scheme'!$A$2:$E$7,3),0), "x",
ROUND(BC132*VLOOKUP(K132,'ID Scheme'!$A$2:$E$7,5),0), "x",
ROUND(BD132*VLOOKUP(K132,'ID Scheme'!$A$2:$E$7,4),0))</f>
        <v>0x0x0</v>
      </c>
    </row>
    <row r="133" spans="1:58" x14ac:dyDescent="0.3">
      <c r="A133" t="s">
        <v>51</v>
      </c>
      <c r="B133" t="s">
        <v>201</v>
      </c>
      <c r="C133" t="s">
        <v>285</v>
      </c>
      <c r="D133">
        <f>IF(G133 &gt; 2020, ((G133-2020)*4)+1610+I133,IF(G133 &gt; 1900, ((G133-1900)*10)+400+I133, ((G133-1730)*2)+I133))+VLOOKUP(K133,'ID Scheme'!$A$2:$B$7,2, FALSE)</f>
        <v>7761</v>
      </c>
      <c r="E133">
        <v>7761</v>
      </c>
      <c r="F133" t="s">
        <v>683</v>
      </c>
      <c r="G133">
        <v>1976</v>
      </c>
      <c r="H133">
        <v>9</v>
      </c>
      <c r="I133">
        <v>1</v>
      </c>
      <c r="J133" t="s">
        <v>523</v>
      </c>
      <c r="K133" t="s">
        <v>48</v>
      </c>
      <c r="L133" t="s">
        <v>501</v>
      </c>
      <c r="M133">
        <v>90</v>
      </c>
      <c r="N133">
        <v>18</v>
      </c>
      <c r="O133">
        <v>10</v>
      </c>
      <c r="P133">
        <v>4</v>
      </c>
      <c r="Q133">
        <v>1.2</v>
      </c>
      <c r="R133">
        <v>73</v>
      </c>
      <c r="S133">
        <v>20</v>
      </c>
      <c r="T133">
        <v>4</v>
      </c>
      <c r="U133">
        <v>1</v>
      </c>
      <c r="V133" t="s">
        <v>357</v>
      </c>
      <c r="W133">
        <v>-4</v>
      </c>
      <c r="X133" s="2" t="s">
        <v>450</v>
      </c>
      <c r="Y133" s="2"/>
      <c r="Z133" s="2"/>
      <c r="AA133" s="2"/>
      <c r="AB133" s="2"/>
      <c r="AC133" s="2"/>
      <c r="AD133" s="2"/>
      <c r="AE133" s="2"/>
      <c r="AF133" s="2"/>
      <c r="AG133" s="2">
        <v>275</v>
      </c>
      <c r="AO133">
        <v>5</v>
      </c>
      <c r="AR133" s="2">
        <f>(SQRT(M133*T133)*POWER((MIN(O133,20)+SQRT(MAX(O133-20,0))),0.9)*Data!$B$1)*(1-(U133-1))</f>
        <v>11.303488941793114</v>
      </c>
      <c r="AS133" s="2"/>
      <c r="AT133" s="2">
        <f>((POWER((M133*M133*T133), 0.33)*LOG10(R133)*10*Data!$B$1)*U133)+AS133</f>
        <v>43.035735424114051</v>
      </c>
      <c r="AU133" s="2">
        <f t="shared" si="68"/>
        <v>72.58064516129032</v>
      </c>
      <c r="AV133" s="2">
        <f t="shared" si="63"/>
        <v>0</v>
      </c>
      <c r="AX133" s="2">
        <v>1</v>
      </c>
      <c r="AY133" s="2">
        <v>1</v>
      </c>
      <c r="AZ133" s="2">
        <f t="shared" si="69"/>
        <v>4</v>
      </c>
      <c r="BA133" s="2">
        <f t="shared" si="70"/>
        <v>4</v>
      </c>
      <c r="BB133" s="3">
        <v>4.4000000000000004</v>
      </c>
      <c r="BC133" s="3">
        <v>1.8</v>
      </c>
      <c r="BD133" s="3">
        <v>1.5</v>
      </c>
      <c r="BE133" s="2" t="str">
        <f>CONCATENATE(
ROUND(BB133*VLOOKUP(K133,'ID Scheme'!$A$2:$E$7,3),0), "x",
ROUND(BC133*VLOOKUP(K133,'ID Scheme'!$A$2:$E$7,5),0), "x",
ROUND(BD133*VLOOKUP(K133,'ID Scheme'!$A$2:$E$7,4),0))</f>
        <v>41x26x15</v>
      </c>
    </row>
    <row r="134" spans="1:58" x14ac:dyDescent="0.3">
      <c r="A134" t="s">
        <v>99</v>
      </c>
      <c r="B134" t="s">
        <v>268</v>
      </c>
      <c r="C134" t="s">
        <v>285</v>
      </c>
      <c r="D134">
        <f>IF(G134 &gt; 2020, ((G134-2020)*4)+1610+I134,IF(G134 &gt; 1900, ((G134-1900)*10)+400+I134, ((G134-1730)*2)+I134))+VLOOKUP(K134,'ID Scheme'!$A$2:$B$7,2, FALSE)</f>
        <v>7861</v>
      </c>
      <c r="E134">
        <v>7861</v>
      </c>
      <c r="F134" t="s">
        <v>683</v>
      </c>
      <c r="G134">
        <v>1986</v>
      </c>
      <c r="H134">
        <v>2</v>
      </c>
      <c r="I134">
        <v>1</v>
      </c>
      <c r="J134" t="s">
        <v>523</v>
      </c>
      <c r="K134" t="s">
        <v>48</v>
      </c>
      <c r="L134" t="s">
        <v>501</v>
      </c>
      <c r="M134">
        <v>80</v>
      </c>
      <c r="N134">
        <v>26</v>
      </c>
      <c r="O134">
        <v>14</v>
      </c>
      <c r="P134">
        <v>5</v>
      </c>
      <c r="Q134">
        <v>1.5</v>
      </c>
      <c r="R134">
        <v>100</v>
      </c>
      <c r="S134">
        <v>20</v>
      </c>
      <c r="T134">
        <v>9</v>
      </c>
      <c r="U134">
        <v>1</v>
      </c>
      <c r="V134" t="s">
        <v>356</v>
      </c>
      <c r="W134">
        <v>-4</v>
      </c>
      <c r="X134" s="2" t="s">
        <v>456</v>
      </c>
      <c r="Y134" s="2"/>
      <c r="Z134" s="2"/>
      <c r="AA134" s="2"/>
      <c r="AB134" s="2"/>
      <c r="AC134" s="2"/>
      <c r="AD134" s="2"/>
      <c r="AE134" s="2"/>
      <c r="AF134" s="2"/>
      <c r="AG134" s="2"/>
      <c r="AO134">
        <v>6</v>
      </c>
      <c r="AR134" s="2">
        <f>(SQRT(M134*T134)*POWER((MIN(O134,20)+SQRT(MAX(O134-20,0))),0.9)*Data!$B$1)*(1-(U134-1))</f>
        <v>21.639276873280725</v>
      </c>
      <c r="AS134" s="2"/>
      <c r="AT134" s="2">
        <f>((POWER((M134*M134*T134), 0.33)*LOG10(R134)*10*Data!$B$1)*U134)+AS134</f>
        <v>55.850964649456358</v>
      </c>
      <c r="AU134" s="2">
        <f t="shared" si="68"/>
        <v>64.516129032258064</v>
      </c>
      <c r="AV134" s="2">
        <f t="shared" si="63"/>
        <v>0</v>
      </c>
      <c r="AX134" s="2">
        <v>1</v>
      </c>
      <c r="AY134" s="2">
        <v>1</v>
      </c>
      <c r="AZ134" s="2">
        <f t="shared" si="69"/>
        <v>9</v>
      </c>
      <c r="BA134" s="2">
        <f t="shared" si="70"/>
        <v>9</v>
      </c>
      <c r="BD134" s="3"/>
      <c r="BE134" s="2" t="str">
        <f>CONCATENATE(
ROUND(BB134*VLOOKUP(K134,'ID Scheme'!$A$2:$E$7,3),0), "x",
ROUND(BC134*VLOOKUP(K134,'ID Scheme'!$A$2:$E$7,5),0), "x",
ROUND(BD134*VLOOKUP(K134,'ID Scheme'!$A$2:$E$7,4),0))</f>
        <v>0x0x0</v>
      </c>
    </row>
    <row r="135" spans="1:58" x14ac:dyDescent="0.3">
      <c r="A135" t="s">
        <v>52</v>
      </c>
      <c r="B135" t="s">
        <v>221</v>
      </c>
      <c r="C135" t="s">
        <v>285</v>
      </c>
      <c r="D135">
        <f>IF(G135 &gt; 2020, ((G135-2020)*4)+1610+I135,IF(G135 &gt; 1900, ((G135-1900)*10)+400+I135, ((G135-1730)*2)+I135))+VLOOKUP(K135,'ID Scheme'!$A$2:$B$7,2, FALSE)</f>
        <v>7941</v>
      </c>
      <c r="E135">
        <v>7941</v>
      </c>
      <c r="F135" t="s">
        <v>683</v>
      </c>
      <c r="G135">
        <v>1994</v>
      </c>
      <c r="H135">
        <v>4</v>
      </c>
      <c r="I135">
        <v>1</v>
      </c>
      <c r="J135" t="s">
        <v>523</v>
      </c>
      <c r="K135" t="s">
        <v>48</v>
      </c>
      <c r="L135" t="s">
        <v>501</v>
      </c>
      <c r="M135">
        <v>120</v>
      </c>
      <c r="N135">
        <v>15</v>
      </c>
      <c r="O135">
        <v>12</v>
      </c>
      <c r="P135">
        <v>4</v>
      </c>
      <c r="Q135">
        <v>1.7</v>
      </c>
      <c r="R135">
        <v>168</v>
      </c>
      <c r="S135">
        <v>20</v>
      </c>
      <c r="T135">
        <v>4</v>
      </c>
      <c r="U135">
        <v>1.05</v>
      </c>
      <c r="V135" t="s">
        <v>357</v>
      </c>
      <c r="W135">
        <v>-4</v>
      </c>
      <c r="X135" s="2" t="s">
        <v>448</v>
      </c>
      <c r="Y135" s="2"/>
      <c r="Z135" s="2"/>
      <c r="AA135" s="2"/>
      <c r="AB135" s="2"/>
      <c r="AC135" s="2"/>
      <c r="AD135" s="2"/>
      <c r="AE135" s="2"/>
      <c r="AF135" s="2"/>
      <c r="AG135" s="2">
        <v>275</v>
      </c>
      <c r="AO135">
        <v>5</v>
      </c>
      <c r="AR135" s="2">
        <f>(SQRT(M135*T135)*POWER((MIN(O135,20)+SQRT(MAX(O135-20,0))),0.9)*Data!$B$1)*(1-(U135-1))</f>
        <v>14.610618763611306</v>
      </c>
      <c r="AS135" s="2"/>
      <c r="AT135" s="2">
        <f>((POWER((M135*M135*T135), 0.33)*LOG10(R135)*10*Data!$B$1)*U135)+AS135</f>
        <v>65.249976764583593</v>
      </c>
      <c r="AU135" s="2">
        <f t="shared" si="68"/>
        <v>96.774193548387103</v>
      </c>
      <c r="AV135" s="2">
        <f t="shared" si="63"/>
        <v>0</v>
      </c>
      <c r="AX135" s="2">
        <v>1</v>
      </c>
      <c r="AY135" s="2">
        <v>1</v>
      </c>
      <c r="AZ135" s="2">
        <f t="shared" si="69"/>
        <v>4</v>
      </c>
      <c r="BA135" s="2">
        <f t="shared" si="70"/>
        <v>4</v>
      </c>
      <c r="BB135" s="3">
        <v>5</v>
      </c>
      <c r="BC135" s="3">
        <v>2</v>
      </c>
      <c r="BD135" s="3">
        <v>1.5</v>
      </c>
      <c r="BE135" s="2" t="str">
        <f>CONCATENATE(
ROUND(BB135*VLOOKUP(K135,'ID Scheme'!$A$2:$E$7,3),0), "x",
ROUND(BC135*VLOOKUP(K135,'ID Scheme'!$A$2:$E$7,5),0), "x",
ROUND(BD135*VLOOKUP(K135,'ID Scheme'!$A$2:$E$7,4),0))</f>
        <v>47x29x15</v>
      </c>
    </row>
    <row r="136" spans="1:58" x14ac:dyDescent="0.3">
      <c r="A136" t="s">
        <v>50</v>
      </c>
      <c r="B136" t="s">
        <v>211</v>
      </c>
      <c r="C136" t="s">
        <v>361</v>
      </c>
      <c r="D136">
        <f>IF(G136 &gt; 2020, ((G136-2020)*4)+1610+I136,IF(G136 &gt; 1900, ((G136-1900)*10)+400+I136, ((G136-1730)*2)+I136))+VLOOKUP(K136,'ID Scheme'!$A$2:$B$7,2, FALSE)</f>
        <v>7971</v>
      </c>
      <c r="E136">
        <v>7971</v>
      </c>
      <c r="F136" t="s">
        <v>683</v>
      </c>
      <c r="G136">
        <v>1997</v>
      </c>
      <c r="H136">
        <v>1</v>
      </c>
      <c r="I136">
        <v>1</v>
      </c>
      <c r="J136" t="s">
        <v>523</v>
      </c>
      <c r="K136" t="s">
        <v>48</v>
      </c>
      <c r="L136" t="s">
        <v>501</v>
      </c>
      <c r="M136">
        <v>81</v>
      </c>
      <c r="N136">
        <v>-1</v>
      </c>
      <c r="O136">
        <v>15</v>
      </c>
      <c r="P136">
        <v>5</v>
      </c>
      <c r="Q136">
        <v>1.8</v>
      </c>
      <c r="R136">
        <v>88</v>
      </c>
      <c r="S136">
        <v>12</v>
      </c>
      <c r="T136">
        <v>5</v>
      </c>
      <c r="U136">
        <v>0.95</v>
      </c>
      <c r="V136" t="s">
        <v>356</v>
      </c>
      <c r="W136">
        <v>-4</v>
      </c>
      <c r="X136" s="2" t="s">
        <v>447</v>
      </c>
      <c r="Y136" s="2"/>
      <c r="Z136" s="2"/>
      <c r="AA136" s="2"/>
      <c r="AB136" s="2"/>
      <c r="AC136" s="2"/>
      <c r="AD136" s="2"/>
      <c r="AE136" s="2"/>
      <c r="AF136" s="2"/>
      <c r="AG136" s="2">
        <v>230</v>
      </c>
      <c r="AO136">
        <v>4</v>
      </c>
      <c r="AR136" s="2">
        <f>(SQRT(M136*T136)*POWER((MIN(O136,20)+SQRT(MAX(O136-20,0))),0.9)*Data!$B$1)*(1-(U136-1))</f>
        <v>18.132605259711607</v>
      </c>
      <c r="AS136" s="2"/>
      <c r="AT136" s="2">
        <f>((POWER((M136*M136*T136), 0.33)*LOG10(R136)*10*Data!$B$1)*U136)+AS136</f>
        <v>42.839970188987628</v>
      </c>
      <c r="AU136" s="2">
        <f t="shared" si="68"/>
        <v>65.322580645161295</v>
      </c>
      <c r="AV136" s="2">
        <f t="shared" si="63"/>
        <v>0</v>
      </c>
      <c r="AX136" s="2">
        <v>1</v>
      </c>
      <c r="AY136" s="2">
        <v>1</v>
      </c>
      <c r="AZ136" s="2">
        <f t="shared" si="69"/>
        <v>5</v>
      </c>
      <c r="BA136" s="2">
        <f t="shared" si="70"/>
        <v>5</v>
      </c>
      <c r="BB136" s="3"/>
      <c r="BC136" s="3"/>
      <c r="BD136" s="3"/>
      <c r="BE136" s="2" t="str">
        <f>CONCATENATE(
ROUND(BB136*VLOOKUP(K136,'ID Scheme'!$A$2:$E$7,3),0), "x",
ROUND(BC136*VLOOKUP(K136,'ID Scheme'!$A$2:$E$7,5),0), "x",
ROUND(BD136*VLOOKUP(K136,'ID Scheme'!$A$2:$E$7,4),0))</f>
        <v>0x0x0</v>
      </c>
      <c r="BF136" t="s">
        <v>56</v>
      </c>
    </row>
    <row r="137" spans="1:58" x14ac:dyDescent="0.3">
      <c r="A137" t="s">
        <v>54</v>
      </c>
      <c r="B137" t="s">
        <v>270</v>
      </c>
      <c r="C137" t="s">
        <v>285</v>
      </c>
      <c r="D137">
        <f>IF(G137 &gt; 2020, ((G137-2020)*4)+1610+I137,IF(G137 &gt; 1900, ((G137-1900)*10)+400+I137, ((G137-1730)*2)+I137))+VLOOKUP(K137,'ID Scheme'!$A$2:$B$7,2, FALSE)</f>
        <v>8041</v>
      </c>
      <c r="E137">
        <v>8041</v>
      </c>
      <c r="F137" t="s">
        <v>683</v>
      </c>
      <c r="G137">
        <v>2004</v>
      </c>
      <c r="H137">
        <v>2</v>
      </c>
      <c r="I137">
        <v>1</v>
      </c>
      <c r="J137" t="s">
        <v>524</v>
      </c>
      <c r="K137" t="s">
        <v>48</v>
      </c>
      <c r="L137" t="s">
        <v>501</v>
      </c>
      <c r="M137">
        <v>145</v>
      </c>
      <c r="N137">
        <v>10</v>
      </c>
      <c r="O137">
        <v>14</v>
      </c>
      <c r="P137">
        <v>4</v>
      </c>
      <c r="Q137">
        <v>1.5</v>
      </c>
      <c r="R137">
        <v>217</v>
      </c>
      <c r="S137">
        <v>16</v>
      </c>
      <c r="T137">
        <v>4</v>
      </c>
      <c r="U137">
        <v>1</v>
      </c>
      <c r="V137" t="s">
        <v>358</v>
      </c>
      <c r="W137">
        <v>-4</v>
      </c>
      <c r="X137" s="2" t="s">
        <v>445</v>
      </c>
      <c r="Y137" s="2"/>
      <c r="Z137" s="2"/>
      <c r="AA137" s="2"/>
      <c r="AB137" s="2"/>
      <c r="AC137" s="2"/>
      <c r="AD137" s="2"/>
      <c r="AE137" s="2"/>
      <c r="AF137" s="2"/>
      <c r="AG137" s="2">
        <v>295</v>
      </c>
      <c r="AO137">
        <v>5</v>
      </c>
      <c r="AR137" s="2">
        <f>(SQRT(M137*T137)*POWER((MIN(O137,20)+SQRT(MAX(O137-20,0))),0.9)*Data!$B$1)*(1-(U137-1))</f>
        <v>19.421845378305154</v>
      </c>
      <c r="AS137" s="2"/>
      <c r="AT137" s="2">
        <f>((POWER((M137*M137*T137), 0.33)*LOG10(R137)*10*Data!$B$1)*U137)+AS137</f>
        <v>73.926857052811044</v>
      </c>
      <c r="AU137" s="2">
        <f t="shared" si="68"/>
        <v>116.93548387096774</v>
      </c>
      <c r="AV137" s="2">
        <f t="shared" si="63"/>
        <v>0</v>
      </c>
      <c r="AX137" s="2">
        <v>1</v>
      </c>
      <c r="AY137" s="2">
        <v>1</v>
      </c>
      <c r="AZ137" s="2">
        <f t="shared" si="69"/>
        <v>4</v>
      </c>
      <c r="BA137" s="2">
        <f t="shared" si="70"/>
        <v>4</v>
      </c>
      <c r="BB137" s="3"/>
      <c r="BC137" s="3"/>
      <c r="BD137" s="3"/>
      <c r="BE137" s="2" t="str">
        <f>CONCATENATE(
ROUND(BB137*VLOOKUP(K137,'ID Scheme'!$A$2:$E$7,3),0), "x",
ROUND(BC137*VLOOKUP(K137,'ID Scheme'!$A$2:$E$7,5),0), "x",
ROUND(BD137*VLOOKUP(K137,'ID Scheme'!$A$2:$E$7,4),0))</f>
        <v>0x0x0</v>
      </c>
    </row>
    <row r="138" spans="1:58" x14ac:dyDescent="0.3">
      <c r="A138" t="s">
        <v>53</v>
      </c>
      <c r="B138" t="s">
        <v>220</v>
      </c>
      <c r="C138" t="s">
        <v>285</v>
      </c>
      <c r="D138">
        <f>IF(G138 &gt; 2020, ((G138-2020)*4)+1610+I138,IF(G138 &gt; 1900, ((G138-1900)*10)+400+I138, ((G138-1730)*2)+I138))+VLOOKUP(K138,'ID Scheme'!$A$2:$B$7,2, FALSE)</f>
        <v>8091</v>
      </c>
      <c r="E138">
        <v>8091</v>
      </c>
      <c r="F138" t="s">
        <v>683</v>
      </c>
      <c r="G138">
        <v>2009</v>
      </c>
      <c r="H138">
        <v>1</v>
      </c>
      <c r="I138">
        <v>1</v>
      </c>
      <c r="J138" t="s">
        <v>523</v>
      </c>
      <c r="K138" t="s">
        <v>48</v>
      </c>
      <c r="L138" t="s">
        <v>501</v>
      </c>
      <c r="M138">
        <v>105</v>
      </c>
      <c r="N138">
        <v>-1</v>
      </c>
      <c r="O138">
        <v>12</v>
      </c>
      <c r="P138">
        <v>4</v>
      </c>
      <c r="Q138">
        <v>1.5</v>
      </c>
      <c r="R138">
        <v>134</v>
      </c>
      <c r="S138">
        <v>20</v>
      </c>
      <c r="T138">
        <v>4</v>
      </c>
      <c r="U138">
        <v>0.85</v>
      </c>
      <c r="V138" t="s">
        <v>357</v>
      </c>
      <c r="W138">
        <v>-4</v>
      </c>
      <c r="X138" s="2" t="s">
        <v>444</v>
      </c>
      <c r="Y138" s="2"/>
      <c r="Z138" s="2"/>
      <c r="AA138" s="2"/>
      <c r="AB138" s="2"/>
      <c r="AC138" s="2"/>
      <c r="AD138" s="2"/>
      <c r="AE138" s="2"/>
      <c r="AF138" s="2"/>
      <c r="AG138" s="2">
        <v>275</v>
      </c>
      <c r="AO138">
        <v>5</v>
      </c>
      <c r="AR138" s="2">
        <f>(SQRT(M138*T138)*POWER((MIN(O138,20)+SQRT(MAX(O138-20,0))),0.9)*Data!$B$1)*(1-(U138-1))</f>
        <v>16.544241859351267</v>
      </c>
      <c r="AS138" s="2"/>
      <c r="AT138" s="2">
        <f>((POWER((M138*M138*T138), 0.33)*LOG10(R138)*10*Data!$B$1)*U138)+AS138</f>
        <v>46.231055712636888</v>
      </c>
      <c r="AU138" s="2">
        <f t="shared" si="68"/>
        <v>84.677419354838705</v>
      </c>
      <c r="AV138" s="2">
        <f t="shared" si="63"/>
        <v>0</v>
      </c>
      <c r="AX138" s="2">
        <v>1</v>
      </c>
      <c r="AY138" s="2">
        <v>1</v>
      </c>
      <c r="AZ138" s="2">
        <f t="shared" si="69"/>
        <v>4</v>
      </c>
      <c r="BA138" s="2">
        <f t="shared" si="70"/>
        <v>4</v>
      </c>
      <c r="BB138" s="3"/>
      <c r="BC138" s="3"/>
      <c r="BD138" s="3"/>
      <c r="BE138" s="2" t="str">
        <f>CONCATENATE(
ROUND(BB138*VLOOKUP(K138,'ID Scheme'!$A$2:$E$7,3),0), "x",
ROUND(BC138*VLOOKUP(K138,'ID Scheme'!$A$2:$E$7,5),0), "x",
ROUND(BD138*VLOOKUP(K138,'ID Scheme'!$A$2:$E$7,4),0))</f>
        <v>0x0x0</v>
      </c>
    </row>
    <row r="139" spans="1:58" x14ac:dyDescent="0.3">
      <c r="A139" t="s">
        <v>100</v>
      </c>
      <c r="B139" t="s">
        <v>269</v>
      </c>
      <c r="C139" t="s">
        <v>285</v>
      </c>
      <c r="D139">
        <f>IF(G139 &gt; 2020, ((G139-2020)*4)+1610+I139,IF(G139 &gt; 1900, ((G139-1900)*10)+400+I139, ((G139-1730)*2)+I139))+VLOOKUP(K139,'ID Scheme'!$A$2:$B$7,2, FALSE)</f>
        <v>8141</v>
      </c>
      <c r="E139">
        <v>8141</v>
      </c>
      <c r="F139" t="s">
        <v>683</v>
      </c>
      <c r="G139">
        <v>2014</v>
      </c>
      <c r="H139">
        <v>1</v>
      </c>
      <c r="I139">
        <v>1</v>
      </c>
      <c r="J139" t="s">
        <v>523</v>
      </c>
      <c r="K139" t="s">
        <v>48</v>
      </c>
      <c r="L139" t="s">
        <v>501</v>
      </c>
      <c r="M139">
        <v>95</v>
      </c>
      <c r="N139">
        <v>-1</v>
      </c>
      <c r="O139">
        <v>12</v>
      </c>
      <c r="P139">
        <v>5</v>
      </c>
      <c r="Q139">
        <v>1.5</v>
      </c>
      <c r="R139">
        <v>120</v>
      </c>
      <c r="S139">
        <v>20</v>
      </c>
      <c r="T139">
        <v>9</v>
      </c>
      <c r="U139">
        <v>1</v>
      </c>
      <c r="V139" t="s">
        <v>357</v>
      </c>
      <c r="W139">
        <v>-4</v>
      </c>
      <c r="X139" s="2" t="s">
        <v>443</v>
      </c>
      <c r="Y139" s="2"/>
      <c r="Z139" s="2"/>
      <c r="AA139" s="2"/>
      <c r="AB139" s="2"/>
      <c r="AC139" s="2"/>
      <c r="AD139" s="2"/>
      <c r="AE139" s="2"/>
      <c r="AF139" s="2"/>
      <c r="AG139" s="2"/>
      <c r="AO139">
        <v>6</v>
      </c>
      <c r="AR139" s="2">
        <f>(SQRT(M139*T139)*POWER((MIN(O139,20)+SQRT(MAX(O139-20,0))),0.9)*Data!$B$1)*(1-(U139-1))</f>
        <v>20.52614734864143</v>
      </c>
      <c r="AS139" s="2"/>
      <c r="AT139" s="2">
        <f>((POWER((M139*M139*T139), 0.33)*LOG10(R139)*10*Data!$B$1)*U139)+AS139</f>
        <v>65.035610325244349</v>
      </c>
      <c r="AU139" s="2">
        <f t="shared" si="68"/>
        <v>76.612903225806448</v>
      </c>
      <c r="AV139" s="2">
        <f t="shared" si="63"/>
        <v>0</v>
      </c>
      <c r="AX139" s="2">
        <v>1</v>
      </c>
      <c r="AY139" s="2">
        <v>1</v>
      </c>
      <c r="AZ139" s="2">
        <f t="shared" si="69"/>
        <v>9</v>
      </c>
      <c r="BA139" s="2">
        <f t="shared" si="70"/>
        <v>9</v>
      </c>
      <c r="BD139" s="3"/>
      <c r="BE139" s="2" t="str">
        <f>CONCATENATE(
ROUND(BB139*VLOOKUP(K139,'ID Scheme'!$A$2:$E$7,3),0), "x",
ROUND(BC139*VLOOKUP(K139,'ID Scheme'!$A$2:$E$7,5),0), "x",
ROUND(BD139*VLOOKUP(K139,'ID Scheme'!$A$2:$E$7,4),0))</f>
        <v>0x0x0</v>
      </c>
    </row>
    <row r="140" spans="1:58" x14ac:dyDescent="0.3">
      <c r="A140" t="s">
        <v>260</v>
      </c>
      <c r="B140" t="s">
        <v>363</v>
      </c>
      <c r="C140" t="s">
        <v>368</v>
      </c>
      <c r="D140">
        <f>IF(G140 &gt; 2020, ((G140-2020)*4)+1610+I140,IF(G140 &gt; 1900, ((G140-1900)*10)+400+I140, ((G140-1730)*2)+I140))+VLOOKUP(K140,'ID Scheme'!$A$2:$B$7,2, FALSE)</f>
        <v>8161</v>
      </c>
      <c r="E140">
        <v>8161</v>
      </c>
      <c r="F140" t="s">
        <v>683</v>
      </c>
      <c r="G140">
        <v>2016</v>
      </c>
      <c r="H140">
        <v>1</v>
      </c>
      <c r="I140">
        <v>1</v>
      </c>
      <c r="J140" t="s">
        <v>524</v>
      </c>
      <c r="K140" t="s">
        <v>48</v>
      </c>
      <c r="L140" t="s">
        <v>501</v>
      </c>
      <c r="M140">
        <v>155</v>
      </c>
      <c r="N140">
        <v>-1</v>
      </c>
      <c r="O140">
        <v>10</v>
      </c>
      <c r="P140">
        <v>4</v>
      </c>
      <c r="Q140">
        <v>1.7</v>
      </c>
      <c r="R140">
        <v>310</v>
      </c>
      <c r="S140">
        <v>22</v>
      </c>
      <c r="T140">
        <v>4</v>
      </c>
      <c r="U140">
        <v>1</v>
      </c>
      <c r="V140" t="s">
        <v>359</v>
      </c>
      <c r="W140">
        <v>-4</v>
      </c>
      <c r="X140" s="2" t="s">
        <v>446</v>
      </c>
      <c r="Y140" s="2"/>
      <c r="Z140" s="2"/>
      <c r="AA140" s="2"/>
      <c r="AB140" s="2"/>
      <c r="AC140" s="2"/>
      <c r="AD140" s="2"/>
      <c r="AE140" s="2"/>
      <c r="AF140" s="2"/>
      <c r="AG140" s="2">
        <v>335</v>
      </c>
      <c r="AO140">
        <v>5</v>
      </c>
      <c r="AR140" s="2">
        <f>(SQRT(M140*T140)*POWER((MIN(O140,20)+SQRT(MAX(O140-20,0))),0.9)*Data!$B$1)*(1-(U140-1))</f>
        <v>14.833960155247404</v>
      </c>
      <c r="AS140" s="2"/>
      <c r="AT140" s="2">
        <f>((POWER((M140*M140*T140), 0.33)*LOG10(R140)*10*Data!$B$1)*U140)+AS140</f>
        <v>82.375253472873595</v>
      </c>
      <c r="AU140" s="2">
        <f t="shared" si="68"/>
        <v>125</v>
      </c>
      <c r="AV140" s="2">
        <f t="shared" si="63"/>
        <v>0</v>
      </c>
      <c r="AX140" s="2">
        <v>1</v>
      </c>
      <c r="AY140" s="2">
        <v>1</v>
      </c>
      <c r="AZ140" s="2">
        <f t="shared" si="69"/>
        <v>4</v>
      </c>
      <c r="BA140" s="2">
        <f t="shared" si="70"/>
        <v>4</v>
      </c>
      <c r="BB140" s="3">
        <v>4.5999999999999996</v>
      </c>
      <c r="BC140" s="3">
        <v>1.8</v>
      </c>
      <c r="BD140" s="3">
        <v>1.4</v>
      </c>
      <c r="BE140" s="2" t="str">
        <f>CONCATENATE(
ROUND(BB140*VLOOKUP(K140,'ID Scheme'!$A$2:$E$7,3),0), "x",
ROUND(BC140*VLOOKUP(K140,'ID Scheme'!$A$2:$E$7,5),0), "x",
ROUND(BD140*VLOOKUP(K140,'ID Scheme'!$A$2:$E$7,4),0))</f>
        <v>43x26x14</v>
      </c>
    </row>
    <row r="141" spans="1:58" x14ac:dyDescent="0.3">
      <c r="A141" t="s">
        <v>516</v>
      </c>
      <c r="B141" t="s">
        <v>517</v>
      </c>
      <c r="C141" t="s">
        <v>518</v>
      </c>
      <c r="D141">
        <f>IF(G141 &gt; 2020, ((G141-2020)*4)+1610+I141,IF(G141 &gt; 1900, ((G141-1900)*10)+400+I141, ((G141-1730)*2)+I141))+VLOOKUP(K141,'ID Scheme'!$A$2:$B$7,2, FALSE)</f>
        <v>6251</v>
      </c>
      <c r="E141">
        <v>6251</v>
      </c>
      <c r="F141" t="s">
        <v>683</v>
      </c>
      <c r="G141">
        <v>2030</v>
      </c>
      <c r="H141">
        <v>1</v>
      </c>
      <c r="I141">
        <v>1</v>
      </c>
      <c r="J141" t="s">
        <v>524</v>
      </c>
      <c r="K141" t="s">
        <v>14</v>
      </c>
      <c r="L141" t="s">
        <v>501</v>
      </c>
      <c r="M141">
        <v>100</v>
      </c>
      <c r="N141">
        <v>-1</v>
      </c>
      <c r="O141">
        <v>10</v>
      </c>
      <c r="P141">
        <v>4</v>
      </c>
      <c r="Q141">
        <v>2</v>
      </c>
      <c r="R141">
        <v>10</v>
      </c>
      <c r="S141">
        <v>22</v>
      </c>
      <c r="T141">
        <v>1</v>
      </c>
      <c r="U141">
        <v>1</v>
      </c>
      <c r="V141" t="s">
        <v>287</v>
      </c>
      <c r="W141">
        <v>-4</v>
      </c>
      <c r="X141" s="2" t="s">
        <v>519</v>
      </c>
      <c r="Y141" s="2"/>
      <c r="Z141" s="2"/>
      <c r="AA141" s="2"/>
      <c r="AB141" s="2"/>
      <c r="AC141" s="2"/>
      <c r="AD141" s="2"/>
      <c r="AE141" s="2"/>
      <c r="AF141" s="2"/>
      <c r="AG141" s="2">
        <v>275</v>
      </c>
      <c r="AO141">
        <v>7</v>
      </c>
      <c r="AR141" s="2">
        <f>(SQRT(M141*T141)*POWER((MIN(O141,20)+SQRT(MAX(O141-20,0))),0.9)*Data!$B$1)*(1-(U141-1))</f>
        <v>5.9574617604321123</v>
      </c>
      <c r="AS141" s="2">
        <v>-15</v>
      </c>
      <c r="AT141" s="2">
        <f>((POWER((M141*M141*T141), 0.33)*LOG10(R141)*10*Data!$B$1)*U141)+AS141</f>
        <v>0.66972098140530001</v>
      </c>
      <c r="AU141" s="2">
        <f t="shared" si="68"/>
        <v>80.645161290322577</v>
      </c>
      <c r="AV141" s="2">
        <f t="shared" ref="AV141" si="79">AH141/1.24</f>
        <v>0</v>
      </c>
      <c r="AX141" s="2">
        <v>1</v>
      </c>
      <c r="AY141" s="2">
        <v>1</v>
      </c>
      <c r="AZ141" s="2">
        <f t="shared" si="69"/>
        <v>1</v>
      </c>
      <c r="BA141" s="2">
        <f t="shared" si="70"/>
        <v>1</v>
      </c>
      <c r="BB141" s="3">
        <v>4.5999999999999996</v>
      </c>
      <c r="BC141" s="3">
        <v>1.8</v>
      </c>
      <c r="BD141" s="3">
        <v>1.4</v>
      </c>
      <c r="BE141" s="2" t="str">
        <f>CONCATENATE(
ROUND(BB141*VLOOKUP(K141,'ID Scheme'!$A$2:$E$7,3),0), "x",
ROUND(BC141*VLOOKUP(K141,'ID Scheme'!$A$2:$E$7,5),0), "x",
ROUND(BD141*VLOOKUP(K141,'ID Scheme'!$A$2:$E$7,4),0))</f>
        <v>43x26x14</v>
      </c>
    </row>
    <row r="142" spans="1:58" x14ac:dyDescent="0.3">
      <c r="A142" t="s">
        <v>105</v>
      </c>
      <c r="B142" t="s">
        <v>202</v>
      </c>
      <c r="C142" t="s">
        <v>694</v>
      </c>
      <c r="D142">
        <f>IF(G142 &gt; 2020, ((G142-2020)*4)+1610+I142,IF(G142 &gt; 1900, ((G142-1900)*10)+400+I142, ((G142-1730)*2)+I142))+VLOOKUP(K142,'ID Scheme'!$A$2:$B$7,2, FALSE)</f>
        <v>8861</v>
      </c>
      <c r="E142">
        <v>8861</v>
      </c>
      <c r="F142" t="s">
        <v>683</v>
      </c>
      <c r="G142">
        <v>1860</v>
      </c>
      <c r="H142">
        <v>1</v>
      </c>
      <c r="I142">
        <v>1</v>
      </c>
      <c r="J142" t="s">
        <v>521</v>
      </c>
      <c r="K142" t="s">
        <v>104</v>
      </c>
      <c r="L142" t="s">
        <v>502</v>
      </c>
      <c r="M142">
        <v>18</v>
      </c>
      <c r="N142">
        <v>50</v>
      </c>
      <c r="O142">
        <v>35</v>
      </c>
      <c r="P142">
        <v>9</v>
      </c>
      <c r="Q142">
        <v>8</v>
      </c>
      <c r="R142">
        <v>15</v>
      </c>
      <c r="S142">
        <v>20</v>
      </c>
      <c r="T142">
        <v>24</v>
      </c>
      <c r="U142">
        <v>1</v>
      </c>
      <c r="V142" t="s">
        <v>287</v>
      </c>
      <c r="W142">
        <v>0</v>
      </c>
      <c r="X142" s="2" t="s">
        <v>436</v>
      </c>
      <c r="Y142" s="2"/>
      <c r="Z142" s="2"/>
      <c r="AA142" s="2"/>
      <c r="AB142" s="2"/>
      <c r="AC142" s="2"/>
      <c r="AD142" s="2"/>
      <c r="AE142" s="2"/>
      <c r="AF142" s="2"/>
      <c r="AG142" s="2"/>
      <c r="AI142" t="s">
        <v>406</v>
      </c>
      <c r="AK142" t="s">
        <v>488</v>
      </c>
      <c r="AL142" t="s">
        <v>406</v>
      </c>
      <c r="AM142" t="s">
        <v>407</v>
      </c>
      <c r="AN142" t="s">
        <v>561</v>
      </c>
      <c r="AO142">
        <v>4</v>
      </c>
      <c r="AP142">
        <v>1</v>
      </c>
      <c r="AQ142" t="s">
        <v>276</v>
      </c>
      <c r="AR142" s="2">
        <f>(SQRT(M142*T142)*POWER((MIN(O142,20)+SQRT(MAX(O142-20,0))),0.9)*Data!$B$1)*(1-(U142-1))</f>
        <v>27.096872159029786</v>
      </c>
      <c r="AS142" s="2">
        <v>3</v>
      </c>
      <c r="AT142" s="2">
        <f>((POWER((M142*M142*T142), 0.33)*LOG10(R142)*10*Data!$B$1)*U142)+AS142</f>
        <v>19.961015410572251</v>
      </c>
      <c r="AU142" s="2">
        <f t="shared" si="68"/>
        <v>14.516129032258064</v>
      </c>
      <c r="AV142" s="2">
        <f t="shared" si="63"/>
        <v>0</v>
      </c>
      <c r="AX142" s="2">
        <v>1</v>
      </c>
      <c r="AY142" s="2">
        <v>1</v>
      </c>
      <c r="AZ142" s="2">
        <f t="shared" si="69"/>
        <v>24</v>
      </c>
      <c r="BA142" s="2">
        <f t="shared" si="70"/>
        <v>24</v>
      </c>
      <c r="BD142" s="3"/>
      <c r="BE142" s="2" t="str">
        <f>CONCATENATE(
ROUND(BB142*VLOOKUP(K142,'ID Scheme'!$A$2:$E$7,3),0), "x",
ROUND(BC142*VLOOKUP(K142,'ID Scheme'!$A$2:$E$7,5),0), "x",
ROUND(BD142*VLOOKUP(K142,'ID Scheme'!$A$2:$E$7,4),0))</f>
        <v>0x0x0</v>
      </c>
    </row>
    <row r="143" spans="1:58" x14ac:dyDescent="0.3">
      <c r="A143" t="s">
        <v>106</v>
      </c>
      <c r="B143" t="s">
        <v>250</v>
      </c>
      <c r="C143" t="s">
        <v>291</v>
      </c>
      <c r="D143">
        <f>IF(G143 &gt; 2020, ((G143-2020)*4)+1610+I143,IF(G143 &gt; 1900, ((G143-1900)*10)+400+I143, ((G143-1730)*2)+I143))+VLOOKUP(K143,'ID Scheme'!$A$2:$B$7,2, FALSE)</f>
        <v>8887</v>
      </c>
      <c r="E143">
        <v>8887</v>
      </c>
      <c r="F143" t="s">
        <v>683</v>
      </c>
      <c r="G143">
        <v>1873</v>
      </c>
      <c r="H143">
        <v>1</v>
      </c>
      <c r="I143">
        <v>1</v>
      </c>
      <c r="J143" t="s">
        <v>521</v>
      </c>
      <c r="K143" t="s">
        <v>104</v>
      </c>
      <c r="L143" t="s">
        <v>502</v>
      </c>
      <c r="M143">
        <v>20</v>
      </c>
      <c r="N143">
        <v>30</v>
      </c>
      <c r="O143">
        <v>30</v>
      </c>
      <c r="P143">
        <v>9</v>
      </c>
      <c r="Q143">
        <v>9</v>
      </c>
      <c r="R143">
        <v>30</v>
      </c>
      <c r="S143">
        <v>18</v>
      </c>
      <c r="T143">
        <v>50</v>
      </c>
      <c r="U143">
        <v>1</v>
      </c>
      <c r="V143" t="s">
        <v>288</v>
      </c>
      <c r="W143">
        <v>0</v>
      </c>
      <c r="X143" s="2" t="s">
        <v>423</v>
      </c>
      <c r="Y143" s="2"/>
      <c r="Z143" s="2"/>
      <c r="AA143" s="2"/>
      <c r="AB143" s="2"/>
      <c r="AC143" s="2"/>
      <c r="AD143" s="2"/>
      <c r="AE143" s="2"/>
      <c r="AF143" s="2"/>
      <c r="AG143" s="2"/>
      <c r="AO143">
        <v>8</v>
      </c>
      <c r="AP143">
        <v>1</v>
      </c>
      <c r="AR143" s="2">
        <f>(SQRT(M143*T143)*POWER((MIN(O143,20)+SQRT(MAX(O143-20,0))),0.9)*Data!$B$1)*(1-(U143-1))</f>
        <v>40.120321127543804</v>
      </c>
      <c r="AS143" s="2"/>
      <c r="AT143" s="2">
        <f>((POWER((M143*M143*T143), 0.33)*LOG10(R143)*10*Data!$B$1)*U143)+AS143</f>
        <v>29.094929509594969</v>
      </c>
      <c r="AU143" s="2">
        <f t="shared" si="68"/>
        <v>16.129032258064516</v>
      </c>
      <c r="AV143" s="2">
        <f t="shared" si="63"/>
        <v>0</v>
      </c>
      <c r="AX143" s="2">
        <v>1</v>
      </c>
      <c r="AY143" s="2">
        <v>1</v>
      </c>
      <c r="AZ143" s="2">
        <f t="shared" si="69"/>
        <v>50</v>
      </c>
      <c r="BA143" s="2">
        <f t="shared" si="70"/>
        <v>50</v>
      </c>
      <c r="BD143" s="3"/>
      <c r="BE143" s="2" t="str">
        <f>CONCATENATE(
ROUND(BB143*VLOOKUP(K143,'ID Scheme'!$A$2:$E$7,3),0), "x",
ROUND(BC143*VLOOKUP(K143,'ID Scheme'!$A$2:$E$7,5),0), "x",
ROUND(BD143*VLOOKUP(K143,'ID Scheme'!$A$2:$E$7,4),0))</f>
        <v>0x0x0</v>
      </c>
    </row>
    <row r="144" spans="1:58" x14ac:dyDescent="0.3">
      <c r="A144" t="s">
        <v>108</v>
      </c>
      <c r="B144" t="s">
        <v>243</v>
      </c>
      <c r="C144" t="s">
        <v>291</v>
      </c>
      <c r="D144">
        <f>IF(G144 &gt; 2020, ((G144-2020)*4)+1610+I144,IF(G144 &gt; 1900, ((G144-1900)*10)+400+I144, ((G144-1730)*2)+I144))+VLOOKUP(K144,'ID Scheme'!$A$2:$B$7,2, FALSE)</f>
        <v>8911</v>
      </c>
      <c r="E144">
        <v>8911</v>
      </c>
      <c r="F144" t="s">
        <v>683</v>
      </c>
      <c r="G144">
        <v>1885</v>
      </c>
      <c r="H144">
        <v>1</v>
      </c>
      <c r="I144">
        <v>1</v>
      </c>
      <c r="J144" t="s">
        <v>521</v>
      </c>
      <c r="K144" t="s">
        <v>104</v>
      </c>
      <c r="L144" t="s">
        <v>503</v>
      </c>
      <c r="M144">
        <v>21</v>
      </c>
      <c r="N144">
        <v>35</v>
      </c>
      <c r="O144">
        <v>30</v>
      </c>
      <c r="P144">
        <v>8</v>
      </c>
      <c r="Q144">
        <v>7</v>
      </c>
      <c r="R144">
        <v>20</v>
      </c>
      <c r="S144">
        <v>20</v>
      </c>
      <c r="T144">
        <v>32</v>
      </c>
      <c r="U144">
        <v>1</v>
      </c>
      <c r="V144" t="s">
        <v>365</v>
      </c>
      <c r="W144">
        <v>0</v>
      </c>
      <c r="X144" s="2" t="s">
        <v>435</v>
      </c>
      <c r="Y144" s="2"/>
      <c r="Z144" s="2"/>
      <c r="AA144" s="2"/>
      <c r="AB144" s="2"/>
      <c r="AC144" s="2"/>
      <c r="AD144" s="2"/>
      <c r="AE144" s="2"/>
      <c r="AF144" s="2"/>
      <c r="AG144" s="2"/>
      <c r="AO144">
        <v>8</v>
      </c>
      <c r="AP144">
        <v>1</v>
      </c>
      <c r="AR144" s="2">
        <f>(SQRT(M144*T144)*POWER((MIN(O144,20)+SQRT(MAX(O144-20,0))),0.9)*Data!$B$1)*(1-(U144-1))</f>
        <v>32.8888764246744</v>
      </c>
      <c r="AS144" s="2"/>
      <c r="AT144" s="2">
        <f>((POWER((M144*M144*T144), 0.33)*LOG10(R144)*10*Data!$B$1)*U144)+AS144</f>
        <v>22.84087832220764</v>
      </c>
      <c r="AU144" s="2">
        <f t="shared" si="68"/>
        <v>16.935483870967744</v>
      </c>
      <c r="AV144" s="2">
        <f t="shared" si="63"/>
        <v>0</v>
      </c>
      <c r="AX144" s="2">
        <v>1</v>
      </c>
      <c r="AY144" s="2">
        <v>1</v>
      </c>
      <c r="AZ144" s="2">
        <f t="shared" si="69"/>
        <v>32</v>
      </c>
      <c r="BA144" s="2">
        <f t="shared" si="70"/>
        <v>32</v>
      </c>
      <c r="BD144" s="3"/>
      <c r="BE144" s="2" t="str">
        <f>CONCATENATE(
ROUND(BB144*VLOOKUP(K144,'ID Scheme'!$A$2:$E$7,3),0), "x",
ROUND(BC144*VLOOKUP(K144,'ID Scheme'!$A$2:$E$7,5),0), "x",
ROUND(BD144*VLOOKUP(K144,'ID Scheme'!$A$2:$E$7,4),0))</f>
        <v>0x0x0</v>
      </c>
      <c r="BF144" t="s">
        <v>124</v>
      </c>
    </row>
    <row r="145" spans="1:58" x14ac:dyDescent="0.3">
      <c r="A145" t="s">
        <v>131</v>
      </c>
      <c r="B145" t="s">
        <v>249</v>
      </c>
      <c r="C145" t="s">
        <v>285</v>
      </c>
      <c r="D145">
        <f>IF(G145 &gt; 2020, ((G145-2020)*4)+1610+I145,IF(G145 &gt; 1900, ((G145-1900)*10)+400+I145, ((G145-1730)*2)+I145))+VLOOKUP(K145,'ID Scheme'!$A$2:$B$7,2, FALSE)</f>
        <v>8927</v>
      </c>
      <c r="E145">
        <v>8927</v>
      </c>
      <c r="F145" t="s">
        <v>683</v>
      </c>
      <c r="G145">
        <v>1893</v>
      </c>
      <c r="H145">
        <v>3</v>
      </c>
      <c r="I145">
        <v>1</v>
      </c>
      <c r="J145" t="s">
        <v>521</v>
      </c>
      <c r="K145" t="s">
        <v>104</v>
      </c>
      <c r="L145" t="s">
        <v>503</v>
      </c>
      <c r="M145">
        <v>22</v>
      </c>
      <c r="N145">
        <v>35</v>
      </c>
      <c r="O145">
        <v>75</v>
      </c>
      <c r="P145">
        <v>9</v>
      </c>
      <c r="Q145">
        <v>7.5</v>
      </c>
      <c r="R145">
        <v>50</v>
      </c>
      <c r="S145">
        <v>20</v>
      </c>
      <c r="T145">
        <v>42</v>
      </c>
      <c r="U145">
        <v>1</v>
      </c>
      <c r="V145" t="s">
        <v>365</v>
      </c>
      <c r="W145">
        <v>0</v>
      </c>
      <c r="X145" s="2" t="s">
        <v>411</v>
      </c>
      <c r="Y145" s="2"/>
      <c r="Z145" s="2"/>
      <c r="AA145" s="2"/>
      <c r="AB145" s="2"/>
      <c r="AC145" s="2"/>
      <c r="AD145" s="2"/>
      <c r="AE145" s="2"/>
      <c r="AF145" s="2"/>
      <c r="AG145" s="2"/>
      <c r="AO145">
        <v>8</v>
      </c>
      <c r="AP145">
        <v>1</v>
      </c>
      <c r="AR145" s="2">
        <f>(SQRT(M145*T145)*POWER((MIN(O145,20)+SQRT(MAX(O145-20,0))),0.9)*Data!$B$1)*(1-(U145-1))</f>
        <v>44.885261640010725</v>
      </c>
      <c r="AS145" s="2"/>
      <c r="AT145" s="2">
        <f>((POWER((M145*M145*T145), 0.33)*LOG10(R145)*10*Data!$B$1)*U145)+AS145</f>
        <v>33.644820060239276</v>
      </c>
      <c r="AU145" s="2">
        <f t="shared" si="68"/>
        <v>17.741935483870968</v>
      </c>
      <c r="AV145" s="2">
        <f t="shared" si="63"/>
        <v>0</v>
      </c>
      <c r="AX145" s="2">
        <v>1</v>
      </c>
      <c r="AY145" s="2">
        <v>1</v>
      </c>
      <c r="AZ145" s="2">
        <f t="shared" si="69"/>
        <v>42</v>
      </c>
      <c r="BA145" s="2">
        <f t="shared" si="70"/>
        <v>42</v>
      </c>
      <c r="BD145" s="3"/>
      <c r="BE145" s="2" t="str">
        <f>CONCATENATE(
ROUND(BB145*VLOOKUP(K145,'ID Scheme'!$A$2:$E$7,3),0), "x",
ROUND(BC145*VLOOKUP(K145,'ID Scheme'!$A$2:$E$7,5),0), "x",
ROUND(BD145*VLOOKUP(K145,'ID Scheme'!$A$2:$E$7,4),0))</f>
        <v>0x0x0</v>
      </c>
      <c r="BF145" t="s">
        <v>130</v>
      </c>
    </row>
    <row r="146" spans="1:58" x14ac:dyDescent="0.3">
      <c r="A146" t="s">
        <v>116</v>
      </c>
      <c r="B146" t="s">
        <v>252</v>
      </c>
      <c r="C146" t="s">
        <v>285</v>
      </c>
      <c r="D146">
        <f>IF(G146 &gt; 2020, ((G146-2020)*4)+1610+I146,IF(G146 &gt; 1900, ((G146-1900)*10)+400+I146, ((G146-1730)*2)+I146))+VLOOKUP(K146,'ID Scheme'!$A$2:$B$7,2, FALSE)</f>
        <v>8929</v>
      </c>
      <c r="E146">
        <v>8929</v>
      </c>
      <c r="F146" t="s">
        <v>683</v>
      </c>
      <c r="G146">
        <v>1894</v>
      </c>
      <c r="H146">
        <v>6</v>
      </c>
      <c r="I146">
        <v>1</v>
      </c>
      <c r="J146" t="s">
        <v>521</v>
      </c>
      <c r="K146" t="s">
        <v>104</v>
      </c>
      <c r="L146" t="s">
        <v>503</v>
      </c>
      <c r="M146">
        <v>22</v>
      </c>
      <c r="N146">
        <v>35</v>
      </c>
      <c r="O146">
        <v>75</v>
      </c>
      <c r="P146">
        <v>9</v>
      </c>
      <c r="Q146">
        <v>7</v>
      </c>
      <c r="R146">
        <v>80</v>
      </c>
      <c r="S146">
        <v>20</v>
      </c>
      <c r="T146">
        <v>36</v>
      </c>
      <c r="U146">
        <v>1</v>
      </c>
      <c r="V146" t="s">
        <v>365</v>
      </c>
      <c r="W146">
        <v>0</v>
      </c>
      <c r="X146" s="2" t="s">
        <v>412</v>
      </c>
      <c r="Y146" s="2"/>
      <c r="Z146" s="2"/>
      <c r="AA146" s="2"/>
      <c r="AB146" s="2"/>
      <c r="AC146" s="2"/>
      <c r="AD146" s="2"/>
      <c r="AE146" s="2"/>
      <c r="AF146" s="2"/>
      <c r="AG146" s="2"/>
      <c r="AO146">
        <v>8</v>
      </c>
      <c r="AP146">
        <v>1</v>
      </c>
      <c r="AR146" s="2">
        <f>(SQRT(M146*T146)*POWER((MIN(O146,20)+SQRT(MAX(O146-20,0))),0.9)*Data!$B$1)*(1-(U146-1))</f>
        <v>41.555677409871805</v>
      </c>
      <c r="AS146" s="2"/>
      <c r="AT146" s="2">
        <f>((POWER((M146*M146*T146), 0.33)*LOG10(R146)*10*Data!$B$1)*U146)+AS146</f>
        <v>35.817839185344354</v>
      </c>
      <c r="AU146" s="2">
        <f t="shared" si="68"/>
        <v>17.741935483870968</v>
      </c>
      <c r="AV146" s="2">
        <f t="shared" si="63"/>
        <v>0</v>
      </c>
      <c r="AX146" s="2">
        <v>1</v>
      </c>
      <c r="AY146" s="2">
        <v>1</v>
      </c>
      <c r="AZ146" s="2">
        <f t="shared" si="69"/>
        <v>36</v>
      </c>
      <c r="BA146" s="2">
        <f t="shared" si="70"/>
        <v>36</v>
      </c>
      <c r="BD146" s="3"/>
      <c r="BE146" s="2" t="str">
        <f>CONCATENATE(
ROUND(BB146*VLOOKUP(K146,'ID Scheme'!$A$2:$E$7,3),0), "x",
ROUND(BC146*VLOOKUP(K146,'ID Scheme'!$A$2:$E$7,5),0), "x",
ROUND(BD146*VLOOKUP(K146,'ID Scheme'!$A$2:$E$7,4),0))</f>
        <v>0x0x0</v>
      </c>
      <c r="BF146" t="s">
        <v>118</v>
      </c>
    </row>
    <row r="147" spans="1:58" x14ac:dyDescent="0.3">
      <c r="A147" t="s">
        <v>111</v>
      </c>
      <c r="B147" t="s">
        <v>247</v>
      </c>
      <c r="C147" t="s">
        <v>285</v>
      </c>
      <c r="D147">
        <f>IF(G147 &gt; 2020, ((G147-2020)*4)+1610+I147,IF(G147 &gt; 1900, ((G147-1900)*10)+400+I147, ((G147-1730)*2)+I147))+VLOOKUP(K147,'ID Scheme'!$A$2:$B$7,2, FALSE)</f>
        <v>8937</v>
      </c>
      <c r="E147">
        <v>8937</v>
      </c>
      <c r="F147" t="s">
        <v>683</v>
      </c>
      <c r="G147">
        <v>1898</v>
      </c>
      <c r="H147">
        <v>1</v>
      </c>
      <c r="I147">
        <v>1</v>
      </c>
      <c r="J147" t="s">
        <v>521</v>
      </c>
      <c r="K147" t="s">
        <v>104</v>
      </c>
      <c r="L147" t="s">
        <v>503</v>
      </c>
      <c r="M147">
        <v>23</v>
      </c>
      <c r="N147">
        <v>35</v>
      </c>
      <c r="O147">
        <v>45</v>
      </c>
      <c r="P147">
        <v>11</v>
      </c>
      <c r="Q147">
        <v>8</v>
      </c>
      <c r="R147">
        <v>80</v>
      </c>
      <c r="S147">
        <v>20</v>
      </c>
      <c r="T147">
        <v>48</v>
      </c>
      <c r="U147">
        <v>1</v>
      </c>
      <c r="V147" t="s">
        <v>365</v>
      </c>
      <c r="W147">
        <v>0</v>
      </c>
      <c r="X147" s="2" t="s">
        <v>414</v>
      </c>
      <c r="Y147" s="2"/>
      <c r="Z147" s="2"/>
      <c r="AA147" s="2"/>
      <c r="AB147" s="2"/>
      <c r="AC147" s="2"/>
      <c r="AD147" s="2"/>
      <c r="AE147" s="2"/>
      <c r="AF147" s="2"/>
      <c r="AG147" s="2"/>
      <c r="AO147">
        <v>8</v>
      </c>
      <c r="AP147">
        <v>1</v>
      </c>
      <c r="AR147" s="2">
        <f>(SQRT(M147*T147)*POWER((MIN(O147,20)+SQRT(MAX(O147-20,0))),0.9)*Data!$B$1)*(1-(U147-1))</f>
        <v>45.153540372471618</v>
      </c>
      <c r="AS147" s="2"/>
      <c r="AT147" s="2">
        <f>((POWER((M147*M147*T147), 0.33)*LOG10(R147)*10*Data!$B$1)*U147)+AS147</f>
        <v>40.55744311676029</v>
      </c>
      <c r="AU147" s="2">
        <f t="shared" si="68"/>
        <v>18.548387096774192</v>
      </c>
      <c r="AV147" s="2">
        <f t="shared" si="63"/>
        <v>0</v>
      </c>
      <c r="AX147" s="2">
        <v>1</v>
      </c>
      <c r="AY147" s="2">
        <v>1</v>
      </c>
      <c r="AZ147" s="2">
        <f t="shared" si="69"/>
        <v>48</v>
      </c>
      <c r="BA147" s="2">
        <f t="shared" si="70"/>
        <v>48</v>
      </c>
      <c r="BD147" s="3"/>
      <c r="BE147" s="2" t="str">
        <f>CONCATENATE(
ROUND(BB147*VLOOKUP(K147,'ID Scheme'!$A$2:$E$7,3),0), "x",
ROUND(BC147*VLOOKUP(K147,'ID Scheme'!$A$2:$E$7,5),0), "x",
ROUND(BD147*VLOOKUP(K147,'ID Scheme'!$A$2:$E$7,4),0))</f>
        <v>0x0x0</v>
      </c>
      <c r="BF147" t="s">
        <v>118</v>
      </c>
    </row>
    <row r="148" spans="1:58" x14ac:dyDescent="0.3">
      <c r="A148" t="s">
        <v>117</v>
      </c>
      <c r="B148" t="s">
        <v>253</v>
      </c>
      <c r="C148" t="s">
        <v>285</v>
      </c>
      <c r="D148">
        <f>IF(G148 &gt; 2020, ((G148-2020)*4)+1610+I148,IF(G148 &gt; 1900, ((G148-1900)*10)+400+I148, ((G148-1730)*2)+I148))+VLOOKUP(K148,'ID Scheme'!$A$2:$B$7,2, FALSE)</f>
        <v>8939</v>
      </c>
      <c r="E148">
        <v>8939</v>
      </c>
      <c r="F148" t="s">
        <v>683</v>
      </c>
      <c r="G148">
        <v>1899</v>
      </c>
      <c r="H148">
        <v>1</v>
      </c>
      <c r="I148">
        <v>1</v>
      </c>
      <c r="J148" t="s">
        <v>521</v>
      </c>
      <c r="K148" t="s">
        <v>104</v>
      </c>
      <c r="L148" t="s">
        <v>503</v>
      </c>
      <c r="M148">
        <v>24</v>
      </c>
      <c r="N148">
        <v>35</v>
      </c>
      <c r="O148">
        <v>65</v>
      </c>
      <c r="P148">
        <v>9</v>
      </c>
      <c r="Q148">
        <v>7</v>
      </c>
      <c r="R148">
        <v>80</v>
      </c>
      <c r="S148">
        <v>20</v>
      </c>
      <c r="T148">
        <v>48</v>
      </c>
      <c r="U148">
        <v>1</v>
      </c>
      <c r="V148" t="s">
        <v>365</v>
      </c>
      <c r="W148">
        <v>0</v>
      </c>
      <c r="X148" s="2" t="s">
        <v>413</v>
      </c>
      <c r="Y148" s="2"/>
      <c r="Z148" s="2"/>
      <c r="AA148" s="2"/>
      <c r="AB148" s="2"/>
      <c r="AC148" s="2"/>
      <c r="AD148" s="2"/>
      <c r="AE148" s="2"/>
      <c r="AF148" s="2"/>
      <c r="AG148" s="2"/>
      <c r="AO148">
        <v>8</v>
      </c>
      <c r="AP148">
        <v>1</v>
      </c>
      <c r="AR148" s="2">
        <f>(SQRT(M148*T148)*POWER((MIN(O148,20)+SQRT(MAX(O148-20,0))),0.9)*Data!$B$1)*(1-(U148-1))</f>
        <v>48.95169319243255</v>
      </c>
      <c r="AS148" s="2"/>
      <c r="AT148" s="2">
        <f>((POWER((M148*M148*T148), 0.33)*LOG10(R148)*10*Data!$B$1)*U148)+AS148</f>
        <v>41.712826159953799</v>
      </c>
      <c r="AU148" s="2">
        <f t="shared" si="68"/>
        <v>19.35483870967742</v>
      </c>
      <c r="AV148" s="2">
        <f t="shared" si="63"/>
        <v>0</v>
      </c>
      <c r="AX148" s="2">
        <v>1</v>
      </c>
      <c r="AY148" s="2">
        <v>1</v>
      </c>
      <c r="AZ148" s="2">
        <f t="shared" si="69"/>
        <v>48</v>
      </c>
      <c r="BA148" s="2">
        <f t="shared" si="70"/>
        <v>48</v>
      </c>
      <c r="BD148" s="3"/>
      <c r="BE148" s="2" t="str">
        <f>CONCATENATE(
ROUND(BB148*VLOOKUP(K148,'ID Scheme'!$A$2:$E$7,3),0), "x",
ROUND(BC148*VLOOKUP(K148,'ID Scheme'!$A$2:$E$7,5),0), "x",
ROUND(BD148*VLOOKUP(K148,'ID Scheme'!$A$2:$E$7,4),0))</f>
        <v>0x0x0</v>
      </c>
      <c r="BF148" t="s">
        <v>118</v>
      </c>
    </row>
    <row r="149" spans="1:58" x14ac:dyDescent="0.3">
      <c r="A149" t="s">
        <v>109</v>
      </c>
      <c r="B149" t="s">
        <v>251</v>
      </c>
      <c r="C149" t="s">
        <v>285</v>
      </c>
      <c r="D149">
        <f>IF(G149 &gt; 2020, ((G149-2020)*4)+1610+I149,IF(G149 &gt; 1900, ((G149-1900)*10)+400+I149, ((G149-1730)*2)+I149))+VLOOKUP(K149,'ID Scheme'!$A$2:$B$7,2, FALSE)</f>
        <v>9011</v>
      </c>
      <c r="E149">
        <v>9011</v>
      </c>
      <c r="F149" t="s">
        <v>683</v>
      </c>
      <c r="G149">
        <v>1901</v>
      </c>
      <c r="H149">
        <v>1</v>
      </c>
      <c r="I149">
        <v>1</v>
      </c>
      <c r="J149" t="s">
        <v>521</v>
      </c>
      <c r="K149" t="s">
        <v>104</v>
      </c>
      <c r="L149" t="s">
        <v>503</v>
      </c>
      <c r="M149">
        <v>25</v>
      </c>
      <c r="N149">
        <v>35</v>
      </c>
      <c r="O149">
        <v>32</v>
      </c>
      <c r="P149">
        <v>7</v>
      </c>
      <c r="Q149">
        <v>7.5</v>
      </c>
      <c r="R149">
        <v>60</v>
      </c>
      <c r="S149">
        <v>20</v>
      </c>
      <c r="T149">
        <v>58</v>
      </c>
      <c r="U149">
        <v>1</v>
      </c>
      <c r="V149" t="s">
        <v>365</v>
      </c>
      <c r="W149">
        <v>0</v>
      </c>
      <c r="X149" s="2" t="s">
        <v>434</v>
      </c>
      <c r="Y149" s="2"/>
      <c r="Z149" s="2"/>
      <c r="AA149" s="2"/>
      <c r="AB149" s="2"/>
      <c r="AC149" s="2"/>
      <c r="AD149" s="2"/>
      <c r="AE149" s="2"/>
      <c r="AF149" s="2"/>
      <c r="AG149" s="2"/>
      <c r="AO149">
        <v>8</v>
      </c>
      <c r="AP149">
        <v>1</v>
      </c>
      <c r="AR149" s="2">
        <f>(SQRT(M149*T149)*POWER((MIN(O149,20)+SQRT(MAX(O149-20,0))),0.9)*Data!$B$1)*(1-(U149-1))</f>
        <v>48.877479495040532</v>
      </c>
      <c r="AS149" s="2"/>
      <c r="AT149" s="2">
        <f>((POWER((M149*M149*T149), 0.33)*LOG10(R149)*10*Data!$B$1)*U149)+AS149</f>
        <v>42.618838192592996</v>
      </c>
      <c r="AU149" s="2">
        <f t="shared" si="68"/>
        <v>20.161290322580644</v>
      </c>
      <c r="AV149" s="2">
        <f t="shared" ref="AV149:AV161" si="80">AH149/1.24</f>
        <v>0</v>
      </c>
      <c r="AX149" s="2">
        <v>1</v>
      </c>
      <c r="AY149" s="2">
        <v>1</v>
      </c>
      <c r="AZ149" s="2">
        <f t="shared" si="69"/>
        <v>58</v>
      </c>
      <c r="BA149" s="2">
        <f t="shared" si="70"/>
        <v>58</v>
      </c>
      <c r="BD149" s="3"/>
      <c r="BE149" s="2" t="str">
        <f>CONCATENATE(
ROUND(BB149*VLOOKUP(K149,'ID Scheme'!$A$2:$E$7,3),0), "x",
ROUND(BC149*VLOOKUP(K149,'ID Scheme'!$A$2:$E$7,5),0), "x",
ROUND(BD149*VLOOKUP(K149,'ID Scheme'!$A$2:$E$7,4),0))</f>
        <v>0x0x0</v>
      </c>
      <c r="BF149" t="s">
        <v>125</v>
      </c>
    </row>
    <row r="150" spans="1:58" x14ac:dyDescent="0.3">
      <c r="A150" t="s">
        <v>119</v>
      </c>
      <c r="B150" t="s">
        <v>255</v>
      </c>
      <c r="C150" t="s">
        <v>291</v>
      </c>
      <c r="D150">
        <f>IF(G150 &gt; 2020, ((G150-2020)*4)+1610+I150,IF(G150 &gt; 1900, ((G150-1900)*10)+400+I150, ((G150-1730)*2)+I150))+VLOOKUP(K150,'ID Scheme'!$A$2:$B$7,2, FALSE)</f>
        <v>9111</v>
      </c>
      <c r="E150">
        <v>9111</v>
      </c>
      <c r="F150" t="s">
        <v>683</v>
      </c>
      <c r="G150">
        <v>1911</v>
      </c>
      <c r="H150">
        <v>1</v>
      </c>
      <c r="I150">
        <v>1</v>
      </c>
      <c r="J150" t="s">
        <v>521</v>
      </c>
      <c r="K150" t="s">
        <v>104</v>
      </c>
      <c r="L150" t="s">
        <v>503</v>
      </c>
      <c r="M150">
        <v>22</v>
      </c>
      <c r="N150">
        <v>30</v>
      </c>
      <c r="O150">
        <v>30</v>
      </c>
      <c r="P150">
        <v>12</v>
      </c>
      <c r="Q150">
        <v>6</v>
      </c>
      <c r="R150">
        <v>105</v>
      </c>
      <c r="S150">
        <v>20</v>
      </c>
      <c r="T150">
        <v>68</v>
      </c>
      <c r="U150">
        <v>1</v>
      </c>
      <c r="V150" t="s">
        <v>365</v>
      </c>
      <c r="W150">
        <v>0</v>
      </c>
      <c r="X150" s="2" t="s">
        <v>415</v>
      </c>
      <c r="Y150" s="2"/>
      <c r="Z150" s="2"/>
      <c r="AA150" s="2"/>
      <c r="AB150" s="2"/>
      <c r="AC150" s="2"/>
      <c r="AD150" s="2"/>
      <c r="AE150" s="2"/>
      <c r="AF150" s="2"/>
      <c r="AG150" s="2"/>
      <c r="AO150">
        <v>8</v>
      </c>
      <c r="AP150">
        <v>1</v>
      </c>
      <c r="AR150" s="2">
        <f>(SQRT(M150*T150)*POWER((MIN(O150,20)+SQRT(MAX(O150-20,0))),0.9)*Data!$B$1)*(1-(U150-1))</f>
        <v>49.071597593682917</v>
      </c>
      <c r="AS150" s="2"/>
      <c r="AT150" s="2">
        <f>((POWER((M150*M150*T150), 0.33)*LOG10(R150)*10*Data!$B$1)*U150)+AS150</f>
        <v>46.924014917422397</v>
      </c>
      <c r="AU150" s="2">
        <f t="shared" si="68"/>
        <v>17.741935483870968</v>
      </c>
      <c r="AV150" s="2">
        <f t="shared" si="80"/>
        <v>0</v>
      </c>
      <c r="AX150" s="2">
        <v>1</v>
      </c>
      <c r="AY150" s="2">
        <v>1</v>
      </c>
      <c r="AZ150" s="2">
        <f t="shared" si="69"/>
        <v>68</v>
      </c>
      <c r="BA150" s="2">
        <f t="shared" si="70"/>
        <v>68</v>
      </c>
      <c r="BD150" s="3"/>
      <c r="BE150" s="2" t="str">
        <f>CONCATENATE(
ROUND(BB150*VLOOKUP(K150,'ID Scheme'!$A$2:$E$7,3),0), "x",
ROUND(BC150*VLOOKUP(K150,'ID Scheme'!$A$2:$E$7,5),0), "x",
ROUND(BD150*VLOOKUP(K150,'ID Scheme'!$A$2:$E$7,4),0))</f>
        <v>0x0x0</v>
      </c>
      <c r="BF150" t="s">
        <v>82</v>
      </c>
    </row>
    <row r="151" spans="1:58" x14ac:dyDescent="0.3">
      <c r="A151" t="s">
        <v>110</v>
      </c>
      <c r="B151" t="s">
        <v>219</v>
      </c>
      <c r="C151" t="s">
        <v>285</v>
      </c>
      <c r="D151">
        <f>IF(G151 &gt; 2020, ((G151-2020)*4)+1610+I151,IF(G151 &gt; 1900, ((G151-1900)*10)+400+I151, ((G151-1730)*2)+I151))+VLOOKUP(K151,'ID Scheme'!$A$2:$B$7,2, FALSE)</f>
        <v>9231</v>
      </c>
      <c r="E151">
        <v>9231</v>
      </c>
      <c r="F151" t="s">
        <v>683</v>
      </c>
      <c r="G151">
        <v>1923</v>
      </c>
      <c r="H151">
        <v>1</v>
      </c>
      <c r="I151">
        <v>1</v>
      </c>
      <c r="J151" t="s">
        <v>521</v>
      </c>
      <c r="K151" t="s">
        <v>104</v>
      </c>
      <c r="L151" t="s">
        <v>503</v>
      </c>
      <c r="M151">
        <v>30</v>
      </c>
      <c r="N151">
        <v>38</v>
      </c>
      <c r="O151">
        <v>50</v>
      </c>
      <c r="P151">
        <v>9</v>
      </c>
      <c r="Q151">
        <v>9</v>
      </c>
      <c r="R151">
        <v>80</v>
      </c>
      <c r="S151">
        <v>20</v>
      </c>
      <c r="T151">
        <v>78</v>
      </c>
      <c r="U151">
        <v>1</v>
      </c>
      <c r="V151" t="s">
        <v>365</v>
      </c>
      <c r="W151">
        <v>0</v>
      </c>
      <c r="X151" s="2" t="s">
        <v>433</v>
      </c>
      <c r="Y151" s="2"/>
      <c r="Z151" s="2"/>
      <c r="AA151" s="2"/>
      <c r="AB151" s="2"/>
      <c r="AC151" s="2"/>
      <c r="AD151" s="2"/>
      <c r="AE151" s="2">
        <v>1</v>
      </c>
      <c r="AF151" s="2"/>
      <c r="AG151" s="2"/>
      <c r="AO151">
        <v>8</v>
      </c>
      <c r="AP151">
        <v>1</v>
      </c>
      <c r="AR151" s="2">
        <f>(SQRT(M151*T151)*POWER((MIN(O151,20)+SQRT(MAX(O151-20,0))),0.9)*Data!$B$1)*(1-(U151-1))</f>
        <v>66.866118123314507</v>
      </c>
      <c r="AS151" s="2"/>
      <c r="AT151" s="2">
        <f>((POWER((M151*M151*T151), 0.33)*LOG10(R151)*10*Data!$B$1)*U151)+AS151</f>
        <v>56.729876046306018</v>
      </c>
      <c r="AU151" s="2">
        <f t="shared" si="68"/>
        <v>24.193548387096776</v>
      </c>
      <c r="AV151" s="2">
        <f t="shared" si="80"/>
        <v>0</v>
      </c>
      <c r="AX151" s="2">
        <v>1</v>
      </c>
      <c r="AY151" s="2">
        <v>1</v>
      </c>
      <c r="AZ151" s="2">
        <f t="shared" si="69"/>
        <v>78</v>
      </c>
      <c r="BA151" s="2">
        <f t="shared" si="70"/>
        <v>78</v>
      </c>
      <c r="BD151" s="3"/>
      <c r="BE151" s="2" t="str">
        <f>CONCATENATE(
ROUND(BB151*VLOOKUP(K151,'ID Scheme'!$A$2:$E$7,3),0), "x",
ROUND(BC151*VLOOKUP(K151,'ID Scheme'!$A$2:$E$7,5),0), "x",
ROUND(BD151*VLOOKUP(K151,'ID Scheme'!$A$2:$E$7,4),0))</f>
        <v>0x0x0</v>
      </c>
    </row>
    <row r="152" spans="1:58" x14ac:dyDescent="0.3">
      <c r="A152" t="s">
        <v>120</v>
      </c>
      <c r="B152" t="s">
        <v>240</v>
      </c>
      <c r="C152" t="s">
        <v>285</v>
      </c>
      <c r="D152">
        <f>IF(G152 &gt; 2020, ((G152-2020)*4)+1610+I152,IF(G152 &gt; 1900, ((G152-1900)*10)+400+I152, ((G152-1730)*2)+I152))+VLOOKUP(K152,'ID Scheme'!$A$2:$B$7,2, FALSE)</f>
        <v>9341</v>
      </c>
      <c r="E152">
        <v>9341</v>
      </c>
      <c r="F152" t="s">
        <v>683</v>
      </c>
      <c r="G152">
        <v>1934</v>
      </c>
      <c r="H152">
        <v>1</v>
      </c>
      <c r="I152">
        <v>1</v>
      </c>
      <c r="J152" t="s">
        <v>521</v>
      </c>
      <c r="K152" t="s">
        <v>104</v>
      </c>
      <c r="L152" t="s">
        <v>503</v>
      </c>
      <c r="M152">
        <v>35</v>
      </c>
      <c r="N152">
        <v>40</v>
      </c>
      <c r="O152">
        <v>55</v>
      </c>
      <c r="P152">
        <v>11</v>
      </c>
      <c r="Q152">
        <v>11</v>
      </c>
      <c r="R152">
        <v>114</v>
      </c>
      <c r="S152">
        <v>20</v>
      </c>
      <c r="T152">
        <v>92</v>
      </c>
      <c r="U152">
        <v>1</v>
      </c>
      <c r="V152" t="s">
        <v>365</v>
      </c>
      <c r="W152">
        <v>0</v>
      </c>
      <c r="X152" s="2" t="s">
        <v>416</v>
      </c>
      <c r="Y152" s="2"/>
      <c r="Z152" s="2"/>
      <c r="AA152" s="2"/>
      <c r="AB152" s="2"/>
      <c r="AC152" s="2"/>
      <c r="AD152" s="2"/>
      <c r="AE152" s="2"/>
      <c r="AF152" s="2"/>
      <c r="AG152" s="2"/>
      <c r="AO152">
        <v>8</v>
      </c>
      <c r="AP152">
        <v>1</v>
      </c>
      <c r="AR152" s="2">
        <f>(SQRT(M152*T152)*POWER((MIN(O152,20)+SQRT(MAX(O152-20,0))),0.9)*Data!$B$1)*(1-(U152-1))</f>
        <v>79.652897151473837</v>
      </c>
      <c r="AS152" s="2"/>
      <c r="AT152" s="2">
        <f>((POWER((M152*M152*T152), 0.33)*LOG10(R152)*10*Data!$B$1)*U152)+AS152</f>
        <v>71.682040289630535</v>
      </c>
      <c r="AU152" s="2">
        <f t="shared" si="68"/>
        <v>28.225806451612904</v>
      </c>
      <c r="AV152" s="2">
        <f t="shared" si="80"/>
        <v>0</v>
      </c>
      <c r="AX152" s="2">
        <v>1</v>
      </c>
      <c r="AY152" s="2">
        <v>1</v>
      </c>
      <c r="AZ152" s="2">
        <f t="shared" si="69"/>
        <v>92</v>
      </c>
      <c r="BA152" s="2">
        <f t="shared" si="70"/>
        <v>92</v>
      </c>
      <c r="BD152" s="3"/>
      <c r="BE152" s="2" t="str">
        <f>CONCATENATE(
ROUND(BB152*VLOOKUP(K152,'ID Scheme'!$A$2:$E$7,3),0), "x",
ROUND(BC152*VLOOKUP(K152,'ID Scheme'!$A$2:$E$7,5),0), "x",
ROUND(BD152*VLOOKUP(K152,'ID Scheme'!$A$2:$E$7,4),0))</f>
        <v>0x0x0</v>
      </c>
      <c r="BF152" t="s">
        <v>121</v>
      </c>
    </row>
    <row r="153" spans="1:58" x14ac:dyDescent="0.3">
      <c r="A153" t="s">
        <v>107</v>
      </c>
      <c r="B153" t="s">
        <v>244</v>
      </c>
      <c r="C153" t="s">
        <v>285</v>
      </c>
      <c r="D153">
        <f>IF(G153 &gt; 2020, ((G153-2020)*4)+1610+I153,IF(G153 &gt; 1900, ((G153-1900)*10)+400+I153, ((G153-1730)*2)+I153))+VLOOKUP(K153,'ID Scheme'!$A$2:$B$7,2, FALSE)</f>
        <v>9521</v>
      </c>
      <c r="E153">
        <v>9521</v>
      </c>
      <c r="F153" t="s">
        <v>683</v>
      </c>
      <c r="G153">
        <v>1952</v>
      </c>
      <c r="H153">
        <v>1</v>
      </c>
      <c r="I153">
        <v>1</v>
      </c>
      <c r="J153" t="s">
        <v>521</v>
      </c>
      <c r="K153" t="s">
        <v>104</v>
      </c>
      <c r="L153" t="s">
        <v>503</v>
      </c>
      <c r="M153">
        <v>40</v>
      </c>
      <c r="N153">
        <v>20</v>
      </c>
      <c r="O153">
        <v>35</v>
      </c>
      <c r="P153">
        <v>11</v>
      </c>
      <c r="Q153">
        <v>12</v>
      </c>
      <c r="R153">
        <v>180</v>
      </c>
      <c r="S153">
        <v>28</v>
      </c>
      <c r="T153">
        <v>56</v>
      </c>
      <c r="U153">
        <v>1.1000000000000001</v>
      </c>
      <c r="V153" t="s">
        <v>365</v>
      </c>
      <c r="W153">
        <v>0</v>
      </c>
      <c r="X153" s="2" t="s">
        <v>417</v>
      </c>
      <c r="Y153" s="2"/>
      <c r="Z153" s="2"/>
      <c r="AA153" s="2"/>
      <c r="AB153" s="2"/>
      <c r="AC153" s="2"/>
      <c r="AD153" s="2"/>
      <c r="AE153" s="2"/>
      <c r="AF153" s="2"/>
      <c r="AG153" s="2"/>
      <c r="AO153">
        <v>8</v>
      </c>
      <c r="AP153">
        <v>1</v>
      </c>
      <c r="AR153" s="2">
        <f>(SQRT(M153*T153)*POWER((MIN(O153,20)+SQRT(MAX(O153-20,0))),0.9)*Data!$B$1)*(1-(U153-1))</f>
        <v>55.532062985015898</v>
      </c>
      <c r="AS153" s="2"/>
      <c r="AT153" s="2">
        <f>((POWER((M153*M153*T153), 0.33)*LOG10(R153)*10*Data!$B$1)*U153)+AS153</f>
        <v>80.152046772075309</v>
      </c>
      <c r="AU153" s="2">
        <f t="shared" si="68"/>
        <v>32.258064516129032</v>
      </c>
      <c r="AV153" s="2">
        <f t="shared" si="80"/>
        <v>0</v>
      </c>
      <c r="AX153" s="2">
        <v>1</v>
      </c>
      <c r="AY153" s="2">
        <v>1</v>
      </c>
      <c r="AZ153" s="2">
        <f t="shared" si="69"/>
        <v>56</v>
      </c>
      <c r="BA153" s="2">
        <f t="shared" si="70"/>
        <v>56</v>
      </c>
      <c r="BD153" s="3"/>
      <c r="BE153" s="2" t="str">
        <f>CONCATENATE(
ROUND(BB153*VLOOKUP(K153,'ID Scheme'!$A$2:$E$7,3),0), "x",
ROUND(BC153*VLOOKUP(K153,'ID Scheme'!$A$2:$E$7,5),0), "x",
ROUND(BD153*VLOOKUP(K153,'ID Scheme'!$A$2:$E$7,4),0))</f>
        <v>0x0x0</v>
      </c>
      <c r="BF153" t="s">
        <v>123</v>
      </c>
    </row>
    <row r="154" spans="1:58" x14ac:dyDescent="0.3">
      <c r="A154" t="s">
        <v>132</v>
      </c>
      <c r="B154" t="s">
        <v>254</v>
      </c>
      <c r="C154" t="s">
        <v>324</v>
      </c>
      <c r="D154">
        <f>IF(G154 &gt; 2020, ((G154-2020)*4)+1610+I154,IF(G154 &gt; 1900, ((G154-1900)*10)+400+I154, ((G154-1730)*2)+I154))+VLOOKUP(K154,'ID Scheme'!$A$2:$B$7,2, FALSE)</f>
        <v>9601</v>
      </c>
      <c r="E154">
        <v>9601</v>
      </c>
      <c r="F154" t="s">
        <v>683</v>
      </c>
      <c r="G154">
        <v>1960</v>
      </c>
      <c r="H154">
        <v>1</v>
      </c>
      <c r="I154">
        <v>1</v>
      </c>
      <c r="J154" t="s">
        <v>521</v>
      </c>
      <c r="K154" t="s">
        <v>104</v>
      </c>
      <c r="L154" t="s">
        <v>503</v>
      </c>
      <c r="M154">
        <v>36</v>
      </c>
      <c r="N154">
        <v>30</v>
      </c>
      <c r="O154">
        <v>40</v>
      </c>
      <c r="P154">
        <v>12</v>
      </c>
      <c r="Q154">
        <v>15</v>
      </c>
      <c r="R154">
        <v>114</v>
      </c>
      <c r="S154">
        <v>20</v>
      </c>
      <c r="T154">
        <v>122</v>
      </c>
      <c r="U154">
        <v>1</v>
      </c>
      <c r="V154" t="s">
        <v>365</v>
      </c>
      <c r="W154">
        <v>0</v>
      </c>
      <c r="X154" s="2" t="s">
        <v>418</v>
      </c>
      <c r="Y154" s="2"/>
      <c r="Z154" s="2"/>
      <c r="AA154" s="2"/>
      <c r="AB154" s="2"/>
      <c r="AC154" s="2"/>
      <c r="AD154" s="2"/>
      <c r="AE154" s="2"/>
      <c r="AF154" s="2"/>
      <c r="AG154" s="2"/>
      <c r="AI154" t="s">
        <v>372</v>
      </c>
      <c r="AJ154">
        <v>1</v>
      </c>
      <c r="AK154" t="s">
        <v>374</v>
      </c>
      <c r="AL154" t="s">
        <v>372</v>
      </c>
      <c r="AM154" t="s">
        <v>375</v>
      </c>
      <c r="AN154" t="s">
        <v>549</v>
      </c>
      <c r="AO154">
        <v>8</v>
      </c>
      <c r="AP154">
        <v>1</v>
      </c>
      <c r="AR154" s="2">
        <f>(SQRT(M154*T154)*POWER((MIN(O154,20)+SQRT(MAX(O154-20,0))),0.9)*Data!$B$1)*(1-(U154-1))</f>
        <v>88.348080485686708</v>
      </c>
      <c r="AS154" s="2"/>
      <c r="AT154" s="2">
        <f>((POWER((M154*M154*T154), 0.33)*LOG10(R154)*10*Data!$B$1)*U154)+AS154</f>
        <v>80.155598368589864</v>
      </c>
      <c r="AU154" s="2">
        <f t="shared" ref="AU154:AU161" si="81">M154/1.24</f>
        <v>29.032258064516128</v>
      </c>
      <c r="AV154" s="2">
        <f t="shared" si="80"/>
        <v>0</v>
      </c>
      <c r="AW154" s="2">
        <v>2</v>
      </c>
      <c r="AX154" s="2">
        <v>2</v>
      </c>
      <c r="AY154" s="2">
        <v>2</v>
      </c>
      <c r="AZ154" s="2">
        <f t="shared" ref="AZ154:AZ161" si="82">T154/AY154</f>
        <v>61</v>
      </c>
      <c r="BA154" s="2">
        <f t="shared" ref="BA154:BA161" si="83">(T154)/MAX(AX154-1, 1)</f>
        <v>122</v>
      </c>
      <c r="BD154" s="3"/>
      <c r="BE154" s="2" t="str">
        <f>CONCATENATE(
ROUND(BB154*VLOOKUP(K154,'ID Scheme'!$A$2:$E$7,3),0), "x",
ROUND(BC154*VLOOKUP(K154,'ID Scheme'!$A$2:$E$7,5),0), "x",
ROUND(BD154*VLOOKUP(K154,'ID Scheme'!$A$2:$E$7,4),0))</f>
        <v>0x0x0</v>
      </c>
      <c r="BF154" t="s">
        <v>122</v>
      </c>
    </row>
    <row r="155" spans="1:58" x14ac:dyDescent="0.3">
      <c r="A155" t="s">
        <v>112</v>
      </c>
      <c r="B155" t="s">
        <v>205</v>
      </c>
      <c r="C155" t="s">
        <v>285</v>
      </c>
      <c r="D155">
        <f>IF(G155 &gt; 2020, ((G155-2020)*4)+1610+I155,IF(G155 &gt; 1900, ((G155-1900)*10)+400+I155, ((G155-1730)*2)+I155))+VLOOKUP(K155,'ID Scheme'!$A$2:$B$7,2, FALSE)</f>
        <v>9791</v>
      </c>
      <c r="E155">
        <v>9791</v>
      </c>
      <c r="F155" t="s">
        <v>683</v>
      </c>
      <c r="G155">
        <v>1979</v>
      </c>
      <c r="H155">
        <v>6</v>
      </c>
      <c r="I155">
        <v>1</v>
      </c>
      <c r="J155" t="s">
        <v>521</v>
      </c>
      <c r="K155" t="s">
        <v>104</v>
      </c>
      <c r="L155" t="s">
        <v>503</v>
      </c>
      <c r="M155">
        <v>40</v>
      </c>
      <c r="N155">
        <v>25</v>
      </c>
      <c r="O155">
        <v>35</v>
      </c>
      <c r="P155">
        <v>11</v>
      </c>
      <c r="Q155">
        <v>12</v>
      </c>
      <c r="R155">
        <v>114</v>
      </c>
      <c r="S155">
        <v>20</v>
      </c>
      <c r="T155">
        <v>108</v>
      </c>
      <c r="U155">
        <v>1</v>
      </c>
      <c r="V155" t="s">
        <v>365</v>
      </c>
      <c r="W155">
        <v>0</v>
      </c>
      <c r="X155" s="2" t="s">
        <v>419</v>
      </c>
      <c r="Y155" s="2"/>
      <c r="Z155" s="2"/>
      <c r="AA155" s="2"/>
      <c r="AB155" s="2"/>
      <c r="AC155" s="2"/>
      <c r="AD155" s="2"/>
      <c r="AE155" s="2"/>
      <c r="AF155" s="2"/>
      <c r="AG155" s="2"/>
      <c r="AO155">
        <v>8</v>
      </c>
      <c r="AP155">
        <v>1</v>
      </c>
      <c r="AR155" s="2">
        <f>(SQRT(M155*T155)*POWER((MIN(O155,20)+SQRT(MAX(O155-20,0))),0.9)*Data!$B$1)*(1-(U155-1))</f>
        <v>85.687833488938395</v>
      </c>
      <c r="AS155" s="2"/>
      <c r="AT155" s="2">
        <f>((POWER((M155*M155*T155), 0.33)*LOG10(R155)*10*Data!$B$1)*U155)+AS155</f>
        <v>82.540082660234276</v>
      </c>
      <c r="AU155" s="2">
        <f t="shared" si="81"/>
        <v>32.258064516129032</v>
      </c>
      <c r="AV155" s="2">
        <f t="shared" si="80"/>
        <v>0</v>
      </c>
      <c r="AX155" s="2">
        <v>1</v>
      </c>
      <c r="AY155" s="2">
        <v>1</v>
      </c>
      <c r="AZ155" s="2">
        <f t="shared" si="82"/>
        <v>108</v>
      </c>
      <c r="BA155" s="2">
        <f t="shared" si="83"/>
        <v>108</v>
      </c>
      <c r="BD155" s="3"/>
      <c r="BE155" s="2" t="str">
        <f>CONCATENATE(
ROUND(BB155*VLOOKUP(K155,'ID Scheme'!$A$2:$E$7,3),0), "x",
ROUND(BC155*VLOOKUP(K155,'ID Scheme'!$A$2:$E$7,5),0), "x",
ROUND(BD155*VLOOKUP(K155,'ID Scheme'!$A$2:$E$7,4),0))</f>
        <v>0x0x0</v>
      </c>
      <c r="BF155" t="s">
        <v>121</v>
      </c>
    </row>
    <row r="156" spans="1:58" x14ac:dyDescent="0.3">
      <c r="A156" t="s">
        <v>113</v>
      </c>
      <c r="B156" t="s">
        <v>242</v>
      </c>
      <c r="C156" t="s">
        <v>285</v>
      </c>
      <c r="D156">
        <f>IF(G156 &gt; 2020, ((G156-2020)*4)+1610+I156,IF(G156 &gt; 1900, ((G156-1900)*10)+400+I156, ((G156-1730)*2)+I156))+VLOOKUP(K156,'ID Scheme'!$A$2:$B$7,2, FALSE)</f>
        <v>9841</v>
      </c>
      <c r="E156">
        <v>9841</v>
      </c>
      <c r="F156" t="s">
        <v>683</v>
      </c>
      <c r="G156">
        <v>1984</v>
      </c>
      <c r="H156">
        <v>1</v>
      </c>
      <c r="I156">
        <v>1</v>
      </c>
      <c r="J156" t="s">
        <v>521</v>
      </c>
      <c r="K156" t="s">
        <v>104</v>
      </c>
      <c r="L156" t="s">
        <v>503</v>
      </c>
      <c r="M156">
        <v>43</v>
      </c>
      <c r="N156">
        <v>30</v>
      </c>
      <c r="O156">
        <v>40</v>
      </c>
      <c r="P156">
        <v>10</v>
      </c>
      <c r="Q156">
        <v>8</v>
      </c>
      <c r="R156">
        <v>114</v>
      </c>
      <c r="S156">
        <v>20</v>
      </c>
      <c r="T156">
        <v>70</v>
      </c>
      <c r="U156">
        <v>1</v>
      </c>
      <c r="V156" t="s">
        <v>365</v>
      </c>
      <c r="W156">
        <v>0</v>
      </c>
      <c r="X156" s="2" t="s">
        <v>420</v>
      </c>
      <c r="Y156" s="2"/>
      <c r="Z156" s="2"/>
      <c r="AA156" s="2"/>
      <c r="AB156" s="2"/>
      <c r="AC156" s="2"/>
      <c r="AD156" s="2"/>
      <c r="AE156" s="2"/>
      <c r="AF156" s="2"/>
      <c r="AG156" s="2"/>
      <c r="AO156">
        <v>8</v>
      </c>
      <c r="AP156">
        <v>1</v>
      </c>
      <c r="AR156" s="2">
        <f>(SQRT(M156*T156)*POWER((MIN(O156,20)+SQRT(MAX(O156-20,0))),0.9)*Data!$B$1)*(1-(U156-1))</f>
        <v>73.139030669847884</v>
      </c>
      <c r="AS156" s="2"/>
      <c r="AT156" s="2">
        <f>((POWER((M156*M156*T156), 0.33)*LOG10(R156)*10*Data!$B$1)*U156)+AS156</f>
        <v>75.032082395822727</v>
      </c>
      <c r="AU156" s="2">
        <f t="shared" si="81"/>
        <v>34.677419354838712</v>
      </c>
      <c r="AV156" s="2">
        <f t="shared" si="80"/>
        <v>0</v>
      </c>
      <c r="AX156" s="2">
        <v>1</v>
      </c>
      <c r="AY156" s="2">
        <v>1</v>
      </c>
      <c r="AZ156" s="2">
        <f t="shared" si="82"/>
        <v>70</v>
      </c>
      <c r="BA156" s="2">
        <f t="shared" si="83"/>
        <v>70</v>
      </c>
      <c r="BD156" s="3"/>
      <c r="BE156" s="2" t="str">
        <f>CONCATENATE(
ROUND(BB156*VLOOKUP(K156,'ID Scheme'!$A$2:$E$7,3),0), "x",
ROUND(BC156*VLOOKUP(K156,'ID Scheme'!$A$2:$E$7,5),0), "x",
ROUND(BD156*VLOOKUP(K156,'ID Scheme'!$A$2:$E$7,4),0))</f>
        <v>0x0x0</v>
      </c>
      <c r="BF156" t="s">
        <v>121</v>
      </c>
    </row>
    <row r="157" spans="1:58" x14ac:dyDescent="0.3">
      <c r="A157" t="s">
        <v>114</v>
      </c>
      <c r="B157" t="s">
        <v>246</v>
      </c>
      <c r="C157" t="s">
        <v>324</v>
      </c>
      <c r="D157">
        <f>IF(G157 &gt; 2020, ((G157-2020)*4)+1610+I157,IF(G157 &gt; 1900, ((G157-1900)*10)+400+I157, ((G157-1730)*2)+I157))+VLOOKUP(K157,'ID Scheme'!$A$2:$B$7,2, FALSE)</f>
        <v>9871</v>
      </c>
      <c r="E157">
        <v>9871</v>
      </c>
      <c r="F157" t="s">
        <v>683</v>
      </c>
      <c r="G157">
        <v>1987</v>
      </c>
      <c r="H157">
        <v>1</v>
      </c>
      <c r="I157">
        <v>1</v>
      </c>
      <c r="J157" t="s">
        <v>521</v>
      </c>
      <c r="K157" t="s">
        <v>104</v>
      </c>
      <c r="L157" t="s">
        <v>503</v>
      </c>
      <c r="M157">
        <v>40</v>
      </c>
      <c r="N157">
        <v>28</v>
      </c>
      <c r="O157">
        <v>25</v>
      </c>
      <c r="P157">
        <v>14</v>
      </c>
      <c r="Q157">
        <v>18</v>
      </c>
      <c r="R157">
        <v>375</v>
      </c>
      <c r="S157">
        <v>20</v>
      </c>
      <c r="T157">
        <v>188</v>
      </c>
      <c r="U157">
        <v>1</v>
      </c>
      <c r="V157" t="s">
        <v>365</v>
      </c>
      <c r="W157">
        <v>0</v>
      </c>
      <c r="X157" s="2" t="s">
        <v>424</v>
      </c>
      <c r="Y157" s="2"/>
      <c r="Z157" s="2"/>
      <c r="AA157" s="2"/>
      <c r="AB157" s="2"/>
      <c r="AC157" s="2"/>
      <c r="AD157" s="2"/>
      <c r="AE157" s="2"/>
      <c r="AF157" s="2"/>
      <c r="AG157" s="2"/>
      <c r="AI157" t="s">
        <v>372</v>
      </c>
      <c r="AK157" t="s">
        <v>376</v>
      </c>
      <c r="AL157" t="s">
        <v>377</v>
      </c>
      <c r="AM157" t="s">
        <v>378</v>
      </c>
      <c r="AN157" t="s">
        <v>550</v>
      </c>
      <c r="AO157">
        <v>8</v>
      </c>
      <c r="AP157">
        <v>1</v>
      </c>
      <c r="AR157" s="2">
        <f>(SQRT(M157*T157)*POWER((MIN(O157,20)+SQRT(MAX(O157-20,0))),0.9)*Data!$B$1)*(1-(U157-1))</f>
        <v>106.05285816833118</v>
      </c>
      <c r="AS157" s="2"/>
      <c r="AT157" s="2">
        <f>((POWER((M157*M157*T157), 0.33)*LOG10(R157)*10*Data!$B$1)*U157)+AS157</f>
        <v>124.02429472574501</v>
      </c>
      <c r="AU157" s="2">
        <f t="shared" si="81"/>
        <v>32.258064516129032</v>
      </c>
      <c r="AV157" s="2">
        <f t="shared" si="80"/>
        <v>0</v>
      </c>
      <c r="AW157" s="2">
        <v>4</v>
      </c>
      <c r="AX157" s="2">
        <v>4</v>
      </c>
      <c r="AY157" s="2">
        <v>4</v>
      </c>
      <c r="AZ157" s="2">
        <f t="shared" si="82"/>
        <v>47</v>
      </c>
      <c r="BA157" s="2">
        <f t="shared" si="83"/>
        <v>62.666666666666664</v>
      </c>
      <c r="BB157">
        <v>28</v>
      </c>
      <c r="BC157">
        <v>2.65</v>
      </c>
      <c r="BD157" s="3">
        <v>3.47</v>
      </c>
      <c r="BE157" s="2" t="str">
        <f>CONCATENATE(
ROUND(BB157*VLOOKUP(K157,'ID Scheme'!$A$2:$E$7,3),0), "x",
ROUND(BC157*VLOOKUP(K157,'ID Scheme'!$A$2:$E$7,5),0), "x",
ROUND(BD157*VLOOKUP(K157,'ID Scheme'!$A$2:$E$7,4),0))</f>
        <v>262x38x34</v>
      </c>
      <c r="BF157" t="s">
        <v>128</v>
      </c>
    </row>
    <row r="158" spans="1:58" x14ac:dyDescent="0.3">
      <c r="A158" t="s">
        <v>126</v>
      </c>
      <c r="B158" t="s">
        <v>241</v>
      </c>
      <c r="C158" t="s">
        <v>324</v>
      </c>
      <c r="D158">
        <f>IF(G158 &gt; 2020, ((G158-2020)*4)+1610+I158,IF(G158 &gt; 1900, ((G158-1900)*10)+400+I158, ((G158-1730)*2)+I158))+VLOOKUP(K158,'ID Scheme'!$A$2:$B$7,2, FALSE)</f>
        <v>9981</v>
      </c>
      <c r="E158">
        <v>9981</v>
      </c>
      <c r="F158" t="s">
        <v>683</v>
      </c>
      <c r="G158">
        <v>1998</v>
      </c>
      <c r="H158">
        <v>9</v>
      </c>
      <c r="I158">
        <v>1</v>
      </c>
      <c r="J158" t="s">
        <v>521</v>
      </c>
      <c r="K158" t="s">
        <v>104</v>
      </c>
      <c r="L158" t="s">
        <v>503</v>
      </c>
      <c r="M158">
        <v>50</v>
      </c>
      <c r="N158">
        <v>-1</v>
      </c>
      <c r="O158">
        <v>25</v>
      </c>
      <c r="P158">
        <v>14</v>
      </c>
      <c r="Q158">
        <v>36</v>
      </c>
      <c r="R158">
        <v>480</v>
      </c>
      <c r="S158">
        <v>20</v>
      </c>
      <c r="T158">
        <v>208</v>
      </c>
      <c r="U158">
        <v>1</v>
      </c>
      <c r="V158" t="s">
        <v>365</v>
      </c>
      <c r="W158">
        <v>0</v>
      </c>
      <c r="X158" s="2" t="s">
        <v>421</v>
      </c>
      <c r="Y158" s="2"/>
      <c r="Z158" s="2"/>
      <c r="AA158" s="2"/>
      <c r="AB158" s="2"/>
      <c r="AC158" s="2"/>
      <c r="AD158" s="2"/>
      <c r="AE158" s="2"/>
      <c r="AF158" s="2"/>
      <c r="AG158" s="2"/>
      <c r="AI158" t="s">
        <v>372</v>
      </c>
      <c r="AJ158" t="s">
        <v>380</v>
      </c>
      <c r="AK158" s="5">
        <v>104104</v>
      </c>
      <c r="AL158" t="s">
        <v>372</v>
      </c>
      <c r="AM158" t="s">
        <v>375</v>
      </c>
      <c r="AN158" t="s">
        <v>551</v>
      </c>
      <c r="AO158">
        <v>8</v>
      </c>
      <c r="AP158">
        <v>1</v>
      </c>
      <c r="AR158" s="2">
        <f>(SQRT(M158*T158)*POWER((MIN(O158,20)+SQRT(MAX(O158-20,0))),0.9)*Data!$B$1)*(1-(U158-1))</f>
        <v>124.71828400555908</v>
      </c>
      <c r="AS158" s="2"/>
      <c r="AT158" s="2">
        <f>((POWER((M158*M158*T158), 0.33)*LOG10(R158)*10*Data!$B$1)*U158)+AS158</f>
        <v>154.76696175306753</v>
      </c>
      <c r="AU158" s="2">
        <f t="shared" si="81"/>
        <v>40.322580645161288</v>
      </c>
      <c r="AV158" s="2">
        <f t="shared" si="80"/>
        <v>0</v>
      </c>
      <c r="AW158" s="2">
        <v>2</v>
      </c>
      <c r="AX158" s="2">
        <v>2</v>
      </c>
      <c r="AY158" s="2">
        <v>2</v>
      </c>
      <c r="AZ158" s="2">
        <f t="shared" si="82"/>
        <v>104</v>
      </c>
      <c r="BA158" s="2">
        <f t="shared" si="83"/>
        <v>208</v>
      </c>
      <c r="BB158">
        <v>30</v>
      </c>
      <c r="BC158">
        <v>2.65</v>
      </c>
      <c r="BD158" s="3">
        <v>3.67</v>
      </c>
      <c r="BE158" s="2" t="str">
        <f>CONCATENATE(
ROUND(BB158*VLOOKUP(K158,'ID Scheme'!$A$2:$E$7,3),0), "x",
ROUND(BC158*VLOOKUP(K158,'ID Scheme'!$A$2:$E$7,5),0), "x",
ROUND(BD158*VLOOKUP(K158,'ID Scheme'!$A$2:$E$7,4),0))</f>
        <v>280x38x36</v>
      </c>
      <c r="BF158" t="s">
        <v>127</v>
      </c>
    </row>
    <row r="159" spans="1:58" x14ac:dyDescent="0.3">
      <c r="A159" t="s">
        <v>115</v>
      </c>
      <c r="B159" t="s">
        <v>245</v>
      </c>
      <c r="C159" t="s">
        <v>324</v>
      </c>
      <c r="D159">
        <f>IF(G159 &gt; 2020, ((G159-2020)*4)+1610+I159,IF(G159 &gt; 1900, ((G159-1900)*10)+400+I159, ((G159-1730)*2)+I159))+VLOOKUP(K159,'ID Scheme'!$A$2:$B$7,2, FALSE)</f>
        <v>10082</v>
      </c>
      <c r="E159">
        <v>10082</v>
      </c>
      <c r="F159" t="s">
        <v>683</v>
      </c>
      <c r="G159">
        <v>2008</v>
      </c>
      <c r="H159">
        <v>1</v>
      </c>
      <c r="I159">
        <v>2</v>
      </c>
      <c r="J159" t="s">
        <v>521</v>
      </c>
      <c r="K159" t="s">
        <v>104</v>
      </c>
      <c r="L159" t="s">
        <v>503</v>
      </c>
      <c r="M159">
        <v>62</v>
      </c>
      <c r="N159">
        <v>-1</v>
      </c>
      <c r="O159">
        <v>25</v>
      </c>
      <c r="P159">
        <v>14</v>
      </c>
      <c r="Q159">
        <v>36</v>
      </c>
      <c r="R159">
        <v>375</v>
      </c>
      <c r="S159">
        <v>20</v>
      </c>
      <c r="T159">
        <v>284</v>
      </c>
      <c r="U159">
        <v>1</v>
      </c>
      <c r="V159" t="s">
        <v>365</v>
      </c>
      <c r="W159">
        <v>0</v>
      </c>
      <c r="X159" s="2" t="s">
        <v>426</v>
      </c>
      <c r="Y159" s="2"/>
      <c r="Z159" s="2"/>
      <c r="AA159" s="2"/>
      <c r="AB159" s="2"/>
      <c r="AC159" s="2"/>
      <c r="AD159" s="2"/>
      <c r="AE159" s="2"/>
      <c r="AF159" s="2"/>
      <c r="AG159" s="2"/>
      <c r="AI159" t="s">
        <v>372</v>
      </c>
      <c r="AJ159" t="s">
        <v>400</v>
      </c>
      <c r="AK159" t="s">
        <v>381</v>
      </c>
      <c r="AL159" t="s">
        <v>382</v>
      </c>
      <c r="AM159" t="s">
        <v>383</v>
      </c>
      <c r="AN159" t="s">
        <v>552</v>
      </c>
      <c r="AO159">
        <v>8</v>
      </c>
      <c r="AP159">
        <v>1</v>
      </c>
      <c r="AR159" s="2">
        <f>(SQRT(M159*T159)*POWER((MIN(O159,20)+SQRT(MAX(O159-20,0))),0.9)*Data!$B$1)*(1-(U159-1))</f>
        <v>162.28129769016738</v>
      </c>
      <c r="AS159" s="2"/>
      <c r="AT159" s="2">
        <f>((POWER((M159*M159*T159), 0.33)*LOG10(R159)*10*Data!$B$1)*U159)+AS159</f>
        <v>189.77921627665754</v>
      </c>
      <c r="AU159" s="2">
        <f t="shared" si="81"/>
        <v>50</v>
      </c>
      <c r="AV159" s="2">
        <f t="shared" si="80"/>
        <v>0</v>
      </c>
      <c r="AW159" s="2">
        <v>6</v>
      </c>
      <c r="AX159" s="2">
        <v>6</v>
      </c>
      <c r="AY159" s="2">
        <v>6</v>
      </c>
      <c r="AZ159" s="2">
        <f t="shared" si="82"/>
        <v>47.333333333333336</v>
      </c>
      <c r="BA159" s="2">
        <f t="shared" si="83"/>
        <v>56.8</v>
      </c>
      <c r="BB159">
        <v>32</v>
      </c>
      <c r="BC159">
        <v>2.65</v>
      </c>
      <c r="BD159" s="3">
        <v>3.42</v>
      </c>
      <c r="BE159" s="2" t="str">
        <f>CONCATENATE(
ROUND(BB159*VLOOKUP(K159,'ID Scheme'!$A$2:$E$7,3),0), "x",
ROUND(BC159*VLOOKUP(K159,'ID Scheme'!$A$2:$E$7,5),0), "x",
ROUND(BD159*VLOOKUP(K159,'ID Scheme'!$A$2:$E$7,4),0))</f>
        <v>299x38x33</v>
      </c>
      <c r="BF159" t="s">
        <v>129</v>
      </c>
    </row>
    <row r="160" spans="1:58" x14ac:dyDescent="0.3">
      <c r="A160" t="s">
        <v>135</v>
      </c>
      <c r="B160" t="s">
        <v>248</v>
      </c>
      <c r="C160" t="s">
        <v>324</v>
      </c>
      <c r="D160">
        <f>IF(G160 &gt; 2020, ((G160-2020)*4)+1610+I160,IF(G160 &gt; 1900, ((G160-1900)*10)+400+I160, ((G160-1730)*2)+I160))+VLOOKUP(K160,'ID Scheme'!$A$2:$B$7,2, FALSE)</f>
        <v>10101</v>
      </c>
      <c r="E160">
        <v>10101</v>
      </c>
      <c r="F160" t="s">
        <v>683</v>
      </c>
      <c r="G160">
        <v>2010</v>
      </c>
      <c r="H160">
        <v>11</v>
      </c>
      <c r="I160">
        <v>1</v>
      </c>
      <c r="J160" t="s">
        <v>521</v>
      </c>
      <c r="K160" t="s">
        <v>104</v>
      </c>
      <c r="L160" t="s">
        <v>503</v>
      </c>
      <c r="M160">
        <v>44</v>
      </c>
      <c r="N160">
        <v>-1</v>
      </c>
      <c r="O160">
        <v>25</v>
      </c>
      <c r="P160">
        <v>14</v>
      </c>
      <c r="Q160">
        <v>41</v>
      </c>
      <c r="R160">
        <v>640</v>
      </c>
      <c r="S160">
        <v>20</v>
      </c>
      <c r="T160">
        <v>225</v>
      </c>
      <c r="U160">
        <v>1</v>
      </c>
      <c r="V160" t="s">
        <v>365</v>
      </c>
      <c r="W160">
        <v>0</v>
      </c>
      <c r="X160" s="2" t="s">
        <v>422</v>
      </c>
      <c r="Y160" s="2"/>
      <c r="Z160" s="2"/>
      <c r="AA160" s="2"/>
      <c r="AB160" s="2"/>
      <c r="AC160" s="2"/>
      <c r="AD160" s="2"/>
      <c r="AE160" s="2"/>
      <c r="AF160" s="2"/>
      <c r="AG160" s="2"/>
      <c r="AI160" t="s">
        <v>384</v>
      </c>
      <c r="AJ160" t="s">
        <v>401</v>
      </c>
      <c r="AK160" t="s">
        <v>385</v>
      </c>
      <c r="AL160" t="s">
        <v>386</v>
      </c>
      <c r="AM160" t="s">
        <v>387</v>
      </c>
      <c r="AN160" t="s">
        <v>577</v>
      </c>
      <c r="AO160">
        <v>6</v>
      </c>
      <c r="AP160">
        <v>1</v>
      </c>
      <c r="AR160" s="2">
        <f>(SQRT(M160*T160)*POWER((MIN(O160,20)+SQRT(MAX(O160-20,0))),0.9)*Data!$B$1)*(1-(U160-1))</f>
        <v>121.68332110930714</v>
      </c>
      <c r="AS160" s="2"/>
      <c r="AT160" s="2">
        <f>((POWER((M160*M160*T160), 0.33)*LOG10(R160)*10*Data!$B$1)*U160)+AS160</f>
        <v>152.78326328641526</v>
      </c>
      <c r="AU160" s="2">
        <f t="shared" si="81"/>
        <v>35.483870967741936</v>
      </c>
      <c r="AV160" s="2">
        <f t="shared" si="80"/>
        <v>0</v>
      </c>
      <c r="AW160" s="2">
        <v>5</v>
      </c>
      <c r="AX160" s="2">
        <v>5</v>
      </c>
      <c r="AY160" s="2">
        <v>5</v>
      </c>
      <c r="AZ160" s="2">
        <f t="shared" si="82"/>
        <v>45</v>
      </c>
      <c r="BA160" s="2">
        <f t="shared" si="83"/>
        <v>56.25</v>
      </c>
      <c r="BD160" s="3"/>
      <c r="BE160" s="2" t="str">
        <f>CONCATENATE(
ROUND(BB160*VLOOKUP(K160,'ID Scheme'!$A$2:$E$7,3),0), "x",
ROUND(BC160*VLOOKUP(K160,'ID Scheme'!$A$2:$E$7,5),0), "x",
ROUND(BD160*VLOOKUP(K160,'ID Scheme'!$A$2:$E$7,4),0))</f>
        <v>0x0x0</v>
      </c>
      <c r="BF160" t="s">
        <v>136</v>
      </c>
    </row>
    <row r="161" spans="1:58" x14ac:dyDescent="0.3">
      <c r="A161" t="s">
        <v>133</v>
      </c>
      <c r="B161" t="s">
        <v>256</v>
      </c>
      <c r="C161" t="s">
        <v>324</v>
      </c>
      <c r="D161">
        <f>IF(G161 &gt; 2020, ((G161-2020)*4)+1610+I161,IF(G161 &gt; 1900, ((G161-1900)*10)+400+I161, ((G161-1730)*2)+I161))+VLOOKUP(K161,'ID Scheme'!$A$2:$B$7,2, FALSE)</f>
        <v>10171</v>
      </c>
      <c r="E161">
        <v>10171</v>
      </c>
      <c r="F161" t="s">
        <v>683</v>
      </c>
      <c r="G161">
        <v>2017</v>
      </c>
      <c r="H161">
        <v>1</v>
      </c>
      <c r="I161">
        <v>1</v>
      </c>
      <c r="J161" t="s">
        <v>521</v>
      </c>
      <c r="K161" t="s">
        <v>104</v>
      </c>
      <c r="L161" t="s">
        <v>503</v>
      </c>
      <c r="M161">
        <v>62</v>
      </c>
      <c r="N161">
        <v>-1</v>
      </c>
      <c r="O161">
        <v>30</v>
      </c>
      <c r="P161">
        <v>12</v>
      </c>
      <c r="Q161">
        <v>63</v>
      </c>
      <c r="R161">
        <v>1180</v>
      </c>
      <c r="S161">
        <v>20</v>
      </c>
      <c r="T161">
        <v>238</v>
      </c>
      <c r="U161">
        <v>1</v>
      </c>
      <c r="V161" t="s">
        <v>365</v>
      </c>
      <c r="W161">
        <v>0</v>
      </c>
      <c r="X161" s="2" t="s">
        <v>425</v>
      </c>
      <c r="Y161" s="2"/>
      <c r="Z161" s="2"/>
      <c r="AA161" s="2"/>
      <c r="AB161" s="2"/>
      <c r="AC161" s="2"/>
      <c r="AD161" s="2"/>
      <c r="AE161" s="2"/>
      <c r="AF161" s="2"/>
      <c r="AG161" s="2"/>
      <c r="AI161" t="s">
        <v>388</v>
      </c>
      <c r="AJ161" t="s">
        <v>402</v>
      </c>
      <c r="AK161" t="s">
        <v>389</v>
      </c>
      <c r="AL161" t="s">
        <v>388</v>
      </c>
      <c r="AM161" t="s">
        <v>390</v>
      </c>
      <c r="AN161" t="s">
        <v>553</v>
      </c>
      <c r="AO161">
        <v>8</v>
      </c>
      <c r="AP161">
        <v>1</v>
      </c>
      <c r="AR161" s="2">
        <f>(SQRT(M161*T161)*POWER((MIN(O161,20)+SQRT(MAX(O161-20,0))),0.9)*Data!$B$1)*(1-(U161-1))</f>
        <v>154.11635315507084</v>
      </c>
      <c r="AS161" s="2"/>
      <c r="AT161" s="2">
        <f>((POWER((M161*M161*T161), 0.33)*LOG10(R161)*10*Data!$B$1)*U161)+AS161</f>
        <v>213.65580865997862</v>
      </c>
      <c r="AU161" s="2">
        <f t="shared" si="81"/>
        <v>50</v>
      </c>
      <c r="AV161" s="2">
        <f t="shared" si="80"/>
        <v>0</v>
      </c>
      <c r="AW161" s="2">
        <v>3</v>
      </c>
      <c r="AX161" s="2">
        <v>3</v>
      </c>
      <c r="AY161" s="2">
        <v>3</v>
      </c>
      <c r="AZ161" s="2">
        <f t="shared" si="82"/>
        <v>79.333333333333329</v>
      </c>
      <c r="BA161" s="2">
        <f t="shared" si="83"/>
        <v>119</v>
      </c>
      <c r="BB161">
        <v>37.200000000000003</v>
      </c>
      <c r="BC161">
        <v>2.65</v>
      </c>
      <c r="BD161" s="3">
        <v>3.6</v>
      </c>
      <c r="BE161" s="2" t="str">
        <f>CONCATENATE(
ROUND(BB161*VLOOKUP(K161,'ID Scheme'!$A$2:$E$7,3),0), "x",
ROUND(BC161*VLOOKUP(K161,'ID Scheme'!$A$2:$E$7,5),0), "x",
ROUND(BD161*VLOOKUP(K161,'ID Scheme'!$A$2:$E$7,4),0))</f>
        <v>347x38x35</v>
      </c>
      <c r="BF161" t="s">
        <v>134</v>
      </c>
    </row>
  </sheetData>
  <autoFilter ref="A1:BF161" xr:uid="{56F55A87-583C-464E-B7D6-67124107F553}">
    <sortState xmlns:xlrd2="http://schemas.microsoft.com/office/spreadsheetml/2017/richdata2" ref="A2:BF161">
      <sortCondition ref="D1:D161"/>
    </sortState>
  </autoFilter>
  <sortState xmlns:xlrd2="http://schemas.microsoft.com/office/spreadsheetml/2017/richdata2" ref="A3:BF161">
    <sortCondition ref="D96"/>
  </sortState>
  <dataValidations count="1">
    <dataValidation showDropDown="1" showInputMessage="1" showErrorMessage="1" sqref="L1:L1048576" xr:uid="{71F5C8D7-1136-4899-9B4B-518A76606795}"/>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'ID Scheme'!$A$2:$A$7</xm:f>
          </x14:formula1>
          <xm:sqref>K24:K40 K1:K22 K42:K1048576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7E4A28-9F3F-4030-8EF6-C290CDC694E8}">
  <sheetPr codeName="Sheet2"/>
  <dimension ref="A1:B1"/>
  <sheetViews>
    <sheetView workbookViewId="0"/>
  </sheetViews>
  <sheetFormatPr defaultRowHeight="14.4" x14ac:dyDescent="0.3"/>
  <cols>
    <col min="1" max="1" width="22.33203125" bestFit="1" customWidth="1"/>
  </cols>
  <sheetData>
    <row r="1" spans="1:2" x14ac:dyDescent="0.3">
      <c r="A1" s="1" t="s">
        <v>7</v>
      </c>
      <c r="B1">
        <v>7.4999999999999997E-2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7"/>
  <sheetViews>
    <sheetView workbookViewId="0"/>
  </sheetViews>
  <sheetFormatPr defaultRowHeight="14.4" x14ac:dyDescent="0.3"/>
  <cols>
    <col min="1" max="1" width="12.44140625" bestFit="1" customWidth="1"/>
    <col min="2" max="2" width="7.44140625" bestFit="1" customWidth="1"/>
    <col min="3" max="3" width="12" bestFit="1" customWidth="1"/>
    <col min="4" max="4" width="11.88671875" bestFit="1" customWidth="1"/>
    <col min="5" max="5" width="11.5546875" bestFit="1" customWidth="1"/>
  </cols>
  <sheetData>
    <row r="1" spans="1:5" x14ac:dyDescent="0.3">
      <c r="A1" s="1" t="s">
        <v>10</v>
      </c>
      <c r="B1" s="1" t="s">
        <v>11</v>
      </c>
      <c r="C1" s="1" t="s">
        <v>67</v>
      </c>
      <c r="D1" s="1" t="s">
        <v>68</v>
      </c>
      <c r="E1" s="1" t="s">
        <v>69</v>
      </c>
    </row>
    <row r="2" spans="1:5" x14ac:dyDescent="0.3">
      <c r="A2" t="s">
        <v>12</v>
      </c>
      <c r="B2">
        <v>600</v>
      </c>
      <c r="C2">
        <v>9.34</v>
      </c>
      <c r="D2">
        <v>9.68</v>
      </c>
      <c r="E2">
        <v>14.4</v>
      </c>
    </row>
    <row r="3" spans="1:5" x14ac:dyDescent="0.3">
      <c r="A3" t="s">
        <v>13</v>
      </c>
      <c r="B3">
        <f t="shared" ref="B3:B6" si="0">B2+2000</f>
        <v>2600</v>
      </c>
      <c r="C3">
        <v>9.34</v>
      </c>
      <c r="D3">
        <v>9.68</v>
      </c>
      <c r="E3">
        <v>14.4</v>
      </c>
    </row>
    <row r="4" spans="1:5" x14ac:dyDescent="0.3">
      <c r="A4" t="s">
        <v>14</v>
      </c>
      <c r="B4">
        <f t="shared" si="0"/>
        <v>4600</v>
      </c>
      <c r="C4">
        <v>9.34</v>
      </c>
      <c r="D4">
        <v>9.68</v>
      </c>
      <c r="E4">
        <v>14.4</v>
      </c>
    </row>
    <row r="5" spans="1:5" x14ac:dyDescent="0.3">
      <c r="A5" t="s">
        <v>48</v>
      </c>
      <c r="B5">
        <f t="shared" si="0"/>
        <v>6600</v>
      </c>
      <c r="C5">
        <v>9.34</v>
      </c>
      <c r="D5">
        <v>9.68</v>
      </c>
      <c r="E5">
        <v>14.4</v>
      </c>
    </row>
    <row r="6" spans="1:5" x14ac:dyDescent="0.3">
      <c r="A6" t="s">
        <v>104</v>
      </c>
      <c r="B6">
        <f t="shared" si="0"/>
        <v>8600</v>
      </c>
      <c r="C6">
        <v>9.34</v>
      </c>
      <c r="D6">
        <v>9.68</v>
      </c>
      <c r="E6">
        <v>14.4</v>
      </c>
    </row>
    <row r="7" spans="1:5" x14ac:dyDescent="0.3">
      <c r="A7" t="s">
        <v>137</v>
      </c>
      <c r="B7">
        <f>B6+2000</f>
        <v>10600</v>
      </c>
      <c r="C7">
        <v>9.34</v>
      </c>
      <c r="D7">
        <v>9.68</v>
      </c>
      <c r="E7">
        <v>14.4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table</vt:lpstr>
      <vt:lpstr>Data</vt:lpstr>
      <vt:lpstr>ID Scheme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Matt Kimber</cp:lastModifiedBy>
  <dcterms:created xsi:type="dcterms:W3CDTF">2015-06-05T18:17:20Z</dcterms:created>
  <dcterms:modified xsi:type="dcterms:W3CDTF">2023-09-03T17:45:43Z</dcterms:modified>
</cp:coreProperties>
</file>