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864F4F2F-DF5F-4827-8438-0C8C8F1E19F8}" xr6:coauthVersionLast="46" xr6:coauthVersionMax="46" xr10:uidLastSave="{00000000-0000-0000-0000-000000000000}"/>
  <bookViews>
    <workbookView xWindow="1095" yWindow="2190" windowWidth="24435" windowHeight="1225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43" i="1" l="1"/>
  <c r="AY43" i="1"/>
  <c r="AX43" i="1"/>
  <c r="AT43" i="1"/>
  <c r="AS43" i="1"/>
  <c r="AR43" i="1"/>
  <c r="AP43" i="1"/>
  <c r="D43" i="1"/>
  <c r="BC114" i="1"/>
  <c r="AY114" i="1"/>
  <c r="AX114" i="1"/>
  <c r="AT114" i="1"/>
  <c r="AS114" i="1"/>
  <c r="AR114" i="1"/>
  <c r="AP114" i="1"/>
  <c r="D114" i="1"/>
  <c r="BC37" i="1"/>
  <c r="AY37" i="1"/>
  <c r="AX37" i="1"/>
  <c r="AT37" i="1"/>
  <c r="AS37" i="1"/>
  <c r="AR37" i="1"/>
  <c r="AP37" i="1"/>
  <c r="D37" i="1"/>
  <c r="BC111" i="1"/>
  <c r="AY111" i="1"/>
  <c r="AX111" i="1"/>
  <c r="AT111" i="1"/>
  <c r="AS111" i="1"/>
  <c r="AR111" i="1"/>
  <c r="AP111" i="1"/>
  <c r="D111" i="1"/>
  <c r="BC79" i="1"/>
  <c r="AY79" i="1"/>
  <c r="AX79" i="1"/>
  <c r="AT79" i="1"/>
  <c r="AS79" i="1"/>
  <c r="AR79" i="1"/>
  <c r="AP79" i="1"/>
  <c r="D79" i="1"/>
  <c r="BC72" i="1"/>
  <c r="AY72" i="1"/>
  <c r="AX72" i="1"/>
  <c r="AT72" i="1"/>
  <c r="AS72" i="1"/>
  <c r="AR72" i="1"/>
  <c r="AP72" i="1"/>
  <c r="D72" i="1"/>
  <c r="BC14" i="1"/>
  <c r="AY14" i="1"/>
  <c r="AX14" i="1"/>
  <c r="AT14" i="1"/>
  <c r="AS14" i="1"/>
  <c r="AR14" i="1"/>
  <c r="AP14" i="1"/>
  <c r="D14" i="1"/>
  <c r="AY39" i="1"/>
  <c r="AX39" i="1"/>
  <c r="AT39" i="1"/>
  <c r="AS39" i="1"/>
  <c r="AY23" i="1"/>
  <c r="AX23" i="1"/>
  <c r="AT23" i="1"/>
  <c r="AS23" i="1"/>
  <c r="BC108" i="1"/>
  <c r="AY108" i="1"/>
  <c r="AX108" i="1"/>
  <c r="AT108" i="1"/>
  <c r="AS108" i="1"/>
  <c r="AR108" i="1"/>
  <c r="AP108" i="1"/>
  <c r="D108" i="1"/>
  <c r="BC106" i="1"/>
  <c r="AY106" i="1"/>
  <c r="AX106" i="1"/>
  <c r="AT106" i="1"/>
  <c r="AS106" i="1"/>
  <c r="AR106" i="1"/>
  <c r="AP106" i="1"/>
  <c r="D106" i="1"/>
  <c r="BC18" i="1"/>
  <c r="AY18" i="1"/>
  <c r="AX18" i="1"/>
  <c r="AT18" i="1"/>
  <c r="AS18" i="1"/>
  <c r="AR18" i="1"/>
  <c r="AP18" i="1"/>
  <c r="D18" i="1"/>
  <c r="BC99" i="1"/>
  <c r="AY99" i="1"/>
  <c r="AX99" i="1"/>
  <c r="AT99" i="1"/>
  <c r="AS99" i="1"/>
  <c r="AR99" i="1"/>
  <c r="AP99" i="1"/>
  <c r="D99" i="1"/>
  <c r="BC100" i="1"/>
  <c r="AY100" i="1"/>
  <c r="AX100" i="1"/>
  <c r="AT100" i="1"/>
  <c r="AS100" i="1"/>
  <c r="AR100" i="1"/>
  <c r="AP100" i="1"/>
  <c r="D100" i="1"/>
  <c r="BC81" i="1"/>
  <c r="AY81" i="1"/>
  <c r="AX81" i="1"/>
  <c r="AT81" i="1"/>
  <c r="AS81" i="1"/>
  <c r="AR81" i="1"/>
  <c r="AP81" i="1"/>
  <c r="D81" i="1"/>
  <c r="BC90" i="1" l="1"/>
  <c r="AY90" i="1"/>
  <c r="AX90" i="1"/>
  <c r="AT90" i="1"/>
  <c r="AS90" i="1"/>
  <c r="AR90" i="1"/>
  <c r="AP90" i="1"/>
  <c r="D90" i="1"/>
  <c r="BC86" i="1"/>
  <c r="AY86" i="1"/>
  <c r="AX86" i="1"/>
  <c r="AT86" i="1"/>
  <c r="AS86" i="1"/>
  <c r="AR86" i="1"/>
  <c r="AP86" i="1"/>
  <c r="D86" i="1"/>
  <c r="BC40" i="1" l="1"/>
  <c r="AY40" i="1"/>
  <c r="AX40" i="1"/>
  <c r="AT40" i="1"/>
  <c r="AS40" i="1"/>
  <c r="AR40" i="1"/>
  <c r="AP40" i="1"/>
  <c r="D40" i="1"/>
  <c r="BC30" i="1"/>
  <c r="AY30" i="1"/>
  <c r="AX30" i="1"/>
  <c r="AT30" i="1"/>
  <c r="AS30" i="1"/>
  <c r="AR30" i="1"/>
  <c r="AP30" i="1"/>
  <c r="D30" i="1"/>
  <c r="BC56" i="1" l="1"/>
  <c r="AY56" i="1"/>
  <c r="AX56" i="1"/>
  <c r="AT56" i="1"/>
  <c r="AS56" i="1"/>
  <c r="AR56" i="1"/>
  <c r="AP56" i="1"/>
  <c r="D56" i="1"/>
  <c r="BC61" i="1"/>
  <c r="AY61" i="1"/>
  <c r="AX61" i="1"/>
  <c r="AT61" i="1"/>
  <c r="AS61" i="1"/>
  <c r="AR61" i="1"/>
  <c r="AP61" i="1"/>
  <c r="D61" i="1"/>
  <c r="BC36" i="1" l="1"/>
  <c r="AY36" i="1"/>
  <c r="AX36" i="1"/>
  <c r="AT36" i="1"/>
  <c r="AS36" i="1"/>
  <c r="AR36" i="1"/>
  <c r="AP36" i="1"/>
  <c r="D36" i="1"/>
  <c r="BC34" i="1"/>
  <c r="AY34" i="1"/>
  <c r="AX34" i="1"/>
  <c r="AT34" i="1"/>
  <c r="AS34" i="1"/>
  <c r="AR34" i="1"/>
  <c r="AP34" i="1"/>
  <c r="D34" i="1"/>
  <c r="AR47" i="1"/>
  <c r="AR48" i="1"/>
  <c r="AR49" i="1"/>
  <c r="AR50" i="1"/>
  <c r="AR51" i="1"/>
  <c r="AR52" i="1"/>
  <c r="AR53" i="1"/>
  <c r="AR54" i="1"/>
  <c r="AR55" i="1"/>
  <c r="AR57" i="1"/>
  <c r="AR58" i="1"/>
  <c r="AR59" i="1"/>
  <c r="AR60" i="1"/>
  <c r="AR62" i="1"/>
  <c r="AR63" i="1"/>
  <c r="AR64" i="1"/>
  <c r="AR65" i="1"/>
  <c r="AR66" i="1"/>
  <c r="AR67" i="1"/>
  <c r="AR68" i="1"/>
  <c r="AR69" i="1"/>
  <c r="AR70" i="1"/>
  <c r="AR71" i="1"/>
  <c r="AR73" i="1"/>
  <c r="AR74" i="1"/>
  <c r="AR75" i="1"/>
  <c r="AR76" i="1"/>
  <c r="AR77" i="1"/>
  <c r="AR78" i="1"/>
  <c r="AR80" i="1"/>
  <c r="AR82" i="1"/>
  <c r="AR83" i="1"/>
  <c r="AR84" i="1"/>
  <c r="AR85" i="1"/>
  <c r="AR87" i="1"/>
  <c r="AR88" i="1"/>
  <c r="AR89" i="1"/>
  <c r="AR91" i="1"/>
  <c r="AR92" i="1"/>
  <c r="AR93" i="1"/>
  <c r="AR94" i="1"/>
  <c r="AR95" i="1"/>
  <c r="AR96" i="1"/>
  <c r="AR97" i="1"/>
  <c r="AR98" i="1"/>
  <c r="AR101" i="1"/>
  <c r="AR102" i="1"/>
  <c r="AR103" i="1"/>
  <c r="AR104" i="1"/>
  <c r="AR105" i="1"/>
  <c r="AR107" i="1"/>
  <c r="AR109" i="1"/>
  <c r="AR110" i="1"/>
  <c r="AR112" i="1"/>
  <c r="AR113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5" i="1"/>
  <c r="AR6" i="1"/>
  <c r="AR7" i="1"/>
  <c r="AR8" i="1"/>
  <c r="AR9" i="1"/>
  <c r="AR10" i="1"/>
  <c r="AR12" i="1"/>
  <c r="AR13" i="1"/>
  <c r="AR16" i="1"/>
  <c r="AR17" i="1"/>
  <c r="AR19" i="1"/>
  <c r="AR20" i="1"/>
  <c r="AR21" i="1"/>
  <c r="AR24" i="1"/>
  <c r="AR25" i="1"/>
  <c r="AR26" i="1"/>
  <c r="AR27" i="1"/>
  <c r="AR28" i="1"/>
  <c r="AR32" i="1"/>
  <c r="AR41" i="1"/>
  <c r="AR42" i="1"/>
  <c r="AR44" i="1"/>
  <c r="AR45" i="1"/>
  <c r="AR46" i="1"/>
  <c r="BC132" i="1" l="1"/>
  <c r="AY132" i="1"/>
  <c r="AX132" i="1"/>
  <c r="AT132" i="1"/>
  <c r="AS132" i="1"/>
  <c r="AP132" i="1"/>
  <c r="D132" i="1"/>
  <c r="BC44" i="1" l="1"/>
  <c r="AY44" i="1"/>
  <c r="AX44" i="1"/>
  <c r="AT44" i="1"/>
  <c r="AS44" i="1"/>
  <c r="AP44" i="1"/>
  <c r="D44" i="1"/>
  <c r="BC47" i="1" l="1"/>
  <c r="AY47" i="1"/>
  <c r="AS46" i="1"/>
  <c r="AT46" i="1"/>
  <c r="AX46" i="1"/>
  <c r="AS47" i="1"/>
  <c r="AT47" i="1"/>
  <c r="AX47" i="1"/>
  <c r="AS48" i="1"/>
  <c r="AT48" i="1"/>
  <c r="AX48" i="1"/>
  <c r="AP47" i="1"/>
  <c r="D47" i="1"/>
  <c r="AX96" i="1" l="1"/>
  <c r="AX16" i="1"/>
  <c r="AX97" i="1"/>
  <c r="AX98" i="1"/>
  <c r="AX20" i="1"/>
  <c r="AX19" i="1"/>
  <c r="AX21" i="1"/>
  <c r="AX101" i="1"/>
  <c r="AX102" i="1"/>
  <c r="AX103" i="1"/>
  <c r="AX104" i="1"/>
  <c r="AX24" i="1"/>
  <c r="AX105" i="1"/>
  <c r="AX25" i="1"/>
  <c r="AX107" i="1"/>
  <c r="AX27" i="1"/>
  <c r="AX109" i="1"/>
  <c r="AX26" i="1"/>
  <c r="AX110" i="1"/>
  <c r="AX28" i="1"/>
  <c r="AX112" i="1"/>
  <c r="AX113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5" i="1"/>
  <c r="AX6" i="1"/>
  <c r="AX7" i="1"/>
  <c r="AX8" i="1"/>
  <c r="AX9" i="1"/>
  <c r="AX10" i="1"/>
  <c r="AX41" i="1"/>
  <c r="AX42" i="1"/>
  <c r="AX45" i="1"/>
  <c r="AX49" i="1"/>
  <c r="AX50" i="1"/>
  <c r="AX51" i="1"/>
  <c r="AX52" i="1"/>
  <c r="AX53" i="1"/>
  <c r="AX54" i="1"/>
  <c r="AX55" i="1"/>
  <c r="AX57" i="1"/>
  <c r="AX58" i="1"/>
  <c r="AX59" i="1"/>
  <c r="AX60" i="1"/>
  <c r="AX62" i="1"/>
  <c r="AX63" i="1"/>
  <c r="AX64" i="1"/>
  <c r="AX65" i="1"/>
  <c r="AX66" i="1"/>
  <c r="AX67" i="1"/>
  <c r="AX68" i="1"/>
  <c r="AX69" i="1"/>
  <c r="AX70" i="1"/>
  <c r="AX71" i="1"/>
  <c r="AX73" i="1"/>
  <c r="AX74" i="1"/>
  <c r="AX75" i="1"/>
  <c r="AX76" i="1"/>
  <c r="AX77" i="1"/>
  <c r="AX78" i="1"/>
  <c r="AX80" i="1"/>
  <c r="AX32" i="1"/>
  <c r="AX82" i="1"/>
  <c r="AX83" i="1"/>
  <c r="AX84" i="1"/>
  <c r="AX85" i="1"/>
  <c r="AX12" i="1"/>
  <c r="AX87" i="1"/>
  <c r="AX13" i="1"/>
  <c r="AX88" i="1"/>
  <c r="AX89" i="1"/>
  <c r="AX91" i="1"/>
  <c r="AX92" i="1"/>
  <c r="AX93" i="1"/>
  <c r="AX94" i="1"/>
  <c r="AX95" i="1"/>
  <c r="AX17" i="1"/>
  <c r="AY32" i="1"/>
  <c r="AY28" i="1"/>
  <c r="AY26" i="1"/>
  <c r="AY27" i="1"/>
  <c r="AY25" i="1"/>
  <c r="AY24" i="1"/>
  <c r="AY21" i="1"/>
  <c r="AY19" i="1"/>
  <c r="AY20" i="1"/>
  <c r="AY16" i="1"/>
  <c r="AY17" i="1"/>
  <c r="AY13" i="1"/>
  <c r="AY12" i="1"/>
  <c r="BC94" i="1" l="1"/>
  <c r="AY94" i="1"/>
  <c r="AT94" i="1"/>
  <c r="AS94" i="1"/>
  <c r="AP94" i="1"/>
  <c r="D94" i="1"/>
  <c r="BC13" i="1"/>
  <c r="AT13" i="1"/>
  <c r="AS13" i="1"/>
  <c r="AP13" i="1"/>
  <c r="D13" i="1"/>
  <c r="AP76" i="1" l="1"/>
  <c r="AP77" i="1"/>
  <c r="AP78" i="1"/>
  <c r="AP32" i="1"/>
  <c r="AP82" i="1"/>
  <c r="AP83" i="1"/>
  <c r="AP84" i="1"/>
  <c r="AP85" i="1"/>
  <c r="AP12" i="1"/>
  <c r="AP87" i="1"/>
  <c r="AP88" i="1"/>
  <c r="AP89" i="1"/>
  <c r="AP91" i="1"/>
  <c r="AP92" i="1"/>
  <c r="AP93" i="1"/>
  <c r="AP95" i="1"/>
  <c r="AP17" i="1"/>
  <c r="AP96" i="1"/>
  <c r="AP16" i="1"/>
  <c r="AP97" i="1"/>
  <c r="AP98" i="1"/>
  <c r="AP20" i="1"/>
  <c r="AP19" i="1"/>
  <c r="AP21" i="1"/>
  <c r="AP101" i="1"/>
  <c r="AP102" i="1"/>
  <c r="AP103" i="1"/>
  <c r="AP104" i="1"/>
  <c r="AP24" i="1"/>
  <c r="AP105" i="1"/>
  <c r="AP25" i="1"/>
  <c r="AP107" i="1"/>
  <c r="AP27" i="1"/>
  <c r="AP109" i="1"/>
  <c r="AP26" i="1"/>
  <c r="AP110" i="1"/>
  <c r="AP28" i="1"/>
  <c r="AP112" i="1"/>
  <c r="AP113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5" i="1"/>
  <c r="AP6" i="1"/>
  <c r="AP7" i="1"/>
  <c r="AP8" i="1"/>
  <c r="AP9" i="1"/>
  <c r="AP10" i="1"/>
  <c r="AP41" i="1"/>
  <c r="AP42" i="1"/>
  <c r="AP45" i="1"/>
  <c r="AP46" i="1"/>
  <c r="AP48" i="1"/>
  <c r="AP49" i="1"/>
  <c r="AP50" i="1"/>
  <c r="AP51" i="1"/>
  <c r="AP52" i="1"/>
  <c r="AP53" i="1"/>
  <c r="AP54" i="1"/>
  <c r="AP55" i="1"/>
  <c r="AP57" i="1"/>
  <c r="AP58" i="1"/>
  <c r="AP59" i="1"/>
  <c r="AP60" i="1"/>
  <c r="AP62" i="1"/>
  <c r="AP63" i="1"/>
  <c r="AP64" i="1"/>
  <c r="AP65" i="1"/>
  <c r="AP66" i="1"/>
  <c r="AP67" i="1"/>
  <c r="AP68" i="1"/>
  <c r="AP69" i="1"/>
  <c r="AP71" i="1"/>
  <c r="AP70" i="1"/>
  <c r="AP73" i="1"/>
  <c r="AP74" i="1"/>
  <c r="AP75" i="1"/>
  <c r="AP80" i="1"/>
  <c r="BC80" i="1"/>
  <c r="AY80" i="1"/>
  <c r="AT80" i="1"/>
  <c r="AS80" i="1"/>
  <c r="D80" i="1"/>
  <c r="AY42" i="1" l="1"/>
  <c r="AY45" i="1"/>
  <c r="AY46" i="1"/>
  <c r="AY48" i="1"/>
  <c r="AY49" i="1"/>
  <c r="AY50" i="1"/>
  <c r="AY51" i="1"/>
  <c r="AY52" i="1"/>
  <c r="AY53" i="1"/>
  <c r="AY54" i="1"/>
  <c r="AY55" i="1"/>
  <c r="AY57" i="1"/>
  <c r="AY58" i="1"/>
  <c r="AY59" i="1"/>
  <c r="AY60" i="1"/>
  <c r="AY62" i="1"/>
  <c r="AY63" i="1"/>
  <c r="AY64" i="1"/>
  <c r="AY65" i="1"/>
  <c r="AY66" i="1"/>
  <c r="AY67" i="1"/>
  <c r="AY68" i="1"/>
  <c r="AY69" i="1"/>
  <c r="AY71" i="1"/>
  <c r="AY70" i="1"/>
  <c r="AY73" i="1"/>
  <c r="AY74" i="1"/>
  <c r="AY75" i="1"/>
  <c r="AY76" i="1"/>
  <c r="AY77" i="1"/>
  <c r="AY78" i="1"/>
  <c r="AY82" i="1"/>
  <c r="AY83" i="1"/>
  <c r="AY84" i="1"/>
  <c r="AY85" i="1"/>
  <c r="AY87" i="1"/>
  <c r="AY88" i="1"/>
  <c r="AY89" i="1"/>
  <c r="AY91" i="1"/>
  <c r="AY92" i="1"/>
  <c r="AY93" i="1"/>
  <c r="AY95" i="1"/>
  <c r="AY96" i="1"/>
  <c r="AY97" i="1"/>
  <c r="AY98" i="1"/>
  <c r="AY101" i="1"/>
  <c r="AY102" i="1"/>
  <c r="AY103" i="1"/>
  <c r="AY104" i="1"/>
  <c r="AY105" i="1"/>
  <c r="AY107" i="1"/>
  <c r="AY109" i="1"/>
  <c r="AY110" i="1"/>
  <c r="AY112" i="1"/>
  <c r="AY113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5" i="1"/>
  <c r="AY6" i="1"/>
  <c r="AY7" i="1"/>
  <c r="AY8" i="1"/>
  <c r="AY9" i="1"/>
  <c r="AY10" i="1"/>
  <c r="AY41" i="1"/>
  <c r="BC70" i="1" l="1"/>
  <c r="BC73" i="1"/>
  <c r="AS67" i="1"/>
  <c r="AT67" i="1"/>
  <c r="AS68" i="1"/>
  <c r="AT68" i="1"/>
  <c r="AS69" i="1"/>
  <c r="AT69" i="1"/>
  <c r="AS71" i="1"/>
  <c r="AT71" i="1"/>
  <c r="AS70" i="1"/>
  <c r="AT70" i="1"/>
  <c r="D70" i="1"/>
  <c r="D73" i="1"/>
  <c r="D74" i="1"/>
  <c r="BC67" i="1" l="1"/>
  <c r="D66" i="1"/>
  <c r="D67" i="1"/>
  <c r="D68" i="1"/>
  <c r="D69" i="1"/>
  <c r="D71" i="1"/>
  <c r="AS59" i="1" l="1"/>
  <c r="AT59" i="1"/>
  <c r="AS60" i="1"/>
  <c r="AT60" i="1"/>
  <c r="AS62" i="1"/>
  <c r="AT62" i="1"/>
  <c r="AS63" i="1"/>
  <c r="AT63" i="1"/>
  <c r="AS64" i="1"/>
  <c r="AT64" i="1"/>
  <c r="AS65" i="1"/>
  <c r="AT65" i="1"/>
  <c r="AS66" i="1"/>
  <c r="AT66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32" i="1"/>
  <c r="AT32" i="1"/>
  <c r="AS82" i="1"/>
  <c r="AT82" i="1"/>
  <c r="AS83" i="1"/>
  <c r="AT83" i="1"/>
  <c r="AS84" i="1"/>
  <c r="AT84" i="1"/>
  <c r="AS85" i="1"/>
  <c r="AT85" i="1"/>
  <c r="AS12" i="1"/>
  <c r="AT12" i="1"/>
  <c r="AS87" i="1"/>
  <c r="AT87" i="1"/>
  <c r="AS88" i="1"/>
  <c r="AT88" i="1"/>
  <c r="AS89" i="1"/>
  <c r="AT89" i="1"/>
  <c r="AS91" i="1"/>
  <c r="AT91" i="1"/>
  <c r="AS92" i="1"/>
  <c r="AT92" i="1"/>
  <c r="AS93" i="1"/>
  <c r="AT93" i="1"/>
  <c r="AS95" i="1"/>
  <c r="AT95" i="1"/>
  <c r="AS17" i="1"/>
  <c r="AT17" i="1"/>
  <c r="AS96" i="1"/>
  <c r="AT96" i="1"/>
  <c r="AS16" i="1"/>
  <c r="AT16" i="1"/>
  <c r="AS97" i="1"/>
  <c r="AT97" i="1"/>
  <c r="AS98" i="1"/>
  <c r="AT98" i="1"/>
  <c r="AS20" i="1"/>
  <c r="AT20" i="1"/>
  <c r="AS19" i="1"/>
  <c r="AT19" i="1"/>
  <c r="AS21" i="1"/>
  <c r="AT21" i="1"/>
  <c r="AS101" i="1"/>
  <c r="AT101" i="1"/>
  <c r="AS102" i="1"/>
  <c r="AT102" i="1"/>
  <c r="AS103" i="1"/>
  <c r="AT103" i="1"/>
  <c r="AS104" i="1"/>
  <c r="AT104" i="1"/>
  <c r="AS24" i="1"/>
  <c r="AT24" i="1"/>
  <c r="AS105" i="1"/>
  <c r="AT105" i="1"/>
  <c r="AS25" i="1"/>
  <c r="AT25" i="1"/>
  <c r="AS107" i="1"/>
  <c r="AT107" i="1"/>
  <c r="AS27" i="1"/>
  <c r="AT27" i="1"/>
  <c r="AS109" i="1"/>
  <c r="AT109" i="1"/>
  <c r="AS26" i="1"/>
  <c r="AT26" i="1"/>
  <c r="AS110" i="1"/>
  <c r="AT110" i="1"/>
  <c r="AS28" i="1"/>
  <c r="AT28" i="1"/>
  <c r="AS112" i="1"/>
  <c r="AT112" i="1"/>
  <c r="AS113" i="1"/>
  <c r="AT113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151" i="1"/>
  <c r="AT151" i="1"/>
  <c r="AS152" i="1"/>
  <c r="AT152" i="1"/>
  <c r="AS5" i="1"/>
  <c r="AT5" i="1"/>
  <c r="AS6" i="1"/>
  <c r="AT6" i="1"/>
  <c r="AS7" i="1"/>
  <c r="AT7" i="1"/>
  <c r="AS8" i="1"/>
  <c r="AT8" i="1"/>
  <c r="AS9" i="1"/>
  <c r="AT9" i="1"/>
  <c r="AS10" i="1"/>
  <c r="AT10" i="1"/>
  <c r="AS42" i="1"/>
  <c r="AT42" i="1"/>
  <c r="AS45" i="1"/>
  <c r="AT45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5" i="1"/>
  <c r="AT55" i="1"/>
  <c r="AS57" i="1"/>
  <c r="AT57" i="1"/>
  <c r="AS58" i="1"/>
  <c r="AT58" i="1"/>
  <c r="AT41" i="1"/>
  <c r="AS41" i="1"/>
  <c r="D42" i="1"/>
  <c r="D45" i="1"/>
  <c r="D46" i="1"/>
  <c r="D48" i="1"/>
  <c r="D49" i="1"/>
  <c r="D50" i="1"/>
  <c r="D51" i="1"/>
  <c r="D52" i="1"/>
  <c r="D53" i="1"/>
  <c r="D54" i="1"/>
  <c r="D55" i="1"/>
  <c r="D57" i="1"/>
  <c r="D58" i="1"/>
  <c r="D59" i="1"/>
  <c r="D60" i="1"/>
  <c r="D62" i="1"/>
  <c r="D63" i="1"/>
  <c r="D64" i="1"/>
  <c r="D65" i="1"/>
  <c r="D75" i="1"/>
  <c r="D76" i="1"/>
  <c r="D77" i="1"/>
  <c r="D78" i="1"/>
  <c r="D32" i="1"/>
  <c r="D82" i="1"/>
  <c r="D83" i="1"/>
  <c r="D84" i="1"/>
  <c r="D85" i="1"/>
  <c r="D12" i="1"/>
  <c r="D87" i="1"/>
  <c r="D88" i="1"/>
  <c r="D89" i="1"/>
  <c r="D91" i="1"/>
  <c r="D92" i="1"/>
  <c r="D93" i="1"/>
  <c r="D95" i="1"/>
  <c r="D17" i="1"/>
  <c r="D96" i="1"/>
  <c r="D16" i="1"/>
  <c r="D97" i="1"/>
  <c r="D98" i="1"/>
  <c r="D20" i="1"/>
  <c r="D19" i="1"/>
  <c r="D21" i="1"/>
  <c r="D101" i="1"/>
  <c r="D102" i="1"/>
  <c r="D103" i="1"/>
  <c r="D104" i="1"/>
  <c r="D24" i="1"/>
  <c r="D105" i="1"/>
  <c r="D25" i="1"/>
  <c r="D107" i="1"/>
  <c r="D27" i="1"/>
  <c r="D109" i="1"/>
  <c r="D26" i="1"/>
  <c r="D110" i="1"/>
  <c r="D28" i="1"/>
  <c r="D112" i="1"/>
  <c r="D113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5" i="1"/>
  <c r="D6" i="1"/>
  <c r="D7" i="1"/>
  <c r="D8" i="1"/>
  <c r="D9" i="1"/>
  <c r="D10" i="1"/>
  <c r="D41" i="1"/>
  <c r="BC41" i="1"/>
  <c r="BC131" i="1"/>
  <c r="B3" i="2" l="1"/>
  <c r="B4" i="2"/>
  <c r="B5" i="2"/>
  <c r="B6" i="2"/>
  <c r="B7" i="2" s="1"/>
  <c r="BC9" i="1" l="1"/>
  <c r="BC10" i="1" l="1"/>
  <c r="BC8" i="1"/>
  <c r="BC7" i="1" l="1"/>
  <c r="BC6" i="1"/>
  <c r="BC42" i="1"/>
  <c r="BC45" i="1"/>
  <c r="BC46" i="1"/>
  <c r="BC50" i="1"/>
  <c r="BC48" i="1"/>
  <c r="BC49" i="1"/>
  <c r="BC51" i="1"/>
  <c r="BC52" i="1"/>
  <c r="BC53" i="1"/>
  <c r="BC54" i="1"/>
  <c r="BC55" i="1"/>
  <c r="BC57" i="1"/>
  <c r="BC58" i="1"/>
  <c r="BC59" i="1"/>
  <c r="BC60" i="1"/>
  <c r="BC62" i="1"/>
  <c r="BC63" i="1"/>
  <c r="BC64" i="1"/>
  <c r="BC65" i="1"/>
  <c r="BC66" i="1"/>
  <c r="BC68" i="1"/>
  <c r="BC69" i="1"/>
  <c r="BC71" i="1"/>
  <c r="BC74" i="1"/>
  <c r="BC75" i="1"/>
  <c r="BC76" i="1"/>
  <c r="BC77" i="1"/>
  <c r="BC78" i="1"/>
  <c r="BC32" i="1"/>
  <c r="BC82" i="1"/>
  <c r="BC83" i="1"/>
  <c r="BC84" i="1"/>
  <c r="BC85" i="1"/>
  <c r="BC12" i="1"/>
  <c r="BC87" i="1"/>
  <c r="BC88" i="1"/>
  <c r="BC89" i="1"/>
  <c r="BC91" i="1"/>
  <c r="BC92" i="1"/>
  <c r="BC93" i="1"/>
  <c r="BC95" i="1"/>
  <c r="BC17" i="1"/>
  <c r="BC96" i="1"/>
  <c r="BC16" i="1"/>
  <c r="BC97" i="1"/>
  <c r="BC98" i="1"/>
  <c r="BC20" i="1"/>
  <c r="BC19" i="1"/>
  <c r="BC21" i="1"/>
  <c r="BC101" i="1"/>
  <c r="BC102" i="1"/>
  <c r="BC103" i="1"/>
  <c r="BC104" i="1"/>
  <c r="BC24" i="1"/>
  <c r="BC105" i="1"/>
  <c r="BC25" i="1"/>
  <c r="BC107" i="1"/>
  <c r="BC27" i="1"/>
  <c r="BC109" i="1"/>
  <c r="BC26" i="1"/>
  <c r="BC110" i="1"/>
  <c r="BC28" i="1"/>
  <c r="BC112" i="1"/>
  <c r="BC113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5" i="1"/>
</calcChain>
</file>

<file path=xl/sharedStrings.xml><?xml version="1.0" encoding="utf-8"?>
<sst xmlns="http://schemas.openxmlformats.org/spreadsheetml/2006/main" count="1560" uniqueCount="657">
  <si>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</si>
  <si>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</si>
  <si>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</si>
  <si>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</si>
  <si>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</si>
  <si>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</si>
  <si>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</si>
  <si>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</si>
  <si>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</si>
  <si>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</si>
  <si>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</si>
  <si>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</si>
  <si>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</si>
  <si>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</si>
  <si>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</si>
  <si>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</si>
  <si>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</si>
  <si>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</si>
  <si>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</si>
  <si>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</si>
  <si>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</si>
  <si>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</si>
  <si>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</si>
  <si>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</si>
  <si>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</si>
  <si>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</si>
  <si>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</si>
  <si>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</si>
  <si>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</si>
  <si>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</si>
  <si>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</si>
  <si>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</si>
  <si>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</si>
  <si>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</si>
  <si>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</si>
  <si>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</si>
  <si>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</si>
  <si>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</si>
  <si>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</si>
  <si>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</si>
  <si>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</si>
  <si>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</si>
  <si>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</si>
  <si>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</si>
  <si>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</si>
  <si>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</si>
  <si>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</si>
  <si>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</si>
  <si>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</si>
  <si>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</si>
  <si>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</si>
  <si>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</si>
  <si>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</si>
  <si>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</si>
  <si>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</si>
  <si>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</si>
  <si>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</si>
  <si>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</si>
  <si>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</si>
  <si>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</si>
  <si>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</si>
  <si>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</si>
  <si>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</si>
  <si>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</si>
  <si>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</si>
  <si>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</si>
  <si>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</si>
  <si>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</si>
  <si>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</si>
  <si>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</si>
  <si>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</si>
  <si>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</si>
  <si>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</si>
  <si>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</si>
  <si>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</si>
  <si>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</si>
  <si>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</si>
  <si>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</si>
  <si>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</si>
  <si>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</si>
  <si>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</si>
  <si>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</si>
  <si>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</si>
  <si>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</si>
  <si>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</si>
  <si>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</si>
  <si>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</si>
  <si>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</si>
  <si>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</si>
  <si>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</si>
  <si>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</si>
  <si>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</si>
  <si>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</si>
  <si>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</si>
  <si>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</si>
  <si>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</si>
  <si>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</si>
  <si>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</si>
  <si>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</si>
  <si>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</si>
  <si>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</si>
  <si>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</si>
  <si>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</si>
  <si>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</si>
  <si>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</si>
  <si>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</si>
  <si>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</si>
  <si>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</si>
  <si>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</si>
  <si>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</si>
  <si>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</si>
  <si>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</si>
  <si>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</si>
  <si>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</si>
  <si>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</si>
  <si>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</si>
  <si>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</si>
  <si>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</si>
  <si>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</si>
  <si>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</si>
  <si>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</si>
  <si>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</si>
  <si>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</si>
  <si>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</si>
  <si>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</si>
  <si>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</si>
  <si>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</si>
  <si>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</si>
  <si>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</si>
  <si>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</si>
  <si>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</si>
  <si>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</si>
  <si>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</si>
  <si>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</si>
  <si>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</si>
  <si>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</si>
  <si>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</si>
  <si>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</si>
  <si>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</si>
  <si>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</si>
  <si>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</si>
  <si>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</si>
  <si>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</si>
  <si>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</si>
  <si>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</si>
  <si>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</si>
  <si>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</si>
  <si>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</si>
  <si>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</si>
  <si>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</si>
  <si>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</si>
  <si>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</si>
  <si>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</si>
  <si>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</si>
  <si>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</si>
  <si>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</si>
  <si>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</si>
  <si>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</si>
  <si>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</si>
  <si>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</si>
  <si>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</si>
  <si>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</si>
  <si>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</si>
  <si>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</si>
  <si>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</si>
  <si>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</si>
  <si>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</si>
  <si>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</si>
  <si>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</si>
  <si>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</si>
  <si>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</si>
  <si>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</si>
  <si>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</si>
  <si>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</si>
  <si>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</si>
  <si>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</si>
  <si>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</si>
  <si>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</si>
  <si>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</si>
  <si>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</si>
  <si>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</si>
  <si>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</si>
  <si>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</si>
  <si>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</si>
  <si>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</si>
  <si>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</si>
  <si>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</si>
  <si>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</si>
  <si>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</si>
  <si>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</si>
  <si>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</si>
  <si>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</si>
  <si>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</si>
  <si>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</si>
  <si>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</si>
  <si>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</si>
  <si>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</si>
  <si>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</si>
  <si>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</si>
  <si>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</si>
  <si>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</si>
  <si>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</si>
  <si>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</si>
  <si>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</si>
  <si>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</si>
  <si>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</si>
  <si>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</si>
  <si>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</si>
  <si>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</si>
  <si>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</si>
  <si>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</si>
  <si>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</si>
  <si>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</si>
  <si>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</si>
  <si>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</si>
  <si>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</si>
  <si>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</si>
  <si>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</si>
  <si>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</si>
  <si>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</si>
  <si>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</si>
  <si>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</si>
  <si>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</si>
  <si>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</si>
  <si>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</si>
  <si>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</si>
  <si>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</si>
  <si>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</si>
  <si>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</si>
  <si>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</si>
  <si>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</si>
  <si>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</si>
  <si>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</si>
  <si>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</si>
  <si>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</si>
  <si>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</si>
  <si>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</si>
  <si>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</si>
  <si>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</si>
  <si>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</si>
  <si>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</si>
  <si>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</si>
  <si>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</si>
  <si>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</si>
  <si>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</si>
  <si>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</si>
  <si>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</si>
  <si>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</si>
  <si>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</si>
  <si>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</si>
  <si>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</si>
  <si>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</si>
  <si>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</si>
  <si>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</si>
  <si>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</si>
  <si>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</si>
  <si>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</si>
  <si>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</si>
  <si>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</si>
  <si>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</si>
  <si>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</si>
  <si>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</si>
  <si>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</si>
  <si>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</si>
  <si>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</si>
  <si>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</si>
  <si>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</si>
  <si>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</si>
  <si>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</si>
  <si>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</si>
  <si>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</si>
  <si>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</si>
  <si>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</si>
  <si>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</si>
  <si>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</si>
  <si>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</si>
  <si>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</si>
  <si>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</si>
  <si>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</si>
  <si>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</si>
  <si>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</si>
  <si>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</si>
  <si>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</si>
  <si>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</si>
  <si>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</si>
  <si>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</si>
  <si>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</si>
  <si>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</si>
  <si>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</si>
  <si>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</si>
  <si>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</si>
  <si>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</si>
  <si>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</si>
  <si>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</si>
  <si>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</si>
  <si>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</si>
  <si>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</si>
  <si>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</si>
  <si>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</si>
  <si>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</si>
  <si>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</si>
  <si>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</si>
  <si>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</si>
  <si>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</si>
  <si>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</si>
  <si>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</si>
  <si>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</si>
  <si>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</si>
  <si>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</si>
  <si>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</si>
  <si>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</si>
  <si>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</si>
  <si>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</si>
  <si>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</si>
  <si>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</si>
  <si>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</si>
  <si>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</si>
  <si>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</si>
  <si>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</si>
  <si>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</si>
  <si>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</si>
  <si>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</si>
  <si>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</si>
  <si>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</si>
  <si>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</si>
  <si>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</si>
  <si>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</si>
  <si>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</si>
  <si>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</si>
  <si>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</si>
  <si>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</si>
  <si>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</si>
  <si>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</si>
  <si>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</si>
  <si>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</si>
  <si>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</si>
  <si>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</si>
  <si>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</si>
  <si>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</si>
  <si>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</si>
  <si>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</si>
  <si>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</si>
  <si>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</si>
  <si>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</si>
  <si>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</si>
  <si>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</si>
  <si>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</si>
  <si>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</si>
  <si>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</si>
  <si>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</si>
  <si>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</si>
  <si>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</si>
  <si>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</si>
  <si>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</si>
  <si>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</si>
  <si>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</si>
  <si>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</si>
  <si>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</si>
  <si>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</si>
  <si>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</si>
  <si>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</si>
  <si>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</si>
  <si>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</si>
  <si>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</si>
  <si>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</si>
  <si>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</si>
  <si>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</si>
  <si>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</si>
  <si>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</si>
  <si>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</si>
  <si>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</si>
  <si>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</si>
  <si>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</si>
  <si>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</si>
  <si>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</si>
  <si>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</si>
  <si>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</si>
  <si>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</si>
  <si>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</si>
  <si>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</si>
  <si>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</si>
  <si>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</si>
  <si>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</si>
  <si>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</si>
  <si>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</si>
  <si>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</si>
  <si>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</si>
  <si>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</si>
  <si>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</si>
  <si>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</si>
  <si>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</si>
  <si>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</si>
  <si>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</si>
  <si>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</si>
  <si>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</si>
  <si>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</si>
  <si>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</si>
  <si>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</si>
  <si>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</si>
  <si>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</si>
  <si>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</si>
  <si>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</si>
  <si>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</si>
  <si>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</si>
  <si>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</si>
  <si>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</si>
  <si>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</si>
  <si>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</si>
  <si>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</si>
  <si>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</si>
  <si>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</si>
  <si>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</si>
  <si>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</si>
  <si>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</si>
  <si>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</si>
  <si>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</si>
  <si>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</si>
  <si>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</si>
  <si>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</si>
  <si>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</si>
  <si>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</si>
  <si>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</si>
  <si>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</si>
  <si>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</si>
  <si>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</si>
  <si>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</si>
  <si>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</si>
  <si>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</si>
  <si>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</si>
  <si>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</si>
  <si>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</si>
  <si>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</si>
  <si>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</si>
  <si>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</si>
  <si>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</si>
  <si>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</si>
  <si>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</si>
  <si>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</si>
  <si>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</si>
  <si>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</si>
  <si>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</si>
  <si>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</si>
  <si>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</si>
  <si>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</si>
  <si>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</si>
  <si>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</si>
  <si>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</si>
  <si>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</si>
  <si>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</si>
  <si>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</si>
  <si>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</si>
  <si>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</si>
  <si>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</si>
  <si>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</si>
  <si>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</si>
  <si>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</si>
  <si>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</si>
  <si>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</si>
  <si>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</si>
  <si>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</si>
  <si>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</si>
  <si>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</si>
  <si>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</si>
  <si>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</si>
  <si>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</si>
  <si>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</si>
  <si>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</si>
  <si>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</si>
  <si>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</si>
  <si>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</si>
  <si>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</si>
  <si>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</si>
  <si>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</si>
  <si>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</si>
  <si>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</si>
  <si>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</si>
  <si>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</si>
  <si>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</si>
  <si>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</si>
  <si>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</si>
  <si>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</si>
  <si>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</si>
  <si>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</si>
  <si>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</si>
  <si>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</si>
  <si>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</si>
  <si>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</si>
  <si>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</si>
  <si>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</si>
  <si>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</si>
  <si>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</si>
  <si>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</si>
  <si>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</si>
  <si>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</si>
  <si>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</si>
  <si>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</si>
  <si>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</si>
  <si>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</si>
  <si>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</si>
  <si>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</si>
  <si>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</si>
  <si>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</si>
  <si>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</si>
  <si>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</si>
  <si>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</si>
  <si>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</si>
  <si>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</si>
  <si>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</si>
  <si>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</si>
  <si>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</si>
  <si>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</si>
  <si>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</si>
  <si>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</si>
  <si>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</si>
  <si>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</si>
  <si>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</si>
  <si>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</si>
  <si>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</si>
  <si>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</si>
  <si>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</si>
  <si>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</si>
  <si>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</si>
  <si>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</si>
  <si>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</si>
  <si>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</si>
  <si>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</si>
  <si>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</si>
  <si>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</si>
  <si>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</si>
  <si>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</si>
  <si>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</si>
  <si>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</si>
  <si>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</si>
  <si>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</si>
  <si>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</si>
  <si>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</si>
  <si>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</si>
  <si>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</si>
  <si>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</si>
  <si>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</si>
  <si>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</si>
  <si>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</si>
  <si>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</si>
  <si>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</si>
  <si>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</si>
  <si>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</si>
  <si>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</si>
  <si>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</si>
  <si>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</si>
  <si>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</si>
  <si>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</si>
  <si>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</si>
  <si>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</si>
  <si>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</si>
  <si>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</si>
  <si>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</si>
  <si>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</si>
  <si>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</si>
  <si>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</si>
  <si>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</si>
  <si>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</si>
  <si>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</si>
  <si>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</si>
  <si>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</si>
  <si>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</si>
  <si>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</si>
  <si>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</si>
  <si>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</si>
  <si>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</si>
  <si>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</si>
  <si>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</si>
  <si>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</si>
  <si>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</si>
  <si>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</si>
  <si>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</si>
  <si>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</si>
  <si>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</si>
  <si>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</si>
  <si>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</si>
  <si>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</si>
  <si>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</si>
  <si>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</si>
  <si>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</si>
  <si>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</si>
  <si>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</si>
  <si>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</si>
  <si>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</si>
  <si>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</si>
  <si>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</si>
  <si>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</si>
  <si>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</si>
  <si>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</si>
  <si>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</si>
  <si>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</si>
  <si>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</si>
  <si>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</si>
  <si>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</si>
  <si>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</si>
  <si>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</si>
  <si>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</si>
  <si>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</si>
  <si>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</si>
  <si>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</si>
  <si>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</si>
  <si>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</si>
  <si>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</si>
  <si>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</si>
  <si>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</si>
  <si>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</si>
  <si>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</si>
  <si>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</si>
  <si>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</si>
  <si>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</si>
  <si>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</si>
  <si>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</si>
  <si>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</si>
  <si>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</si>
  <si>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</si>
  <si>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</si>
  <si>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</si>
  <si>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</si>
  <si>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</si>
  <si>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</si>
  <si>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</si>
  <si>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</si>
  <si>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</si>
  <si>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</si>
  <si>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</si>
  <si>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</si>
  <si>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</si>
  <si>
    <t>karrier_bantam</t>
  </si>
  <si>
    <t>Karrier Bantam</t>
  </si>
  <si>
    <t>Karrier built smaller lorries and tractor units after being taken over by the Rootes Group in 1934, with larger vehicles built by sister company Commer.</t>
  </si>
  <si>
    <t>karrier_bantam,prewar_trailer_flatbed</t>
  </si>
  <si>
    <t>0x0x0</t>
  </si>
  <si>
    <t>Volvo B6BLE</t>
  </si>
  <si>
    <t>volvo_b6ble</t>
  </si>
  <si>
    <t>The B6BLE is a small low entry bus from Volvo, with the ability to kneel the front suspension. This variant has Wright Crusader 2 bodywork.</t>
  </si>
  <si>
    <t>Optare MetroCity</t>
  </si>
  <si>
    <t>optare_metrocity</t>
  </si>
  <si>
    <t>The Optare MetroCity replaced the Tempo SR in the UK after poor sales of the latter.</t>
  </si>
  <si>
    <t>MAN TGS</t>
  </si>
  <si>
    <t>man_tgs</t>
  </si>
  <si>
    <t>The MAN TGS replaced the earlier TG-series models in 2007, offering a range of engines including turbocharged V8s.</t>
  </si>
  <si>
    <t>Fordson Snow Machine</t>
  </si>
  <si>
    <t>fordson_snow_machine</t>
  </si>
  <si>
    <t>DIRT_ONLY</t>
  </si>
  <si>
    <t>Horse should not be used in deep loose snow. Use Fordson Snow Machine!</t>
  </si>
  <si>
    <t>fordson_snow_machine,rubber_tyred_cart</t>
  </si>
  <si>
    <t>4,4</t>
  </si>
  <si>
    <t>special/milk_float</t>
  </si>
  <si>
    <t>Milk floats were a familiar sight in the UK up until the 1990s, when the shift to supermarket-bought milk made short range door-to-door delivery and its specialised vehicles unviable.</t>
  </si>
  <si>
    <t>milkfloat</t>
  </si>
  <si>
    <t>Wales &amp; Edwards milk float</t>
  </si>
  <si>
    <t>Inshaw Steam Carriage</t>
  </si>
  <si>
    <t>inshaw_steam_carriage</t>
  </si>
  <si>
    <t>John Inshaw built a steam carriage for use in Birmingham, but sadly the Red Flag Act limiting carriage speeds was not lifted until 1896, so it remained at the prototype stage.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</si>
</sst>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52"/>
  <sheetViews>
    <sheetView tabSelected="1" zoomScaleNormal="100" workbookViewId="0">
      <pane xSplit="2910" ySplit="600" topLeftCell="A30" activePane="bottomRight"/>
      <selection pane="topRight" activeCell="AH1" sqref="AH1:AH1048576"/>
      <selection pane="bottomLeft" activeCell="A43" sqref="A43"/>
      <selection pane="bottomRight" activeCell="A43" sqref="A43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589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440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440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631</v>
      </c>
      <c r="B14" t="s">
        <v>630</v>
      </c>
      <c r="C14" t="s">
        <v>349</v>
      </c>
      <c r="D14">
        <f>IF(E14 &gt; 2020, ((E14-2020)*4)+1610+G14,IF(E14 &gt; 1900, ((E14-1900)*10)+400+G14, ((E14-1730)*2)+G14))+VLOOKUP(I14,'ID Scheme'!$A$2:$B$7,2, FALSE)</f>
        <v>3482</v>
      </c>
      <c r="E14">
        <v>1948</v>
      </c>
      <c r="F14">
        <v>7</v>
      </c>
      <c r="G14">
        <v>2</v>
      </c>
      <c r="H14" t="s">
        <v>523</v>
      </c>
      <c r="I14" t="s">
        <v>13</v>
      </c>
      <c r="J14" t="s">
        <v>502</v>
      </c>
      <c r="K14">
        <v>38</v>
      </c>
      <c r="L14">
        <v>18</v>
      </c>
      <c r="M14">
        <v>14</v>
      </c>
      <c r="N14">
        <v>5</v>
      </c>
      <c r="O14">
        <v>4</v>
      </c>
      <c r="P14">
        <v>50</v>
      </c>
      <c r="Q14">
        <v>20</v>
      </c>
      <c r="R14">
        <v>30</v>
      </c>
      <c r="S14">
        <v>1</v>
      </c>
      <c r="T14" t="s">
        <v>290</v>
      </c>
      <c r="U14">
        <v>-4</v>
      </c>
      <c r="V14" s="2" t="s">
        <v>632</v>
      </c>
      <c r="W14" s="2"/>
      <c r="X14" s="2"/>
      <c r="Y14" s="2"/>
      <c r="Z14" s="2"/>
      <c r="AA14" s="2" t="s">
        <v>332</v>
      </c>
      <c r="AB14" s="2"/>
      <c r="AC14" s="2"/>
      <c r="AD14" s="2" t="s">
        <v>351</v>
      </c>
      <c r="AE14" s="2"/>
      <c r="AH14" t="s">
        <v>400</v>
      </c>
      <c r="AJ14" t="s">
        <v>404</v>
      </c>
      <c r="AK14" t="s">
        <v>440</v>
      </c>
      <c r="AL14" t="s">
        <v>633</v>
      </c>
      <c r="AM14">
        <v>2</v>
      </c>
      <c r="AP14" s="2">
        <f>(SQRT(K14*R14)*POWER((MIN(M14,20)+SQRT(MAX(M14-20,0))),0.9)*Data!$B$1)*(1-(S14-1))</f>
        <v>27.228826282042128</v>
      </c>
      <c r="AQ14" s="2"/>
      <c r="AR14" s="2">
        <f>((POWER((K14*K14*R14), 0.33)*LOG10(P14)*10*Data!$B$1)*S14)+AQ14</f>
        <v>43.187111963297234</v>
      </c>
      <c r="AS14" s="2">
        <f>K14/1.24</f>
        <v>30.64516129032258</v>
      </c>
      <c r="AT14" s="2">
        <f>AF14/1.24</f>
        <v>0</v>
      </c>
      <c r="AV14" s="2">
        <v>2</v>
      </c>
      <c r="AW14" s="2">
        <v>2</v>
      </c>
      <c r="AX14" s="2">
        <f>R14/AW14</f>
        <v>15</v>
      </c>
      <c r="AY14" s="2">
        <f>(R14)/MAX(AV14-1, 1)</f>
        <v>30</v>
      </c>
      <c r="AZ14" s="3">
        <v>3.4</v>
      </c>
      <c r="BA14" s="3">
        <v>2</v>
      </c>
      <c r="BB14" s="3">
        <v>2.5</v>
      </c>
      <c r="BC14" s="2" t="str">
        <f>CONCATENATE(
ROUND(AZ14*VLOOKUP(I14,'ID Scheme'!$A$2:$E$7,3),0), "x",
ROUND(BA14*VLOOKUP(I14,'ID Scheme'!$A$2:$E$7,5),0), "x",
ROUND(BB14*VLOOKUP(I14,'ID Scheme'!$A$2:$E$7,4),0))</f>
        <v>32x29x24</v>
      </c>
    </row>
    <row r="15" spans="1:56" x14ac:dyDescent="0.25">
      <c r="A15" t="s">
        <v>355</v>
      </c>
      <c r="B15" t="s">
        <v>353</v>
      </c>
      <c r="C15" t="s">
        <v>350</v>
      </c>
      <c r="D15">
        <v>0</v>
      </c>
      <c r="W15" t="s">
        <v>332</v>
      </c>
      <c r="X15" t="s">
        <v>332</v>
      </c>
      <c r="AL15" t="s">
        <v>556</v>
      </c>
      <c r="AM15">
        <v>8</v>
      </c>
      <c r="AR15" s="2"/>
    </row>
    <row r="16" spans="1:56" x14ac:dyDescent="0.25">
      <c r="A16" t="s">
        <v>2</v>
      </c>
      <c r="B16" t="s">
        <v>208</v>
      </c>
      <c r="C16" t="s">
        <v>349</v>
      </c>
      <c r="D16">
        <f>IF(E16 &gt; 2020, ((E16-2020)*4)+1610+G16,IF(E16 &gt; 1900, ((E16-1900)*10)+400+G16, ((E16-1730)*2)+G16))+VLOOKUP(I16,'ID Scheme'!$A$2:$B$7,2, FALSE)</f>
        <v>3651</v>
      </c>
      <c r="E16">
        <v>1965</v>
      </c>
      <c r="F16">
        <v>6</v>
      </c>
      <c r="G16">
        <v>1</v>
      </c>
      <c r="H16" t="s">
        <v>523</v>
      </c>
      <c r="I16" t="s">
        <v>13</v>
      </c>
      <c r="J16" t="s">
        <v>502</v>
      </c>
      <c r="K16">
        <v>55</v>
      </c>
      <c r="L16">
        <v>20</v>
      </c>
      <c r="M16">
        <v>15</v>
      </c>
      <c r="N16">
        <v>5</v>
      </c>
      <c r="O16">
        <v>9.5</v>
      </c>
      <c r="P16">
        <v>140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474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H16">
        <v>1</v>
      </c>
      <c r="AJ16" t="s">
        <v>409</v>
      </c>
      <c r="AK16" t="s">
        <v>586</v>
      </c>
      <c r="AL16" t="s">
        <v>538</v>
      </c>
      <c r="AM16">
        <v>2</v>
      </c>
      <c r="AP16" s="2">
        <f>(SQRT(K16*R16)*POWER((MIN(M16,20)+SQRT(MAX(M16-20,0))),0.9)*Data!$B$1)*(1-(S16-1))</f>
        <v>38.183522614659189</v>
      </c>
      <c r="AQ16" s="2"/>
      <c r="AR16" s="2">
        <f>((POWER((K16*K16*R16), 0.33)*LOG10(P16)*10*Data!$B$1)*S16)+AQ16</f>
        <v>73.949644689024566</v>
      </c>
      <c r="AS16" s="2">
        <f t="shared" ref="AS16:AS21" si="4">K16/1.24</f>
        <v>44.354838709677416</v>
      </c>
      <c r="AT16" s="2">
        <f t="shared" ref="AT16:AT21" si="5">AF16/1.24</f>
        <v>0</v>
      </c>
      <c r="AV16" s="2">
        <v>2</v>
      </c>
      <c r="AW16" s="2">
        <v>3</v>
      </c>
      <c r="AX16" s="2">
        <f t="shared" ref="AX16:AX21" si="6">R16/AW16</f>
        <v>12</v>
      </c>
      <c r="AY16" s="2">
        <f t="shared" ref="AY16:AY21" si="7"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19</v>
      </c>
      <c r="B17" t="s">
        <v>226</v>
      </c>
      <c r="C17" t="s">
        <v>349</v>
      </c>
      <c r="D17">
        <f>IF(E17 &gt; 2020, ((E17-2020)*4)+1610+G17,IF(E17 &gt; 1900, ((E17-1900)*10)+400+G17, ((E17-1730)*2)+G17))+VLOOKUP(I17,'ID Scheme'!$A$2:$B$7,2, FALSE)</f>
        <v>3641</v>
      </c>
      <c r="E17">
        <v>1964</v>
      </c>
      <c r="F17">
        <v>9</v>
      </c>
      <c r="G17">
        <v>1</v>
      </c>
      <c r="H17" t="s">
        <v>523</v>
      </c>
      <c r="I17" t="s">
        <v>13</v>
      </c>
      <c r="J17" t="s">
        <v>502</v>
      </c>
      <c r="K17">
        <v>57</v>
      </c>
      <c r="L17">
        <v>20</v>
      </c>
      <c r="M17">
        <v>15</v>
      </c>
      <c r="N17">
        <v>5</v>
      </c>
      <c r="O17">
        <v>9.5</v>
      </c>
      <c r="P17">
        <v>192</v>
      </c>
      <c r="Q17">
        <v>20</v>
      </c>
      <c r="R17">
        <v>36</v>
      </c>
      <c r="S17">
        <v>1</v>
      </c>
      <c r="T17" t="s">
        <v>290</v>
      </c>
      <c r="U17">
        <v>-4</v>
      </c>
      <c r="V17" s="2" t="s">
        <v>343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539</v>
      </c>
      <c r="AM17">
        <v>2</v>
      </c>
      <c r="AP17" s="2">
        <f>(SQRT(K17*R17)*POWER((MIN(M17,20)+SQRT(MAX(M17-20,0))),0.9)*Data!$B$1)*(1-(S17-1))</f>
        <v>38.871569362349888</v>
      </c>
      <c r="AQ17" s="2"/>
      <c r="AR17" s="2">
        <f>((POWER((K17*K17*R17), 0.33)*LOG10(P17)*10*Data!$B$1)*S17)+AQ17</f>
        <v>80.552997117621018</v>
      </c>
      <c r="AS17" s="2">
        <f t="shared" si="4"/>
        <v>45.967741935483872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12</v>
      </c>
      <c r="AY17" s="2">
        <f t="shared" si="7"/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612</v>
      </c>
      <c r="B18" t="s">
        <v>613</v>
      </c>
      <c r="C18" t="s">
        <v>349</v>
      </c>
      <c r="D18">
        <f>IF(E18 &gt; 2020, ((E18-2020)*4)+1610+G18,IF(E18 &gt; 1900, ((E18-1900)*10)+400+G18, ((E18-1730)*2)+G18))+VLOOKUP(I18,'ID Scheme'!$A$2:$B$7,2, FALSE)</f>
        <v>3721</v>
      </c>
      <c r="E18">
        <v>1972</v>
      </c>
      <c r="F18">
        <v>3</v>
      </c>
      <c r="G18">
        <v>1</v>
      </c>
      <c r="H18" t="s">
        <v>523</v>
      </c>
      <c r="I18" t="s">
        <v>13</v>
      </c>
      <c r="J18" t="s">
        <v>502</v>
      </c>
      <c r="K18">
        <v>55</v>
      </c>
      <c r="L18">
        <v>22</v>
      </c>
      <c r="M18">
        <v>18</v>
      </c>
      <c r="N18">
        <v>5</v>
      </c>
      <c r="O18">
        <v>9.5</v>
      </c>
      <c r="P18">
        <v>220</v>
      </c>
      <c r="Q18">
        <v>20</v>
      </c>
      <c r="R18">
        <v>39</v>
      </c>
      <c r="S18">
        <v>1</v>
      </c>
      <c r="T18" t="s">
        <v>290</v>
      </c>
      <c r="U18">
        <v>-4</v>
      </c>
      <c r="V18" s="2" t="s">
        <v>617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618</v>
      </c>
      <c r="AM18">
        <v>2</v>
      </c>
      <c r="AP18" s="2">
        <f>(SQRT(K18*R18)*POWER((MIN(M18,20)+SQRT(MAX(M18-20,0))),0.9)*Data!$B$1)*(1-(S18-1))</f>
        <v>46.82956959430053</v>
      </c>
      <c r="AQ18" s="2"/>
      <c r="AR18" s="2">
        <f>((POWER((K18*K18*R18), 0.33)*LOG10(P18)*10*Data!$B$1)*S18)+AQ18</f>
        <v>82.873794341980769</v>
      </c>
      <c r="AS18" s="2">
        <f t="shared" si="4"/>
        <v>44.354838709677416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95</v>
      </c>
      <c r="B19" t="s">
        <v>223</v>
      </c>
      <c r="C19" t="s">
        <v>349</v>
      </c>
      <c r="D19">
        <f>IF(E19 &gt; 2020, ((E19-2020)*4)+1610+G19,IF(E19 &gt; 1900, ((E19-1900)*10)+400+G19, ((E19-1730)*2)+G19))+VLOOKUP(I19,'ID Scheme'!$A$2:$B$7,2, FALSE)</f>
        <v>3771</v>
      </c>
      <c r="E19">
        <v>1977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60</v>
      </c>
      <c r="L19">
        <v>16</v>
      </c>
      <c r="M19">
        <v>18</v>
      </c>
      <c r="N19">
        <v>5</v>
      </c>
      <c r="O19">
        <v>9.5</v>
      </c>
      <c r="P19">
        <v>280</v>
      </c>
      <c r="Q19">
        <v>20</v>
      </c>
      <c r="R19">
        <v>39</v>
      </c>
      <c r="S19">
        <v>1</v>
      </c>
      <c r="T19" t="s">
        <v>290</v>
      </c>
      <c r="U19">
        <v>-3</v>
      </c>
      <c r="V19" s="2" t="s">
        <v>476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540</v>
      </c>
      <c r="AM19">
        <v>2</v>
      </c>
      <c r="AP19" s="2">
        <f>(SQRT(K19*R19)*POWER((MIN(M19,20)+SQRT(MAX(M19-20,0))),0.9)*Data!$B$1)*(1-(S19-1))</f>
        <v>48.911890226340333</v>
      </c>
      <c r="AQ19" s="2"/>
      <c r="AR19" s="2">
        <f>((POWER((K19*K19*R19), 0.33)*LOG10(P19)*10*Data!$B$1)*S19)+AQ19</f>
        <v>91.696851682976998</v>
      </c>
      <c r="AS19" s="2">
        <f t="shared" si="4"/>
        <v>48.387096774193552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13</v>
      </c>
      <c r="AY19" s="2">
        <f t="shared" si="7"/>
        <v>39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  <c r="BD19" t="s">
        <v>96</v>
      </c>
    </row>
    <row r="20" spans="1:56" x14ac:dyDescent="0.25">
      <c r="A20" t="s">
        <v>5</v>
      </c>
      <c r="B20" t="s">
        <v>191</v>
      </c>
      <c r="C20" t="s">
        <v>349</v>
      </c>
      <c r="D20">
        <f>IF(E20 &gt; 2020, ((E20-2020)*4)+1610+G20,IF(E20 &gt; 1900, ((E20-1900)*10)+400+G20, ((E20-1730)*2)+G20))+VLOOKUP(I20,'ID Scheme'!$A$2:$B$7,2, FALSE)</f>
        <v>3681</v>
      </c>
      <c r="E20">
        <v>1968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68</v>
      </c>
      <c r="L20">
        <v>12</v>
      </c>
      <c r="M20">
        <v>15</v>
      </c>
      <c r="N20">
        <v>5</v>
      </c>
      <c r="O20">
        <v>10</v>
      </c>
      <c r="P20">
        <v>247</v>
      </c>
      <c r="Q20">
        <v>25</v>
      </c>
      <c r="R20">
        <v>36</v>
      </c>
      <c r="S20">
        <v>1</v>
      </c>
      <c r="T20" t="s">
        <v>296</v>
      </c>
      <c r="U20">
        <v>-3</v>
      </c>
      <c r="V20" s="2" t="s">
        <v>475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541</v>
      </c>
      <c r="AM20">
        <v>2</v>
      </c>
      <c r="AP20" s="2">
        <f>(SQRT(K20*R20)*POWER((MIN(M20,20)+SQRT(MAX(M20-20,0))),0.9)*Data!$B$1)*(1-(S20-1))</f>
        <v>42.456980398337514</v>
      </c>
      <c r="AQ20" s="2">
        <v>15</v>
      </c>
      <c r="AR20" s="2">
        <f>((POWER((K20*K20*R20), 0.33)*LOG10(P20)*10*Data!$B$1)*S20)+AQ20</f>
        <v>109.83849808071786</v>
      </c>
      <c r="AS20" s="2">
        <f t="shared" si="4"/>
        <v>54.838709677419352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12</v>
      </c>
      <c r="AY20" s="2">
        <f t="shared" si="7"/>
        <v>36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6</v>
      </c>
      <c r="B21" t="s">
        <v>211</v>
      </c>
      <c r="C21" t="s">
        <v>349</v>
      </c>
      <c r="D21">
        <f>IF(E21 &gt; 2020, ((E21-2020)*4)+1610+G21,IF(E21 &gt; 1900, ((E21-1900)*10)+400+G21, ((E21-1730)*2)+G21))+VLOOKUP(I21,'ID Scheme'!$A$2:$B$7,2, FALSE)</f>
        <v>3801</v>
      </c>
      <c r="E21">
        <v>1980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62</v>
      </c>
      <c r="L21">
        <v>20</v>
      </c>
      <c r="M21">
        <v>17</v>
      </c>
      <c r="N21">
        <v>5</v>
      </c>
      <c r="O21">
        <v>11.5</v>
      </c>
      <c r="P21">
        <v>350</v>
      </c>
      <c r="Q21">
        <v>20</v>
      </c>
      <c r="R21">
        <v>42</v>
      </c>
      <c r="S21">
        <v>1</v>
      </c>
      <c r="T21" t="s">
        <v>300</v>
      </c>
      <c r="U21">
        <v>-3</v>
      </c>
      <c r="V21" s="2" t="s">
        <v>477</v>
      </c>
      <c r="W21" s="2"/>
      <c r="X21" s="2" t="s">
        <v>332</v>
      </c>
      <c r="Y21" s="2"/>
      <c r="Z21" s="2"/>
      <c r="AA21" s="2"/>
      <c r="AB21" s="2"/>
      <c r="AC21" s="2"/>
      <c r="AD21" s="2" t="s">
        <v>353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542</v>
      </c>
      <c r="AM21">
        <v>2</v>
      </c>
      <c r="AP21" s="2">
        <f>(SQRT(K21*R21)*POWER((MIN(M21,20)+SQRT(MAX(M21-20,0))),0.9)*Data!$B$1)*(1-(S21-1))</f>
        <v>49.010121885450587</v>
      </c>
      <c r="AQ21" s="2"/>
      <c r="AR21" s="2">
        <f>((POWER((K21*K21*R21), 0.33)*LOG10(P21)*10*Data!$B$1)*S21)+AQ21</f>
        <v>99.825332904493919</v>
      </c>
      <c r="AS21" s="2">
        <f t="shared" si="4"/>
        <v>50</v>
      </c>
      <c r="AT21" s="2">
        <f t="shared" si="5"/>
        <v>45.161290322580648</v>
      </c>
      <c r="AV21" s="2">
        <v>2</v>
      </c>
      <c r="AW21" s="2">
        <v>3</v>
      </c>
      <c r="AX21" s="2">
        <f t="shared" si="6"/>
        <v>14</v>
      </c>
      <c r="AY21" s="2">
        <f t="shared" si="7"/>
        <v>42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356</v>
      </c>
      <c r="B22" t="s">
        <v>354</v>
      </c>
      <c r="C22" t="s">
        <v>350</v>
      </c>
      <c r="D22">
        <v>0</v>
      </c>
      <c r="W22" t="s">
        <v>332</v>
      </c>
      <c r="X22" t="s">
        <v>332</v>
      </c>
      <c r="AL22" t="s">
        <v>557</v>
      </c>
      <c r="AM22">
        <v>8</v>
      </c>
      <c r="AR22" s="2"/>
    </row>
    <row r="23" spans="1:56" x14ac:dyDescent="0.25">
      <c r="A23" t="s">
        <v>625</v>
      </c>
      <c r="B23" t="s">
        <v>626</v>
      </c>
      <c r="C23" t="s">
        <v>349</v>
      </c>
      <c r="D23">
        <v>3802</v>
      </c>
      <c r="E23">
        <v>1980</v>
      </c>
      <c r="F23">
        <v>9</v>
      </c>
      <c r="G23">
        <v>2</v>
      </c>
      <c r="H23" t="s">
        <v>523</v>
      </c>
      <c r="I23" t="s">
        <v>13</v>
      </c>
      <c r="J23" t="s">
        <v>502</v>
      </c>
      <c r="K23">
        <v>60</v>
      </c>
      <c r="L23">
        <v>16</v>
      </c>
      <c r="M23">
        <v>18</v>
      </c>
      <c r="N23">
        <v>5</v>
      </c>
      <c r="O23">
        <v>14</v>
      </c>
      <c r="P23">
        <v>380</v>
      </c>
      <c r="Q23">
        <v>18</v>
      </c>
      <c r="R23">
        <v>45</v>
      </c>
      <c r="S23">
        <v>1</v>
      </c>
      <c r="T23" t="s">
        <v>296</v>
      </c>
      <c r="U23">
        <v>-3</v>
      </c>
      <c r="V23" s="2" t="s">
        <v>627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628</v>
      </c>
      <c r="AL23" t="s">
        <v>629</v>
      </c>
      <c r="AM23">
        <v>6</v>
      </c>
      <c r="AP23" s="2">
        <v>52.539798162699419</v>
      </c>
      <c r="AQ23" s="2"/>
      <c r="AR23" s="2">
        <v>101.34083892908721</v>
      </c>
      <c r="AS23" s="2">
        <f t="shared" ref="AS23" si="8">K23/1.24</f>
        <v>48.387096774193552</v>
      </c>
      <c r="AT23" s="2">
        <f t="shared" ref="AT23" si="9">AF23/1.24</f>
        <v>45.161290322580648</v>
      </c>
      <c r="AV23" s="2">
        <v>2</v>
      </c>
      <c r="AW23" s="2">
        <v>3</v>
      </c>
      <c r="AX23" s="2">
        <f t="shared" ref="AX23" si="10">R23/AW23</f>
        <v>15</v>
      </c>
      <c r="AY23" s="2">
        <f t="shared" ref="AY23" si="11">(R23)/MAX(AV23-1, 1)</f>
        <v>45</v>
      </c>
      <c r="AZ23" s="3"/>
      <c r="BA23" s="3"/>
      <c r="BB23" s="3"/>
      <c r="BC23" s="2" t="s">
        <v>634</v>
      </c>
    </row>
    <row r="24" spans="1:56" x14ac:dyDescent="0.25">
      <c r="A24" t="s">
        <v>16</v>
      </c>
      <c r="B24" t="s">
        <v>231</v>
      </c>
      <c r="C24" t="s">
        <v>349</v>
      </c>
      <c r="D24">
        <f>IF(E24 &gt; 2020, ((E24-2020)*4)+1610+G24,IF(E24 &gt; 1900, ((E24-1900)*10)+400+G24, ((E24-1730)*2)+G24))+VLOOKUP(I24,'ID Scheme'!$A$2:$B$7,2, FALSE)</f>
        <v>3871</v>
      </c>
      <c r="E24">
        <v>1987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65</v>
      </c>
      <c r="L24">
        <v>14</v>
      </c>
      <c r="M24">
        <v>15</v>
      </c>
      <c r="N24">
        <v>5</v>
      </c>
      <c r="O24">
        <v>12</v>
      </c>
      <c r="P24">
        <v>420</v>
      </c>
      <c r="Q24">
        <v>18</v>
      </c>
      <c r="R24">
        <v>45</v>
      </c>
      <c r="S24">
        <v>1</v>
      </c>
      <c r="T24" t="s">
        <v>300</v>
      </c>
      <c r="U24">
        <v>-3</v>
      </c>
      <c r="V24" s="2" t="s">
        <v>468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543</v>
      </c>
      <c r="AM24">
        <v>2</v>
      </c>
      <c r="AP24" s="2">
        <f>(SQRT(K24*R24)*POWER((MIN(M24,20)+SQRT(MAX(M24-20,0))),0.9)*Data!$B$1)*(1-(S24-1))</f>
        <v>46.409440397444101</v>
      </c>
      <c r="AQ24" s="2"/>
      <c r="AR24" s="2">
        <f>((POWER((K24*K24*R24), 0.33)*LOG10(P24)*10*Data!$B$1)*S24)+AQ24</f>
        <v>108.63850295590133</v>
      </c>
      <c r="AS24" s="2">
        <f>K24/1.24</f>
        <v>52.41935483870968</v>
      </c>
      <c r="AT24" s="2">
        <f>AF24/1.24</f>
        <v>45.161290322580648</v>
      </c>
      <c r="AV24" s="2">
        <v>2</v>
      </c>
      <c r="AW24" s="2">
        <v>3</v>
      </c>
      <c r="AX24" s="2">
        <f>R24/AW24</f>
        <v>15</v>
      </c>
      <c r="AY24" s="2">
        <f>(R24)/MAX(AV24-1, 1)</f>
        <v>45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17</v>
      </c>
      <c r="B25" t="s">
        <v>232</v>
      </c>
      <c r="C25" t="s">
        <v>349</v>
      </c>
      <c r="D25">
        <f>IF(E25 &gt; 2020, ((E25-2020)*4)+1610+G25,IF(E25 &gt; 1900, ((E25-1900)*10)+400+G25, ((E25-1730)*2)+G25))+VLOOKUP(I25,'ID Scheme'!$A$2:$B$7,2, FALSE)</f>
        <v>3951</v>
      </c>
      <c r="E25">
        <v>1995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68</v>
      </c>
      <c r="L25">
        <v>12</v>
      </c>
      <c r="M25">
        <v>15</v>
      </c>
      <c r="N25">
        <v>5</v>
      </c>
      <c r="O25">
        <v>12.5</v>
      </c>
      <c r="P25">
        <v>420</v>
      </c>
      <c r="Q25">
        <v>20</v>
      </c>
      <c r="R25">
        <v>48</v>
      </c>
      <c r="S25">
        <v>1</v>
      </c>
      <c r="T25" t="s">
        <v>300</v>
      </c>
      <c r="U25">
        <v>-3</v>
      </c>
      <c r="V25" s="2" t="s">
        <v>469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544</v>
      </c>
      <c r="AM25">
        <v>2</v>
      </c>
      <c r="AP25" s="2">
        <f>(SQRT(K25*R25)*POWER((MIN(M25,20)+SQRT(MAX(M25-20,0))),0.9)*Data!$B$1)*(1-(S25-1))</f>
        <v>49.025098123917665</v>
      </c>
      <c r="AQ25" s="2"/>
      <c r="AR25" s="2">
        <f>((POWER((K25*K25*R25), 0.33)*LOG10(P25)*10*Data!$B$1)*S25)+AQ25</f>
        <v>114.33160972754995</v>
      </c>
      <c r="AS25" s="2">
        <f>K25/1.24</f>
        <v>54.838709677419352</v>
      </c>
      <c r="AT25" s="2">
        <f>AF25/1.24</f>
        <v>45.161290322580648</v>
      </c>
      <c r="AV25" s="2">
        <v>2</v>
      </c>
      <c r="AW25" s="2">
        <v>3</v>
      </c>
      <c r="AX25" s="2">
        <f>R25/AW25</f>
        <v>16</v>
      </c>
      <c r="AY25" s="2">
        <f>(R25)/MAX(AV25-1, 1)</f>
        <v>48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18</v>
      </c>
      <c r="B26" t="s">
        <v>233</v>
      </c>
      <c r="C26" t="s">
        <v>349</v>
      </c>
      <c r="D26">
        <f>IF(E26 &gt; 2020, ((E26-2020)*4)+1610+G26,IF(E26 &gt; 1900, ((E26-1900)*10)+400+G26, ((E26-1730)*2)+G26))+VLOOKUP(I26,'ID Scheme'!$A$2:$B$7,2, FALSE)</f>
        <v>4041</v>
      </c>
      <c r="E26">
        <v>2004</v>
      </c>
      <c r="F26">
        <v>6</v>
      </c>
      <c r="G26">
        <v>1</v>
      </c>
      <c r="H26" t="s">
        <v>523</v>
      </c>
      <c r="I26" t="s">
        <v>13</v>
      </c>
      <c r="J26" t="s">
        <v>502</v>
      </c>
      <c r="K26">
        <v>72</v>
      </c>
      <c r="L26">
        <v>-1</v>
      </c>
      <c r="M26">
        <v>15</v>
      </c>
      <c r="N26">
        <v>5</v>
      </c>
      <c r="O26">
        <v>12.5</v>
      </c>
      <c r="P26">
        <v>580</v>
      </c>
      <c r="Q26">
        <v>20</v>
      </c>
      <c r="R26">
        <v>54</v>
      </c>
      <c r="S26">
        <v>1</v>
      </c>
      <c r="T26" t="s">
        <v>300</v>
      </c>
      <c r="U26">
        <v>-3</v>
      </c>
      <c r="V26" s="2" t="s">
        <v>464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545</v>
      </c>
      <c r="AM26">
        <v>2</v>
      </c>
      <c r="AP26" s="2">
        <f>(SQRT(K26*R26)*POWER((MIN(M26,20)+SQRT(MAX(M26-20,0))),0.9)*Data!$B$1)*(1-(S26-1))</f>
        <v>53.506497671783663</v>
      </c>
      <c r="AQ26" s="2"/>
      <c r="AR26" s="2">
        <f>((POWER((K26*K26*R26), 0.33)*LOG10(P26)*10*Data!$B$1)*S26)+AQ26</f>
        <v>130.02857541304473</v>
      </c>
      <c r="AS26" s="2">
        <f>K26/1.24</f>
        <v>58.064516129032256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84</v>
      </c>
      <c r="B27" t="s">
        <v>216</v>
      </c>
      <c r="C27" t="s">
        <v>349</v>
      </c>
      <c r="D27">
        <f>IF(E27 &gt; 2020, ((E27-2020)*4)+1610+G27,IF(E27 &gt; 1900, ((E27-1900)*10)+400+G27, ((E27-1730)*2)+G27))+VLOOKUP(I27,'ID Scheme'!$A$2:$B$7,2, FALSE)</f>
        <v>4011</v>
      </c>
      <c r="E27">
        <v>2001</v>
      </c>
      <c r="F27">
        <v>1</v>
      </c>
      <c r="G27">
        <v>1</v>
      </c>
      <c r="H27" t="s">
        <v>523</v>
      </c>
      <c r="I27" t="s">
        <v>13</v>
      </c>
      <c r="J27" t="s">
        <v>502</v>
      </c>
      <c r="K27">
        <v>70</v>
      </c>
      <c r="L27">
        <v>14</v>
      </c>
      <c r="M27">
        <v>14</v>
      </c>
      <c r="N27">
        <v>5</v>
      </c>
      <c r="O27">
        <v>12.5</v>
      </c>
      <c r="P27">
        <v>440</v>
      </c>
      <c r="Q27">
        <v>20</v>
      </c>
      <c r="R27">
        <v>51</v>
      </c>
      <c r="S27">
        <v>0.97</v>
      </c>
      <c r="T27" t="s">
        <v>290</v>
      </c>
      <c r="U27">
        <v>-3</v>
      </c>
      <c r="V27" s="2" t="s">
        <v>466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546</v>
      </c>
      <c r="AM27">
        <v>2</v>
      </c>
      <c r="AP27" s="2">
        <f>(SQRT(K27*R27)*POWER((MIN(M27,20)+SQRT(MAX(M27-20,0))),0.9)*Data!$B$1)*(1-(S27-1))</f>
        <v>49.630406036450424</v>
      </c>
      <c r="AQ27" s="2"/>
      <c r="AR27" s="2">
        <f>((POWER((K27*K27*R27), 0.33)*LOG10(P27)*10*Data!$B$1)*S27)+AQ27</f>
        <v>116.21639568567561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17</v>
      </c>
      <c r="AY27" s="2">
        <f>(R27)/MAX(AV27-1, 1)</f>
        <v>51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102</v>
      </c>
      <c r="B28" t="s">
        <v>224</v>
      </c>
      <c r="C28" t="s">
        <v>349</v>
      </c>
      <c r="D28">
        <f>IF(E28 &gt; 2020, ((E28-2020)*4)+1610+G28,IF(E28 &gt; 1900, ((E28-1900)*10)+400+G28, ((E28-1730)*2)+G28))+VLOOKUP(I28,'ID Scheme'!$A$2:$B$7,2, FALSE)</f>
        <v>4052</v>
      </c>
      <c r="E28">
        <v>2005</v>
      </c>
      <c r="F28">
        <v>6</v>
      </c>
      <c r="G28">
        <v>2</v>
      </c>
      <c r="H28" t="s">
        <v>523</v>
      </c>
      <c r="I28" t="s">
        <v>13</v>
      </c>
      <c r="J28" t="s">
        <v>502</v>
      </c>
      <c r="K28">
        <v>70</v>
      </c>
      <c r="L28">
        <v>-1</v>
      </c>
      <c r="M28">
        <v>18</v>
      </c>
      <c r="N28">
        <v>5</v>
      </c>
      <c r="O28">
        <v>12</v>
      </c>
      <c r="P28">
        <v>380</v>
      </c>
      <c r="Q28">
        <v>20</v>
      </c>
      <c r="R28">
        <v>54</v>
      </c>
      <c r="S28">
        <v>1</v>
      </c>
      <c r="T28" t="s">
        <v>296</v>
      </c>
      <c r="U28">
        <v>-3</v>
      </c>
      <c r="V28" s="2" t="s">
        <v>462</v>
      </c>
      <c r="W28" s="2"/>
      <c r="X28" s="2" t="s">
        <v>332</v>
      </c>
      <c r="Y28" s="2"/>
      <c r="Z28" s="2"/>
      <c r="AA28" s="2"/>
      <c r="AB28" s="2"/>
      <c r="AC28" s="2"/>
      <c r="AD28" s="2" t="s">
        <v>354</v>
      </c>
      <c r="AE28" s="2"/>
      <c r="AF28">
        <v>56</v>
      </c>
      <c r="AH28">
        <v>1</v>
      </c>
      <c r="AJ28" t="s">
        <v>409</v>
      </c>
      <c r="AK28" t="s">
        <v>586</v>
      </c>
      <c r="AL28" t="s">
        <v>547</v>
      </c>
      <c r="AM28">
        <v>2</v>
      </c>
      <c r="AP28" s="2">
        <f>(SQRT(K28*R28)*POWER((MIN(M28,20)+SQRT(MAX(M28-20,0))),0.9)*Data!$B$1)*(1-(S28-1))</f>
        <v>62.165927543696078</v>
      </c>
      <c r="AQ28" s="2"/>
      <c r="AR28" s="2">
        <f>((POWER((K28*K28*R28), 0.33)*LOG10(P28)*10*Data!$B$1)*S28)+AQ28</f>
        <v>119.15141041758832</v>
      </c>
      <c r="AS28" s="2">
        <f>K28/1.24</f>
        <v>56.451612903225808</v>
      </c>
      <c r="AT28" s="2">
        <f>AF28/1.24</f>
        <v>45.161290322580648</v>
      </c>
      <c r="AV28" s="2">
        <v>2</v>
      </c>
      <c r="AW28" s="2">
        <v>3</v>
      </c>
      <c r="AX28" s="2">
        <f>R28/AW28</f>
        <v>18</v>
      </c>
      <c r="AY28" s="2">
        <f>(R28)/MAX(AV28-1, 1)</f>
        <v>54</v>
      </c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  <c r="BD28" t="s">
        <v>103</v>
      </c>
    </row>
    <row r="29" spans="1:56" x14ac:dyDescent="0.25">
      <c r="A29" t="s">
        <v>587</v>
      </c>
      <c r="B29" t="s">
        <v>590</v>
      </c>
      <c r="C29" t="s">
        <v>350</v>
      </c>
      <c r="D29">
        <v>0</v>
      </c>
      <c r="AA29" t="s">
        <v>332</v>
      </c>
      <c r="AB29" t="s">
        <v>332</v>
      </c>
      <c r="AL29" t="s">
        <v>566</v>
      </c>
      <c r="AM29">
        <v>4</v>
      </c>
      <c r="AR29" s="2"/>
    </row>
    <row r="30" spans="1:56" x14ac:dyDescent="0.25">
      <c r="A30" t="s">
        <v>588</v>
      </c>
      <c r="B30" t="s">
        <v>591</v>
      </c>
      <c r="C30" t="s">
        <v>349</v>
      </c>
      <c r="D30">
        <f>IF(E30 &gt; 2020, ((E30-2020)*4)+1610+G30,IF(E30 &gt; 1900, ((E30-1900)*10)+400+G30, ((E30-1730)*2)+G30))+VLOOKUP(I30,'ID Scheme'!$A$2:$B$7,2, FALSE)</f>
        <v>2541</v>
      </c>
      <c r="E30">
        <v>1700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15</v>
      </c>
      <c r="L30">
        <v>200</v>
      </c>
      <c r="M30">
        <v>12</v>
      </c>
      <c r="N30">
        <v>4</v>
      </c>
      <c r="O30">
        <v>1</v>
      </c>
      <c r="P30">
        <v>10</v>
      </c>
      <c r="Q30">
        <v>20</v>
      </c>
      <c r="R30">
        <v>8</v>
      </c>
      <c r="S30">
        <v>1</v>
      </c>
      <c r="T30" t="s">
        <v>288</v>
      </c>
      <c r="V30" s="2" t="s">
        <v>592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t="s">
        <v>590</v>
      </c>
      <c r="AE30" s="2"/>
      <c r="AJ30" t="s">
        <v>404</v>
      </c>
      <c r="AK30" t="s">
        <v>594</v>
      </c>
      <c r="AL30" t="s">
        <v>593</v>
      </c>
      <c r="AM30">
        <v>5</v>
      </c>
      <c r="AO30" t="s">
        <v>288</v>
      </c>
      <c r="AP30" s="2">
        <f>(SQRT(K30*R30)*POWER((MIN(M30,20)+SQRT(MAX(M30-20,0))),0.9)*Data!$B$1)*(1-(S30-1))</f>
        <v>7.6897993492691086</v>
      </c>
      <c r="AQ30" s="2"/>
      <c r="AR30" s="2">
        <f>((POWER((K30*K30*R30), 0.33)*LOG10(P30)*10*Data!$B$1)*S30)+AQ30</f>
        <v>8.8981800674996272</v>
      </c>
      <c r="AS30" s="2">
        <f>K30/1.24</f>
        <v>12.096774193548388</v>
      </c>
      <c r="AT30" s="2">
        <f>AF30/1.24</f>
        <v>0</v>
      </c>
      <c r="AV30" s="2">
        <v>2</v>
      </c>
      <c r="AW30" s="2">
        <v>2</v>
      </c>
      <c r="AX30" s="2">
        <f>R30/AW30</f>
        <v>4</v>
      </c>
      <c r="AY30" s="2">
        <f>(R30)/MAX(AV30-1, 1)</f>
        <v>8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410</v>
      </c>
      <c r="B31" t="s">
        <v>411</v>
      </c>
      <c r="C31" t="s">
        <v>350</v>
      </c>
      <c r="D31">
        <v>0</v>
      </c>
      <c r="AA31" t="s">
        <v>332</v>
      </c>
      <c r="AB31" t="s">
        <v>332</v>
      </c>
      <c r="AL31" t="s">
        <v>411</v>
      </c>
      <c r="AM31">
        <v>4</v>
      </c>
      <c r="AR31" s="2"/>
    </row>
    <row r="32" spans="1:56" x14ac:dyDescent="0.25">
      <c r="A32" t="s">
        <v>348</v>
      </c>
      <c r="B32" t="s">
        <v>194</v>
      </c>
      <c r="C32" t="s">
        <v>349</v>
      </c>
      <c r="D32">
        <f>IF(E32 &gt; 2020, ((E32-2020)*4)+1610+G32,IF(E32 &gt; 1900, ((E32-1900)*10)+400+G32, ((E32-1730)*2)+G32))+VLOOKUP(I32,'ID Scheme'!$A$2:$B$7,2, FALSE)</f>
        <v>2741</v>
      </c>
      <c r="E32">
        <v>1800</v>
      </c>
      <c r="F32">
        <v>1</v>
      </c>
      <c r="G32">
        <v>1</v>
      </c>
      <c r="H32" t="s">
        <v>523</v>
      </c>
      <c r="I32" t="s">
        <v>13</v>
      </c>
      <c r="J32" t="s">
        <v>509</v>
      </c>
      <c r="K32">
        <v>16</v>
      </c>
      <c r="L32">
        <v>120</v>
      </c>
      <c r="M32">
        <v>12</v>
      </c>
      <c r="N32">
        <v>4</v>
      </c>
      <c r="O32">
        <v>1</v>
      </c>
      <c r="P32">
        <v>15</v>
      </c>
      <c r="Q32">
        <v>20</v>
      </c>
      <c r="R32">
        <v>12</v>
      </c>
      <c r="S32">
        <v>1</v>
      </c>
      <c r="T32" t="s">
        <v>288</v>
      </c>
      <c r="V32" s="2" t="s">
        <v>346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s="2" t="s">
        <v>411</v>
      </c>
      <c r="AE32" s="2"/>
      <c r="AJ32" t="s">
        <v>404</v>
      </c>
      <c r="AK32" t="s">
        <v>516</v>
      </c>
      <c r="AL32" t="s">
        <v>560</v>
      </c>
      <c r="AM32">
        <v>5</v>
      </c>
      <c r="AO32" t="s">
        <v>277</v>
      </c>
      <c r="AP32" s="2">
        <f>(SQRT(K32*R32)*POWER((MIN(M32,20)+SQRT(MAX(M32-20,0))),0.9)*Data!$B$1)*(1-(S32-1))</f>
        <v>9.7269122773484167</v>
      </c>
      <c r="AQ32" s="2"/>
      <c r="AR32" s="2">
        <f>((POWER((K32*K32*R32), 0.33)*LOG10(P32)*10*Data!$B$1)*S32)+AQ32</f>
        <v>12.483928865764204</v>
      </c>
      <c r="AS32" s="2">
        <f>K32/1.24</f>
        <v>12.903225806451614</v>
      </c>
      <c r="AT32" s="2">
        <f>AF32/1.24</f>
        <v>0</v>
      </c>
      <c r="AV32" s="2">
        <v>2</v>
      </c>
      <c r="AW32" s="2">
        <v>2</v>
      </c>
      <c r="AX32" s="2">
        <f>R32/AW32</f>
        <v>6</v>
      </c>
      <c r="AY32" s="2">
        <f>(R32)/MAX(AV32-1, 1)</f>
        <v>12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567</v>
      </c>
      <c r="B33" t="s">
        <v>565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566</v>
      </c>
      <c r="AM33">
        <v>4</v>
      </c>
      <c r="AR33" s="2"/>
    </row>
    <row r="34" spans="1:55" x14ac:dyDescent="0.25">
      <c r="A34" t="s">
        <v>568</v>
      </c>
      <c r="B34" t="s">
        <v>569</v>
      </c>
      <c r="C34" t="s">
        <v>349</v>
      </c>
      <c r="D34">
        <f>IF(E34 &gt; 2020, ((E34-2020)*4)+1610+G34,IF(E34 &gt; 1900, ((E34-1900)*10)+400+G34, ((E34-1730)*2)+G34))+VLOOKUP(I34,'ID Scheme'!$A$2:$B$7,2, FALSE)</f>
        <v>2925</v>
      </c>
      <c r="E34">
        <v>1892</v>
      </c>
      <c r="F34">
        <v>6</v>
      </c>
      <c r="G34">
        <v>1</v>
      </c>
      <c r="H34" t="s">
        <v>523</v>
      </c>
      <c r="I34" t="s">
        <v>13</v>
      </c>
      <c r="J34" t="s">
        <v>509</v>
      </c>
      <c r="K34">
        <v>18</v>
      </c>
      <c r="L34">
        <v>35</v>
      </c>
      <c r="M34">
        <v>12</v>
      </c>
      <c r="N34">
        <v>4</v>
      </c>
      <c r="O34">
        <v>1</v>
      </c>
      <c r="P34">
        <v>15</v>
      </c>
      <c r="Q34">
        <v>20</v>
      </c>
      <c r="R34">
        <v>14</v>
      </c>
      <c r="S34">
        <v>1</v>
      </c>
      <c r="T34" t="s">
        <v>288</v>
      </c>
      <c r="V34" s="2" t="s">
        <v>571</v>
      </c>
      <c r="W34" s="2"/>
      <c r="X34" s="2"/>
      <c r="Y34" s="2"/>
      <c r="Z34" s="2"/>
      <c r="AA34" s="2" t="s">
        <v>332</v>
      </c>
      <c r="AB34" s="2" t="s">
        <v>332</v>
      </c>
      <c r="AC34" s="2"/>
      <c r="AD34" t="s">
        <v>565</v>
      </c>
      <c r="AE34" s="2"/>
      <c r="AJ34" t="s">
        <v>404</v>
      </c>
      <c r="AK34" t="s">
        <v>516</v>
      </c>
      <c r="AL34" t="s">
        <v>570</v>
      </c>
      <c r="AM34">
        <v>5</v>
      </c>
      <c r="AO34" t="s">
        <v>277</v>
      </c>
      <c r="AP34" s="2">
        <f>(SQRT(K34*R34)*POWER((MIN(M34,20)+SQRT(MAX(M34-20,0))),0.9)*Data!$B$1)*(1-(S34-1))</f>
        <v>11.143577947286104</v>
      </c>
      <c r="AQ34" s="2"/>
      <c r="AR34" s="2">
        <f>((POWER((K34*K34*R34), 0.33)*LOG10(P34)*10*Data!$B$1)*S34)+AQ34</f>
        <v>14.197255258033142</v>
      </c>
      <c r="AS34" s="2">
        <f>K34/1.24</f>
        <v>14.516129032258064</v>
      </c>
      <c r="AT34" s="2">
        <f>AF34/1.24</f>
        <v>0</v>
      </c>
      <c r="AV34" s="2">
        <v>2</v>
      </c>
      <c r="AW34" s="2">
        <v>2</v>
      </c>
      <c r="AX34" s="2">
        <f>R34/AW34</f>
        <v>7</v>
      </c>
      <c r="AY34" s="2">
        <f>(R34)/MAX(AV34-1, 1)</f>
        <v>14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5" x14ac:dyDescent="0.25">
      <c r="A35" t="s">
        <v>572</v>
      </c>
      <c r="B35" t="s">
        <v>573</v>
      </c>
      <c r="C35" t="s">
        <v>350</v>
      </c>
      <c r="D35">
        <v>0</v>
      </c>
      <c r="W35" t="s">
        <v>332</v>
      </c>
      <c r="AA35" t="s">
        <v>332</v>
      </c>
      <c r="AB35" t="s">
        <v>332</v>
      </c>
      <c r="AL35" t="s">
        <v>573</v>
      </c>
      <c r="AM35">
        <v>4</v>
      </c>
      <c r="AR35" s="2"/>
    </row>
    <row r="36" spans="1:55" x14ac:dyDescent="0.25">
      <c r="A36" t="s">
        <v>574</v>
      </c>
      <c r="B36" t="s">
        <v>575</v>
      </c>
      <c r="C36" t="s">
        <v>349</v>
      </c>
      <c r="D36">
        <f>IF(E36 &gt; 2020, ((E36-2020)*4)+1610+G36,IF(E36 &gt; 1900, ((E36-1900)*10)+400+G36, ((E36-1730)*2)+G36))+VLOOKUP(I36,'ID Scheme'!$A$2:$B$7,2, FALSE)</f>
        <v>2879</v>
      </c>
      <c r="E36">
        <v>1869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16</v>
      </c>
      <c r="L36">
        <v>52</v>
      </c>
      <c r="M36">
        <v>32</v>
      </c>
      <c r="N36">
        <v>5</v>
      </c>
      <c r="O36">
        <v>19</v>
      </c>
      <c r="P36">
        <v>85</v>
      </c>
      <c r="Q36">
        <v>18</v>
      </c>
      <c r="R36">
        <v>36</v>
      </c>
      <c r="S36">
        <v>1</v>
      </c>
      <c r="T36" t="s">
        <v>289</v>
      </c>
      <c r="U36">
        <v>-4</v>
      </c>
      <c r="V36" s="2" t="s">
        <v>576</v>
      </c>
      <c r="W36" s="2" t="s">
        <v>332</v>
      </c>
      <c r="X36" s="2"/>
      <c r="Y36" s="2"/>
      <c r="Z36" s="2"/>
      <c r="AA36" s="2" t="s">
        <v>332</v>
      </c>
      <c r="AB36" s="2" t="s">
        <v>332</v>
      </c>
      <c r="AC36" s="2"/>
      <c r="AD36" s="2" t="s">
        <v>573</v>
      </c>
      <c r="AE36" s="2"/>
      <c r="AH36">
        <v>1</v>
      </c>
      <c r="AJ36" t="s">
        <v>409</v>
      </c>
      <c r="AK36" t="s">
        <v>577</v>
      </c>
      <c r="AL36" t="s">
        <v>578</v>
      </c>
      <c r="AM36">
        <v>6</v>
      </c>
      <c r="AP36" s="2">
        <f>(SQRT(K36*R36)*POWER((MIN(M36,20)+SQRT(MAX(M36-20,0))),0.9)*Data!$B$1)*(1-(S36-1))</f>
        <v>30.806051902406423</v>
      </c>
      <c r="AQ36" s="2"/>
      <c r="AR36" s="2">
        <f>((POWER((K36*K36*R36), 0.33)*LOG10(P36)*10*Data!$B$1)*S36)+AQ36</f>
        <v>29.429766164771721</v>
      </c>
      <c r="AS36" s="2">
        <f>K36/1.24</f>
        <v>12.903225806451614</v>
      </c>
      <c r="AT36" s="2">
        <f>AF36/1.24</f>
        <v>0</v>
      </c>
      <c r="AU36" s="2">
        <v>2</v>
      </c>
      <c r="AV36" s="2">
        <v>3</v>
      </c>
      <c r="AW36" s="2">
        <v>3</v>
      </c>
      <c r="AX36" s="2">
        <f>R36/AW36</f>
        <v>12</v>
      </c>
      <c r="AY36" s="2">
        <f>(R36)/MAX(AV36-1, 1)</f>
        <v>18</v>
      </c>
      <c r="AZ36" s="3">
        <v>3.4</v>
      </c>
      <c r="BA36" s="3">
        <v>2</v>
      </c>
      <c r="BB36" s="3">
        <v>2.5</v>
      </c>
      <c r="BC36" s="2" t="str">
        <f>CONCATENATE(
ROUND(AZ36*VLOOKUP(I36,'ID Scheme'!$A$2:$E$7,3),0), "x",
ROUND(BA36*VLOOKUP(I36,'ID Scheme'!$A$2:$E$7,5),0), "x",
ROUND(BB36*VLOOKUP(I36,'ID Scheme'!$A$2:$E$7,4),0))</f>
        <v>32x29x24</v>
      </c>
    </row>
    <row r="37" spans="1:55" x14ac:dyDescent="0.25">
      <c r="A37" t="s">
        <v>644</v>
      </c>
      <c r="B37" t="s">
        <v>645</v>
      </c>
      <c r="C37" t="s">
        <v>349</v>
      </c>
      <c r="D37">
        <f>IF(E37 &gt; 2020, ((E37-2020)*4)+1610+G37,IF(E37 &gt; 1900, ((E37-1900)*10)+400+G37, ((E37-1730)*2)+G37))+VLOOKUP(I37,'ID Scheme'!$A$2:$B$7,2, FALSE)</f>
        <v>3291</v>
      </c>
      <c r="E37">
        <v>1929</v>
      </c>
      <c r="F37">
        <v>1</v>
      </c>
      <c r="G37">
        <v>1</v>
      </c>
      <c r="H37" t="s">
        <v>525</v>
      </c>
      <c r="I37" t="s">
        <v>13</v>
      </c>
      <c r="J37" t="s">
        <v>646</v>
      </c>
      <c r="K37">
        <v>20</v>
      </c>
      <c r="L37">
        <v>15</v>
      </c>
      <c r="M37">
        <v>12</v>
      </c>
      <c r="N37">
        <v>5</v>
      </c>
      <c r="O37">
        <v>4</v>
      </c>
      <c r="P37">
        <v>20</v>
      </c>
      <c r="Q37">
        <v>20</v>
      </c>
      <c r="R37">
        <v>12</v>
      </c>
      <c r="S37">
        <v>1</v>
      </c>
      <c r="T37" t="s">
        <v>290</v>
      </c>
      <c r="U37">
        <v>-2</v>
      </c>
      <c r="V37" s="2" t="s">
        <v>647</v>
      </c>
      <c r="W37" s="2" t="s">
        <v>332</v>
      </c>
      <c r="X37" s="2"/>
      <c r="Y37" s="2"/>
      <c r="Z37" s="2"/>
      <c r="AA37" s="2" t="s">
        <v>332</v>
      </c>
      <c r="AB37" s="2" t="s">
        <v>332</v>
      </c>
      <c r="AC37" s="2"/>
      <c r="AD37" s="2" t="s">
        <v>573</v>
      </c>
      <c r="AE37" s="2"/>
      <c r="AH37">
        <v>1</v>
      </c>
      <c r="AJ37" t="s">
        <v>404</v>
      </c>
      <c r="AK37" t="s">
        <v>649</v>
      </c>
      <c r="AL37" t="s">
        <v>648</v>
      </c>
      <c r="AM37">
        <v>4</v>
      </c>
      <c r="AP37" s="2">
        <f>(SQRT(K37*R37)*POWER((MIN(M37,20)+SQRT(MAX(M37-20,0))),0.9)*Data!$B$1)*(1-(S37-1))</f>
        <v>10.875018531664175</v>
      </c>
      <c r="AQ37" s="2"/>
      <c r="AR37" s="2">
        <f>((POWER((K37*K37*R37), 0.33)*LOG10(P37)*10*Data!$B$1)*S37)+AQ37</f>
        <v>16.001407348308714</v>
      </c>
      <c r="AS37" s="2">
        <f>K37/1.24</f>
        <v>16.129032258064516</v>
      </c>
      <c r="AT37" s="2">
        <f>AF37/1.24</f>
        <v>0</v>
      </c>
      <c r="AV37" s="2">
        <v>2</v>
      </c>
      <c r="AW37" s="2">
        <v>2</v>
      </c>
      <c r="AX37" s="2">
        <f>R37/AW37</f>
        <v>6</v>
      </c>
      <c r="AY37" s="2">
        <f>(R37)/MAX(AV37-1, 1)</f>
        <v>12</v>
      </c>
      <c r="AZ37" s="3">
        <v>3.4</v>
      </c>
      <c r="BA37" s="3">
        <v>2</v>
      </c>
      <c r="BB37" s="3">
        <v>2.5</v>
      </c>
      <c r="BC37" s="2" t="str">
        <f>CONCATENATE(
ROUND(AZ37*VLOOKUP(I37,'ID Scheme'!$A$2:$E$7,3),0), "x",
ROUND(BA37*VLOOKUP(I37,'ID Scheme'!$A$2:$E$7,5),0), "x",
ROUND(BB37*VLOOKUP(I37,'ID Scheme'!$A$2:$E$7,4),0))</f>
        <v>32x29x24</v>
      </c>
    </row>
    <row r="38" spans="1:55" x14ac:dyDescent="0.25">
      <c r="A38" t="s">
        <v>441</v>
      </c>
      <c r="B38" t="s">
        <v>443</v>
      </c>
      <c r="C38" t="s">
        <v>442</v>
      </c>
      <c r="D38">
        <v>0</v>
      </c>
      <c r="AM38">
        <v>6</v>
      </c>
      <c r="AR38" s="2"/>
    </row>
    <row r="39" spans="1:55" x14ac:dyDescent="0.25">
      <c r="A39" t="s">
        <v>72</v>
      </c>
      <c r="B39" t="s">
        <v>218</v>
      </c>
      <c r="C39" t="s">
        <v>439</v>
      </c>
      <c r="D39">
        <v>3481</v>
      </c>
      <c r="E39">
        <v>1948</v>
      </c>
      <c r="F39">
        <v>1</v>
      </c>
      <c r="G39">
        <v>1</v>
      </c>
      <c r="H39" t="s">
        <v>523</v>
      </c>
      <c r="I39" t="s">
        <v>13</v>
      </c>
      <c r="J39" t="s">
        <v>502</v>
      </c>
      <c r="K39">
        <v>43</v>
      </c>
      <c r="L39">
        <v>20</v>
      </c>
      <c r="M39">
        <v>25</v>
      </c>
      <c r="N39">
        <v>5</v>
      </c>
      <c r="O39">
        <v>1.5</v>
      </c>
      <c r="P39">
        <v>35</v>
      </c>
      <c r="Q39">
        <v>20</v>
      </c>
      <c r="R39">
        <v>10</v>
      </c>
      <c r="S39">
        <v>1.7</v>
      </c>
      <c r="T39" t="s">
        <v>290</v>
      </c>
      <c r="U39">
        <v>-4</v>
      </c>
      <c r="V39" s="2" t="s">
        <v>438</v>
      </c>
      <c r="W39" s="2"/>
      <c r="X39" s="2"/>
      <c r="Y39" s="2"/>
      <c r="Z39" s="2"/>
      <c r="AA39" s="2"/>
      <c r="AB39" s="2"/>
      <c r="AC39" s="2"/>
      <c r="AD39" t="s">
        <v>443</v>
      </c>
      <c r="AE39" s="2"/>
      <c r="AH39">
        <v>1</v>
      </c>
      <c r="AJ39" t="s">
        <v>404</v>
      </c>
      <c r="AK39" t="s">
        <v>440</v>
      </c>
      <c r="AL39" t="s">
        <v>548</v>
      </c>
      <c r="AM39">
        <v>2</v>
      </c>
      <c r="AP39" s="2">
        <v>7.6079725967160297</v>
      </c>
      <c r="AQ39" s="2">
        <v>-30</v>
      </c>
      <c r="AR39" s="2">
        <v>20.380885967208812</v>
      </c>
      <c r="AS39" s="2">
        <f t="shared" ref="AS39" si="12">K39/1.24</f>
        <v>34.677419354838712</v>
      </c>
      <c r="AT39" s="2">
        <f>AF39/1.24</f>
        <v>0</v>
      </c>
      <c r="AV39" s="2">
        <v>2</v>
      </c>
      <c r="AW39" s="2">
        <v>2</v>
      </c>
      <c r="AX39" s="2">
        <f t="shared" ref="AX39" si="13">R39/AW39</f>
        <v>5</v>
      </c>
      <c r="AY39" s="2">
        <f t="shared" ref="AY39" si="14">(R39)/MAX(AV39-1, 1)</f>
        <v>10</v>
      </c>
      <c r="BB39" s="3"/>
      <c r="BC39" s="2" t="s">
        <v>634</v>
      </c>
    </row>
    <row r="40" spans="1:55" x14ac:dyDescent="0.25">
      <c r="A40" t="s">
        <v>595</v>
      </c>
      <c r="B40" t="s">
        <v>596</v>
      </c>
      <c r="C40" t="s">
        <v>325</v>
      </c>
      <c r="D40">
        <f>IF(E40 &gt; 2020, ((E40-2020)*4)+1610+G40,IF(E40 &gt; 1900, ((E40-1900)*10)+400+G40, ((E40-1730)*2)+G40))+VLOOKUP(I40,'ID Scheme'!$A$2:$B$7,2, FALSE)</f>
        <v>541</v>
      </c>
      <c r="E40">
        <v>1700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14</v>
      </c>
      <c r="L40">
        <v>180</v>
      </c>
      <c r="M40">
        <v>12</v>
      </c>
      <c r="N40">
        <v>4</v>
      </c>
      <c r="O40">
        <v>2</v>
      </c>
      <c r="P40">
        <v>15</v>
      </c>
      <c r="Q40">
        <v>20</v>
      </c>
      <c r="R40">
        <v>10</v>
      </c>
      <c r="S40">
        <v>1</v>
      </c>
      <c r="T40" t="s">
        <v>288</v>
      </c>
      <c r="V40" s="2" t="s">
        <v>597</v>
      </c>
      <c r="W40" s="2"/>
      <c r="X40" s="2"/>
      <c r="Y40" s="2"/>
      <c r="Z40" s="2"/>
      <c r="AA40" s="2"/>
      <c r="AB40" s="2"/>
      <c r="AC40" s="2"/>
      <c r="AD40" s="2"/>
      <c r="AE40" s="2">
        <v>150</v>
      </c>
      <c r="AG40" t="s">
        <v>407</v>
      </c>
      <c r="AI40" t="s">
        <v>406</v>
      </c>
      <c r="AJ40" t="s">
        <v>407</v>
      </c>
      <c r="AK40" t="s">
        <v>516</v>
      </c>
      <c r="AL40" t="s">
        <v>598</v>
      </c>
      <c r="AM40">
        <v>5</v>
      </c>
      <c r="AO40" t="s">
        <v>277</v>
      </c>
      <c r="AP40" s="2">
        <f>(SQRT(K40*R40)*POWER((MIN(M40,20)+SQRT(MAX(M40-20,0))),0.9)*Data!$B$1)*(1-(S40-1))</f>
        <v>8.3059326008997658</v>
      </c>
      <c r="AQ40" s="2"/>
      <c r="AR40" s="2">
        <f>((POWER((K40*K40*R40), 0.33)*LOG10(P40)*10*Data!$B$1)*S40)+AQ40</f>
        <v>10.763333305173115</v>
      </c>
      <c r="AS40" s="2">
        <f t="shared" ref="AS40:AS71" si="15">K40/1.24</f>
        <v>11.290322580645162</v>
      </c>
      <c r="AT40" s="2">
        <f t="shared" ref="AT40" si="16">AF40/1.24</f>
        <v>0</v>
      </c>
      <c r="AV40" s="2">
        <v>2</v>
      </c>
      <c r="AW40" s="2">
        <v>2</v>
      </c>
      <c r="AX40" s="2">
        <f t="shared" ref="AX40:AX71" si="17">R40/AW40</f>
        <v>5</v>
      </c>
      <c r="AY40" s="2">
        <f t="shared" ref="AY40:AY71" si="18">(R40)/MAX(AV40-1, 1)</f>
        <v>10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23</v>
      </c>
      <c r="B41" t="s">
        <v>161</v>
      </c>
      <c r="C41" t="s">
        <v>325</v>
      </c>
      <c r="D41">
        <f>IF(E41 &gt; 2020, ((E41-2020)*4)+1610+G41,IF(E41 &gt; 1900, ((E41-1900)*10)+400+G41, ((E41-1730)*2)+G41))+VLOOKUP(I41,'ID Scheme'!$A$2:$B$7,2, FALSE)</f>
        <v>741</v>
      </c>
      <c r="E41">
        <v>1800</v>
      </c>
      <c r="F41">
        <v>1</v>
      </c>
      <c r="G41">
        <v>1</v>
      </c>
      <c r="H41" t="s">
        <v>524</v>
      </c>
      <c r="I41" t="s">
        <v>12</v>
      </c>
      <c r="J41" t="s">
        <v>509</v>
      </c>
      <c r="K41">
        <v>18</v>
      </c>
      <c r="L41">
        <v>110</v>
      </c>
      <c r="M41">
        <v>12</v>
      </c>
      <c r="N41">
        <v>4</v>
      </c>
      <c r="O41">
        <v>1</v>
      </c>
      <c r="P41">
        <v>15</v>
      </c>
      <c r="Q41">
        <v>20</v>
      </c>
      <c r="R41">
        <v>12</v>
      </c>
      <c r="S41">
        <v>1</v>
      </c>
      <c r="T41" t="s">
        <v>288</v>
      </c>
      <c r="V41" s="2" t="s">
        <v>273</v>
      </c>
      <c r="W41" s="2"/>
      <c r="X41" s="2"/>
      <c r="Y41" s="2"/>
      <c r="Z41" s="2"/>
      <c r="AA41" s="2"/>
      <c r="AB41" s="2"/>
      <c r="AC41" s="2"/>
      <c r="AD41" s="2"/>
      <c r="AE41" s="2"/>
      <c r="AG41" t="s">
        <v>407</v>
      </c>
      <c r="AI41" t="s">
        <v>406</v>
      </c>
      <c r="AJ41" t="s">
        <v>407</v>
      </c>
      <c r="AK41" t="s">
        <v>516</v>
      </c>
      <c r="AL41" t="s">
        <v>559</v>
      </c>
      <c r="AM41">
        <v>5</v>
      </c>
      <c r="AO41" t="s">
        <v>277</v>
      </c>
      <c r="AP41" s="2">
        <f>(SQRT(K41*R41)*POWER((MIN(M41,20)+SQRT(MAX(M41-20,0))),0.9)*Data!$B$1)*(1-(S41-1))</f>
        <v>10.316948446979625</v>
      </c>
      <c r="AQ41" s="2"/>
      <c r="AR41" s="2">
        <f>((POWER((K41*K41*R41), 0.33)*LOG10(P41)*10*Data!$B$1)*S41)+AQ41</f>
        <v>13.493106560639641</v>
      </c>
      <c r="AS41" s="2">
        <f t="shared" si="15"/>
        <v>14.516129032258064</v>
      </c>
      <c r="AT41" s="2">
        <f t="shared" ref="AT41:AT79" si="19">AF41/1.24</f>
        <v>0</v>
      </c>
      <c r="AV41" s="2">
        <v>2</v>
      </c>
      <c r="AW41" s="2">
        <v>2</v>
      </c>
      <c r="AX41" s="2">
        <f t="shared" si="17"/>
        <v>6</v>
      </c>
      <c r="AY41" s="2">
        <f t="shared" si="18"/>
        <v>12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36</v>
      </c>
      <c r="B42" t="s">
        <v>164</v>
      </c>
      <c r="C42" t="s">
        <v>286</v>
      </c>
      <c r="D42">
        <f>IF(E42 &gt; 2020, ((E42-2020)*4)+1610+G42,IF(E42 &gt; 1900, ((E42-1900)*10)+400+G42, ((E42-1730)*2)+G42))+VLOOKUP(I42,'ID Scheme'!$A$2:$B$7,2, FALSE)</f>
        <v>807</v>
      </c>
      <c r="E42">
        <v>1833</v>
      </c>
      <c r="F42">
        <v>1</v>
      </c>
      <c r="G42">
        <v>1</v>
      </c>
      <c r="H42" t="s">
        <v>524</v>
      </c>
      <c r="I42" t="s">
        <v>12</v>
      </c>
      <c r="J42" t="s">
        <v>509</v>
      </c>
      <c r="K42">
        <v>18</v>
      </c>
      <c r="L42">
        <v>52</v>
      </c>
      <c r="M42">
        <v>20</v>
      </c>
      <c r="N42">
        <v>4</v>
      </c>
      <c r="O42">
        <v>4</v>
      </c>
      <c r="P42">
        <v>30</v>
      </c>
      <c r="Q42">
        <v>20</v>
      </c>
      <c r="R42">
        <v>22</v>
      </c>
      <c r="S42">
        <v>1</v>
      </c>
      <c r="T42" t="s">
        <v>289</v>
      </c>
      <c r="U42">
        <v>2</v>
      </c>
      <c r="V42" s="2" t="s">
        <v>274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22.122583982050454</v>
      </c>
      <c r="AQ42" s="2"/>
      <c r="AR42" s="2">
        <f>((POWER((K42*K42*R42), 0.33)*LOG10(P42)*10*Data!$B$1)*S42)+AQ42</f>
        <v>20.699351945933547</v>
      </c>
      <c r="AS42" s="2">
        <f t="shared" si="15"/>
        <v>14.516129032258064</v>
      </c>
      <c r="AT42" s="2">
        <f t="shared" si="19"/>
        <v>0</v>
      </c>
      <c r="AV42" s="2">
        <v>1</v>
      </c>
      <c r="AW42" s="2">
        <v>1</v>
      </c>
      <c r="AX42" s="2">
        <f t="shared" si="17"/>
        <v>22</v>
      </c>
      <c r="AY42" s="2">
        <f t="shared" si="18"/>
        <v>22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654</v>
      </c>
      <c r="B43" t="s">
        <v>655</v>
      </c>
      <c r="C43" t="s">
        <v>292</v>
      </c>
      <c r="D43">
        <f>IF(E43 &gt; 2020, ((E43-2020)*4)+1610+G43,IF(E43 &gt; 1900, ((E43-1900)*10)+400+G43, ((E43-1730)*2)+G43))+VLOOKUP(I43,'ID Scheme'!$A$2:$B$7,2, FALSE)</f>
        <v>903</v>
      </c>
      <c r="E43">
        <v>1881</v>
      </c>
      <c r="F43">
        <v>2</v>
      </c>
      <c r="G43">
        <v>1</v>
      </c>
      <c r="H43" t="s">
        <v>524</v>
      </c>
      <c r="I43" t="s">
        <v>12</v>
      </c>
      <c r="J43" t="s">
        <v>509</v>
      </c>
      <c r="K43">
        <v>18</v>
      </c>
      <c r="L43">
        <v>22</v>
      </c>
      <c r="M43">
        <v>18</v>
      </c>
      <c r="N43">
        <v>4</v>
      </c>
      <c r="O43">
        <v>4</v>
      </c>
      <c r="P43">
        <v>25</v>
      </c>
      <c r="Q43">
        <v>20</v>
      </c>
      <c r="R43">
        <v>18</v>
      </c>
      <c r="S43">
        <v>1</v>
      </c>
      <c r="T43" t="s">
        <v>289</v>
      </c>
      <c r="U43">
        <v>2</v>
      </c>
      <c r="V43" s="2" t="s">
        <v>656</v>
      </c>
      <c r="W43" s="2"/>
      <c r="X43" s="2"/>
      <c r="Y43" s="2"/>
      <c r="Z43" s="2"/>
      <c r="AA43" s="2"/>
      <c r="AB43" s="2"/>
      <c r="AC43" s="2"/>
      <c r="AD43" s="2"/>
      <c r="AE43" s="2"/>
      <c r="AM43">
        <v>5</v>
      </c>
      <c r="AP43" s="2">
        <f>(SQRT(K43*R43)*POWER((MIN(M43,20)+SQRT(MAX(M43-20,0))),0.9)*Data!$B$1)*(1-(S43-1))</f>
        <v>18.200319967441867</v>
      </c>
      <c r="AQ43" s="2"/>
      <c r="AR43" s="2">
        <f>((POWER((K43*K43*R43), 0.33)*LOG10(P43)*10*Data!$B$1)*S43)+AQ43</f>
        <v>18.334521407397293</v>
      </c>
      <c r="AS43" s="2">
        <f t="shared" ref="AS43" si="20">K43/1.24</f>
        <v>14.516129032258064</v>
      </c>
      <c r="AT43" s="2">
        <f t="shared" si="19"/>
        <v>0</v>
      </c>
      <c r="AV43" s="2">
        <v>1</v>
      </c>
      <c r="AW43" s="2">
        <v>1</v>
      </c>
      <c r="AX43" s="2">
        <f t="shared" ref="AX43" si="21">R43/AW43</f>
        <v>18</v>
      </c>
      <c r="AY43" s="2">
        <f t="shared" ref="AY43" si="22">(R43)/MAX(AV43-1, 1)</f>
        <v>18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510</v>
      </c>
      <c r="B44" t="s">
        <v>511</v>
      </c>
      <c r="C44" t="s">
        <v>292</v>
      </c>
      <c r="D44">
        <f>IF(E44 &gt; 2020, ((E44-2020)*4)+1610+G44,IF(E44 &gt; 1900, ((E44-1900)*10)+400+G44, ((E44-1730)*2)+G44))+VLOOKUP(I44,'ID Scheme'!$A$2:$B$7,2, FALSE)</f>
        <v>939</v>
      </c>
      <c r="E44">
        <v>1899</v>
      </c>
      <c r="F44">
        <v>2</v>
      </c>
      <c r="G44">
        <v>1</v>
      </c>
      <c r="H44" t="s">
        <v>524</v>
      </c>
      <c r="I44" t="s">
        <v>12</v>
      </c>
      <c r="J44" t="s">
        <v>502</v>
      </c>
      <c r="K44">
        <v>20</v>
      </c>
      <c r="L44">
        <v>22</v>
      </c>
      <c r="M44">
        <v>14</v>
      </c>
      <c r="N44">
        <v>4</v>
      </c>
      <c r="O44">
        <v>5</v>
      </c>
      <c r="P44">
        <v>25</v>
      </c>
      <c r="Q44">
        <v>20</v>
      </c>
      <c r="R44">
        <v>24</v>
      </c>
      <c r="S44">
        <v>1</v>
      </c>
      <c r="T44" t="s">
        <v>290</v>
      </c>
      <c r="U44">
        <v>3</v>
      </c>
      <c r="V44" s="2" t="s">
        <v>512</v>
      </c>
      <c r="W44" s="2"/>
      <c r="X44" s="2"/>
      <c r="Y44" s="2"/>
      <c r="Z44" s="2"/>
      <c r="AA44" s="2"/>
      <c r="AB44" s="2"/>
      <c r="AC44" s="2"/>
      <c r="AD44" s="2"/>
      <c r="AE44" s="2"/>
      <c r="AM44">
        <v>7</v>
      </c>
      <c r="AP44" s="2">
        <f>(SQRT(K44*R44)*POWER((MIN(M44,20)+SQRT(MAX(M44-20,0))),0.9)*Data!$B$1)*(1-(S44-1))</f>
        <v>17.668395580782125</v>
      </c>
      <c r="AQ44" s="2"/>
      <c r="AR44" s="2">
        <f>((POWER((K44*K44*R44), 0.33)*LOG10(P44)*10*Data!$B$1)*S44)+AQ44</f>
        <v>21.612216267307918</v>
      </c>
      <c r="AS44" s="2">
        <f t="shared" si="15"/>
        <v>16.129032258064516</v>
      </c>
      <c r="AT44" s="2">
        <f t="shared" ref="AT44" si="23">AF44/1.24</f>
        <v>0</v>
      </c>
      <c r="AV44" s="2">
        <v>1</v>
      </c>
      <c r="AW44" s="2">
        <v>1</v>
      </c>
      <c r="AX44" s="2">
        <f t="shared" si="17"/>
        <v>24</v>
      </c>
      <c r="AY44" s="2">
        <f t="shared" si="18"/>
        <v>24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24</v>
      </c>
      <c r="B45" t="s">
        <v>165</v>
      </c>
      <c r="C45" t="s">
        <v>292</v>
      </c>
      <c r="D45">
        <f>IF(E45 &gt; 2020, ((E45-2020)*4)+1610+G45,IF(E45 &gt; 1900, ((E45-1900)*10)+400+G45, ((E45-1730)*2)+G45))+VLOOKUP(I45,'ID Scheme'!$A$2:$B$7,2, FALSE)</f>
        <v>1111</v>
      </c>
      <c r="E45">
        <v>1911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22</v>
      </c>
      <c r="L45">
        <v>20</v>
      </c>
      <c r="M45">
        <v>15</v>
      </c>
      <c r="N45">
        <v>5</v>
      </c>
      <c r="O45">
        <v>5</v>
      </c>
      <c r="P45">
        <v>30</v>
      </c>
      <c r="Q45">
        <v>20</v>
      </c>
      <c r="R45">
        <v>36</v>
      </c>
      <c r="S45">
        <v>1</v>
      </c>
      <c r="T45" t="s">
        <v>290</v>
      </c>
      <c r="U45">
        <v>3</v>
      </c>
      <c r="V45" s="2" t="s">
        <v>275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24.149380110174171</v>
      </c>
      <c r="AQ45" s="2"/>
      <c r="AR45" s="2">
        <f>((POWER((K45*K45*R45), 0.33)*LOG10(P45)*10*Data!$B$1)*S45)+AQ45</f>
        <v>27.800730349293211</v>
      </c>
      <c r="AS45" s="2">
        <f t="shared" si="15"/>
        <v>17.741935483870968</v>
      </c>
      <c r="AT45" s="2">
        <f t="shared" si="19"/>
        <v>0</v>
      </c>
      <c r="AV45" s="2">
        <v>1</v>
      </c>
      <c r="AW45" s="2">
        <v>1</v>
      </c>
      <c r="AX45" s="2">
        <f t="shared" si="17"/>
        <v>36</v>
      </c>
      <c r="AY45" s="2">
        <f t="shared" si="18"/>
        <v>36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93</v>
      </c>
      <c r="B46" t="s">
        <v>166</v>
      </c>
      <c r="C46" t="s">
        <v>292</v>
      </c>
      <c r="D46">
        <f>IF(E46 &gt; 2020, ((E46-2020)*4)+1610+G46,IF(E46 &gt; 1900, ((E46-1900)*10)+400+G46, ((E46-1730)*2)+G46))+VLOOKUP(I46,'ID Scheme'!$A$2:$B$7,2, FALSE)</f>
        <v>1201</v>
      </c>
      <c r="E46">
        <v>1920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22</v>
      </c>
      <c r="L46">
        <v>20</v>
      </c>
      <c r="M46">
        <v>16</v>
      </c>
      <c r="N46">
        <v>5</v>
      </c>
      <c r="O46">
        <v>5</v>
      </c>
      <c r="P46">
        <v>30</v>
      </c>
      <c r="Q46">
        <v>20</v>
      </c>
      <c r="R46">
        <v>54</v>
      </c>
      <c r="S46">
        <v>1</v>
      </c>
      <c r="T46" t="s">
        <v>290</v>
      </c>
      <c r="U46">
        <v>3</v>
      </c>
      <c r="V46" s="2" t="s">
        <v>291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31.345663574572221</v>
      </c>
      <c r="AQ46" s="2"/>
      <c r="AR46" s="2">
        <f>((POWER((K46*K46*R46), 0.33)*LOG10(P46)*10*Data!$B$1)*S46)+AQ46</f>
        <v>31.780909444617688</v>
      </c>
      <c r="AS46" s="2">
        <f t="shared" si="15"/>
        <v>17.741935483870968</v>
      </c>
      <c r="AT46" s="2">
        <f t="shared" ref="AT46:AT48" si="24">AF46/1.24</f>
        <v>0</v>
      </c>
      <c r="AV46" s="2">
        <v>1</v>
      </c>
      <c r="AW46" s="2">
        <v>1</v>
      </c>
      <c r="AX46" s="2">
        <f t="shared" si="17"/>
        <v>54</v>
      </c>
      <c r="AY46" s="2">
        <f t="shared" si="18"/>
        <v>54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505</v>
      </c>
      <c r="B47" t="s">
        <v>506</v>
      </c>
      <c r="C47" t="s">
        <v>286</v>
      </c>
      <c r="D47">
        <f>IF(E47 &gt; 2020, ((E47-2020)*4)+1610+G47,IF(E47 &gt; 1900, ((E47-1900)*10)+400+G47, ((E47-1730)*2)+G47))+VLOOKUP(I47,'ID Scheme'!$A$2:$B$7,2, FALSE)</f>
        <v>1261</v>
      </c>
      <c r="E47">
        <v>1926</v>
      </c>
      <c r="F47">
        <v>12</v>
      </c>
      <c r="G47">
        <v>1</v>
      </c>
      <c r="H47" t="s">
        <v>524</v>
      </c>
      <c r="I47" t="s">
        <v>12</v>
      </c>
      <c r="J47" t="s">
        <v>507</v>
      </c>
      <c r="K47">
        <v>30</v>
      </c>
      <c r="L47">
        <v>40</v>
      </c>
      <c r="M47">
        <v>18</v>
      </c>
      <c r="N47">
        <v>5</v>
      </c>
      <c r="O47">
        <v>5</v>
      </c>
      <c r="P47">
        <v>60</v>
      </c>
      <c r="Q47">
        <v>20</v>
      </c>
      <c r="R47">
        <v>48</v>
      </c>
      <c r="S47">
        <v>1</v>
      </c>
      <c r="T47" t="s">
        <v>366</v>
      </c>
      <c r="U47">
        <v>3</v>
      </c>
      <c r="V47" s="2" t="s">
        <v>508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38.369643493971942</v>
      </c>
      <c r="AQ47" s="2"/>
      <c r="AR47" s="2">
        <f>((POWER((K47*K47*R47), 0.33)*LOG10(P47)*10*Data!$B$1)*S47)+AQ47</f>
        <v>45.158509516285143</v>
      </c>
      <c r="AS47" s="2">
        <f t="shared" si="15"/>
        <v>24.193548387096776</v>
      </c>
      <c r="AT47" s="2">
        <f t="shared" si="24"/>
        <v>0</v>
      </c>
      <c r="AV47" s="2">
        <v>1</v>
      </c>
      <c r="AW47" s="2">
        <v>1</v>
      </c>
      <c r="AX47" s="2">
        <f t="shared" si="17"/>
        <v>48</v>
      </c>
      <c r="AY47" s="2">
        <f t="shared" si="18"/>
        <v>48</v>
      </c>
      <c r="AZ47" s="3">
        <v>11</v>
      </c>
      <c r="BA47" s="3">
        <v>2.5</v>
      </c>
      <c r="BB47" s="3">
        <v>3.8</v>
      </c>
      <c r="BC47" s="2" t="str">
        <f>CONCATENATE(
ROUND(AZ47*VLOOKUP(I47,'ID Scheme'!$A$2:$E$7,3),0), "x",
ROUND(BA47*VLOOKUP(I47,'ID Scheme'!$A$2:$E$7,5),0), "x",
ROUND(BB47*VLOOKUP(I47,'ID Scheme'!$A$2:$E$7,4),0))</f>
        <v>103x36x37</v>
      </c>
    </row>
    <row r="48" spans="1:55" ht="14.25" customHeight="1" x14ac:dyDescent="0.25">
      <c r="A48" t="s">
        <v>44</v>
      </c>
      <c r="B48" t="s">
        <v>168</v>
      </c>
      <c r="C48" t="s">
        <v>286</v>
      </c>
      <c r="D48">
        <f>IF(E48 &gt; 2020, ((E48-2020)*4)+1610+G48,IF(E48 &gt; 1900, ((E48-1900)*10)+400+G48, ((E48-1730)*2)+G48))+VLOOKUP(I48,'ID Scheme'!$A$2:$B$7,2, FALSE)</f>
        <v>1271</v>
      </c>
      <c r="E48">
        <v>1927</v>
      </c>
      <c r="F48">
        <v>3</v>
      </c>
      <c r="G48">
        <v>1</v>
      </c>
      <c r="H48" t="s">
        <v>524</v>
      </c>
      <c r="I48" t="s">
        <v>12</v>
      </c>
      <c r="J48" t="s">
        <v>502</v>
      </c>
      <c r="K48">
        <v>42</v>
      </c>
      <c r="L48">
        <v>20</v>
      </c>
      <c r="M48">
        <v>17</v>
      </c>
      <c r="N48">
        <v>4</v>
      </c>
      <c r="O48">
        <v>5</v>
      </c>
      <c r="P48">
        <v>94</v>
      </c>
      <c r="Q48">
        <v>20</v>
      </c>
      <c r="R48">
        <v>35</v>
      </c>
      <c r="S48">
        <v>1</v>
      </c>
      <c r="T48" t="s">
        <v>290</v>
      </c>
      <c r="U48">
        <v>3</v>
      </c>
      <c r="V48" s="2" t="s">
        <v>313</v>
      </c>
      <c r="W48" s="2"/>
      <c r="X48" s="2"/>
      <c r="Y48" s="2"/>
      <c r="Z48" s="2"/>
      <c r="AA48" s="2"/>
      <c r="AB48" s="2"/>
      <c r="AC48" s="2"/>
      <c r="AD48" s="2"/>
      <c r="AE48" s="2"/>
      <c r="AM48">
        <v>8</v>
      </c>
      <c r="AP48" s="2">
        <f>(SQRT(K48*R48)*POWER((MIN(M48,20)+SQRT(MAX(M48-20,0))),0.9)*Data!$B$1)*(1-(S48-1))</f>
        <v>36.82340631265253</v>
      </c>
      <c r="AQ48" s="2"/>
      <c r="AR48" s="2">
        <f>((POWER((K48*K48*R48), 0.33)*LOG10(P48)*10*Data!$B$1)*S48)+AQ48</f>
        <v>56.377196674747736</v>
      </c>
      <c r="AS48" s="2">
        <f t="shared" si="15"/>
        <v>33.870967741935488</v>
      </c>
      <c r="AT48" s="2">
        <f t="shared" si="24"/>
        <v>0</v>
      </c>
      <c r="AV48" s="2">
        <v>1</v>
      </c>
      <c r="AW48" s="2">
        <v>1</v>
      </c>
      <c r="AX48" s="2">
        <f t="shared" si="17"/>
        <v>35</v>
      </c>
      <c r="AY48" s="2">
        <f t="shared" si="18"/>
        <v>35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26</v>
      </c>
      <c r="B49" t="s">
        <v>163</v>
      </c>
      <c r="C49" t="s">
        <v>286</v>
      </c>
      <c r="D49">
        <f>IF(E49 &gt; 2020, ((E49-2020)*4)+1610+G49,IF(E49 &gt; 1900, ((E49-1900)*10)+400+G49, ((E49-1730)*2)+G49))+VLOOKUP(I49,'ID Scheme'!$A$2:$B$7,2, FALSE)</f>
        <v>1291</v>
      </c>
      <c r="E49">
        <v>1929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29</v>
      </c>
      <c r="L49">
        <v>20</v>
      </c>
      <c r="M49">
        <v>20</v>
      </c>
      <c r="N49">
        <v>7</v>
      </c>
      <c r="O49">
        <v>7</v>
      </c>
      <c r="P49">
        <v>90</v>
      </c>
      <c r="Q49">
        <v>20</v>
      </c>
      <c r="R49">
        <v>50</v>
      </c>
      <c r="S49">
        <v>1</v>
      </c>
      <c r="T49" t="s">
        <v>290</v>
      </c>
      <c r="U49">
        <v>3</v>
      </c>
      <c r="V49" s="2" t="s">
        <v>312</v>
      </c>
      <c r="W49" s="2"/>
      <c r="X49" s="2"/>
      <c r="Y49" s="2"/>
      <c r="Z49" s="2"/>
      <c r="AA49" s="2"/>
      <c r="AB49" s="2"/>
      <c r="AC49" s="2"/>
      <c r="AD49" s="2"/>
      <c r="AE49" s="2"/>
      <c r="AM49">
        <v>8</v>
      </c>
      <c r="AP49" s="2">
        <f>(SQRT(K49*R49)*POWER((MIN(M49,20)+SQRT(MAX(M49-20,0))),0.9)*Data!$B$1)*(1-(S49-1))</f>
        <v>42.332338540034662</v>
      </c>
      <c r="AQ49" s="2"/>
      <c r="AR49" s="2">
        <f>((POWER((K49*K49*R49), 0.33)*LOG10(P49)*10*Data!$B$1)*S49)+AQ49</f>
        <v>49.190642990058024</v>
      </c>
      <c r="AS49" s="2">
        <f t="shared" si="15"/>
        <v>23.387096774193548</v>
      </c>
      <c r="AT49" s="2">
        <f t="shared" si="19"/>
        <v>0</v>
      </c>
      <c r="AV49" s="2">
        <v>1</v>
      </c>
      <c r="AW49" s="2">
        <v>1</v>
      </c>
      <c r="AX49" s="2">
        <f t="shared" si="17"/>
        <v>50</v>
      </c>
      <c r="AY49" s="2">
        <f t="shared" si="18"/>
        <v>50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47</v>
      </c>
      <c r="B50" t="s">
        <v>167</v>
      </c>
      <c r="C50" t="s">
        <v>286</v>
      </c>
      <c r="D50">
        <f>IF(E50 &gt; 2020, ((E50-2020)*4)+1610+G50,IF(E50 &gt; 1900, ((E50-1900)*10)+400+G50, ((E50-1730)*2)+G50))+VLOOKUP(I50,'ID Scheme'!$A$2:$B$7,2, FALSE)</f>
        <v>1311</v>
      </c>
      <c r="E50">
        <v>1931</v>
      </c>
      <c r="F50">
        <v>1</v>
      </c>
      <c r="G50">
        <v>1</v>
      </c>
      <c r="H50" t="s">
        <v>524</v>
      </c>
      <c r="I50" t="s">
        <v>12</v>
      </c>
      <c r="J50" t="s">
        <v>502</v>
      </c>
      <c r="K50">
        <v>36</v>
      </c>
      <c r="L50">
        <v>18</v>
      </c>
      <c r="M50">
        <v>19</v>
      </c>
      <c r="N50">
        <v>5</v>
      </c>
      <c r="O50">
        <v>5</v>
      </c>
      <c r="P50">
        <v>100</v>
      </c>
      <c r="Q50">
        <v>20</v>
      </c>
      <c r="R50">
        <v>32</v>
      </c>
      <c r="S50">
        <v>1</v>
      </c>
      <c r="T50" t="s">
        <v>289</v>
      </c>
      <c r="U50">
        <v>-3</v>
      </c>
      <c r="V50" s="2" t="s">
        <v>311</v>
      </c>
      <c r="W50" s="2"/>
      <c r="X50" s="2"/>
      <c r="Y50" s="2"/>
      <c r="Z50" s="2"/>
      <c r="AA50" s="2"/>
      <c r="AB50" s="2"/>
      <c r="AC50" s="2"/>
      <c r="AD50" s="2"/>
      <c r="AE50" s="2"/>
      <c r="AM50">
        <v>7</v>
      </c>
      <c r="AP50" s="2">
        <f>(SQRT(K50*R50)*POWER((MIN(M50,20)+SQRT(MAX(M50-20,0))),0.9)*Data!$B$1)*(1-(S50-1))</f>
        <v>36.030122922747744</v>
      </c>
      <c r="AQ50" s="2"/>
      <c r="AR50" s="2">
        <f>((POWER((K50*K50*R50), 0.33)*LOG10(P50)*10*Data!$B$1)*S50)+AQ50</f>
        <v>50.112999997180935</v>
      </c>
      <c r="AS50" s="2">
        <f t="shared" si="15"/>
        <v>29.032258064516128</v>
      </c>
      <c r="AT50" s="2">
        <f t="shared" si="19"/>
        <v>0</v>
      </c>
      <c r="AV50" s="2">
        <v>1</v>
      </c>
      <c r="AW50" s="2">
        <v>1</v>
      </c>
      <c r="AX50" s="2">
        <f t="shared" si="17"/>
        <v>32</v>
      </c>
      <c r="AY50" s="2">
        <f t="shared" si="18"/>
        <v>32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43</v>
      </c>
      <c r="B51" t="s">
        <v>169</v>
      </c>
      <c r="C51" t="s">
        <v>286</v>
      </c>
      <c r="D51">
        <f>IF(E51 &gt; 2020, ((E51-2020)*4)+1610+G51,IF(E51 &gt; 1900, ((E51-1900)*10)+400+G51, ((E51-1730)*2)+G51))+VLOOKUP(I51,'ID Scheme'!$A$2:$B$7,2, FALSE)</f>
        <v>1331</v>
      </c>
      <c r="E51">
        <v>1933</v>
      </c>
      <c r="F51">
        <v>1</v>
      </c>
      <c r="G51">
        <v>1</v>
      </c>
      <c r="H51" t="s">
        <v>524</v>
      </c>
      <c r="I51" t="s">
        <v>12</v>
      </c>
      <c r="J51" t="s">
        <v>502</v>
      </c>
      <c r="K51">
        <v>40</v>
      </c>
      <c r="L51">
        <v>20</v>
      </c>
      <c r="M51">
        <v>16</v>
      </c>
      <c r="N51">
        <v>4</v>
      </c>
      <c r="O51">
        <v>6</v>
      </c>
      <c r="P51">
        <v>102</v>
      </c>
      <c r="Q51">
        <v>20</v>
      </c>
      <c r="R51">
        <v>44</v>
      </c>
      <c r="S51">
        <v>1</v>
      </c>
      <c r="T51" t="s">
        <v>290</v>
      </c>
      <c r="U51">
        <v>3</v>
      </c>
      <c r="V51" s="2" t="s">
        <v>310</v>
      </c>
      <c r="W51" s="2"/>
      <c r="X51" s="2"/>
      <c r="Y51" s="2"/>
      <c r="Z51" s="2"/>
      <c r="AA51" s="2"/>
      <c r="AB51" s="2"/>
      <c r="AC51" s="2"/>
      <c r="AD51" s="2"/>
      <c r="AE51" s="2"/>
      <c r="AM51">
        <v>8</v>
      </c>
      <c r="AP51" s="2">
        <f>(SQRT(K51*R51)*POWER((MIN(M51,20)+SQRT(MAX(M51-20,0))),0.9)*Data!$B$1)*(1-(S51-1))</f>
        <v>38.152726710580495</v>
      </c>
      <c r="AQ51" s="2"/>
      <c r="AR51" s="2">
        <f>((POWER((K51*K51*R51), 0.33)*LOG10(P51)*10*Data!$B$1)*S51)+AQ51</f>
        <v>59.931305258252422</v>
      </c>
      <c r="AS51" s="2">
        <f t="shared" si="15"/>
        <v>32.258064516129032</v>
      </c>
      <c r="AT51" s="2">
        <f t="shared" si="19"/>
        <v>0</v>
      </c>
      <c r="AV51" s="2">
        <v>1</v>
      </c>
      <c r="AW51" s="2">
        <v>1</v>
      </c>
      <c r="AX51" s="2">
        <f t="shared" si="17"/>
        <v>44</v>
      </c>
      <c r="AY51" s="2">
        <f t="shared" si="18"/>
        <v>44</v>
      </c>
      <c r="AZ51" s="3"/>
      <c r="BA51" s="3"/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101</v>
      </c>
      <c r="B52" t="s">
        <v>170</v>
      </c>
      <c r="C52" t="s">
        <v>286</v>
      </c>
      <c r="D52">
        <f>IF(E52 &gt; 2020, ((E52-2020)*4)+1610+G52,IF(E52 &gt; 1900, ((E52-1900)*10)+400+G52, ((E52-1730)*2)+G52))+VLOOKUP(I52,'ID Scheme'!$A$2:$B$7,2, FALSE)</f>
        <v>1332</v>
      </c>
      <c r="E52">
        <v>1933</v>
      </c>
      <c r="F52">
        <v>3</v>
      </c>
      <c r="G52">
        <v>2</v>
      </c>
      <c r="H52" t="s">
        <v>524</v>
      </c>
      <c r="I52" t="s">
        <v>12</v>
      </c>
      <c r="J52" t="s">
        <v>502</v>
      </c>
      <c r="K52">
        <v>48</v>
      </c>
      <c r="L52">
        <v>25</v>
      </c>
      <c r="M52">
        <v>15</v>
      </c>
      <c r="N52">
        <v>5</v>
      </c>
      <c r="O52">
        <v>4</v>
      </c>
      <c r="P52">
        <v>90</v>
      </c>
      <c r="Q52">
        <v>20</v>
      </c>
      <c r="R52">
        <v>20</v>
      </c>
      <c r="S52">
        <v>1</v>
      </c>
      <c r="T52" t="s">
        <v>290</v>
      </c>
      <c r="U52">
        <v>0</v>
      </c>
      <c r="V52" s="2" t="s">
        <v>309</v>
      </c>
      <c r="W52" s="2"/>
      <c r="X52" s="2"/>
      <c r="Y52" s="2"/>
      <c r="Z52" s="2"/>
      <c r="AA52" s="2"/>
      <c r="AB52" s="2"/>
      <c r="AC52" s="2"/>
      <c r="AD52" s="2"/>
      <c r="AE52" s="2"/>
      <c r="AM52">
        <v>6</v>
      </c>
      <c r="AP52" s="2">
        <f>(SQRT(K52*R52)*POWER((MIN(M52,20)+SQRT(MAX(M52-20,0))),0.9)*Data!$B$1)*(1-(S52-1))</f>
        <v>26.587592451565005</v>
      </c>
      <c r="AQ52" s="2"/>
      <c r="AR52" s="2">
        <f>((POWER((K52*K52*R52), 0.33)*LOG10(P52)*10*Data!$B$1)*S52)+AQ52</f>
        <v>50.698934782631881</v>
      </c>
      <c r="AS52" s="2">
        <f t="shared" si="15"/>
        <v>38.70967741935484</v>
      </c>
      <c r="AT52" s="2">
        <f t="shared" si="19"/>
        <v>0</v>
      </c>
      <c r="AV52" s="2">
        <v>1</v>
      </c>
      <c r="AW52" s="2">
        <v>1</v>
      </c>
      <c r="AX52" s="2">
        <f t="shared" si="17"/>
        <v>20</v>
      </c>
      <c r="AY52" s="2">
        <f t="shared" si="18"/>
        <v>20</v>
      </c>
      <c r="BB52" s="3"/>
      <c r="BC52" s="2" t="str">
        <f>CONCATENATE(
ROUND(AZ52*VLOOKUP(I52,'ID Scheme'!$A$2:$E$7,3),0), "x",
ROUND(BA52*VLOOKUP(I52,'ID Scheme'!$A$2:$E$7,5),0), "x",
ROUND(BB52*VLOOKUP(I52,'ID Scheme'!$A$2:$E$7,4),0))</f>
        <v>0x0x0</v>
      </c>
    </row>
    <row r="53" spans="1:56" x14ac:dyDescent="0.25">
      <c r="A53" t="s">
        <v>92</v>
      </c>
      <c r="B53" t="s">
        <v>171</v>
      </c>
      <c r="C53" t="s">
        <v>286</v>
      </c>
      <c r="D53">
        <f>IF(E53 &gt; 2020, ((E53-2020)*4)+1610+G53,IF(E53 &gt; 1900, ((E53-1900)*10)+400+G53, ((E53-1730)*2)+G53))+VLOOKUP(I53,'ID Scheme'!$A$2:$B$7,2, FALSE)</f>
        <v>1371</v>
      </c>
      <c r="E53">
        <v>1937</v>
      </c>
      <c r="F53">
        <v>1</v>
      </c>
      <c r="G53">
        <v>1</v>
      </c>
      <c r="H53" t="s">
        <v>524</v>
      </c>
      <c r="I53" t="s">
        <v>12</v>
      </c>
      <c r="J53" t="s">
        <v>502</v>
      </c>
      <c r="K53">
        <v>44</v>
      </c>
      <c r="L53">
        <v>15</v>
      </c>
      <c r="M53">
        <v>15</v>
      </c>
      <c r="N53">
        <v>4</v>
      </c>
      <c r="O53">
        <v>5</v>
      </c>
      <c r="P53">
        <v>100</v>
      </c>
      <c r="Q53">
        <v>20</v>
      </c>
      <c r="R53">
        <v>38</v>
      </c>
      <c r="S53">
        <v>1</v>
      </c>
      <c r="T53" t="s">
        <v>290</v>
      </c>
      <c r="U53">
        <v>1</v>
      </c>
      <c r="V53" s="2" t="s">
        <v>308</v>
      </c>
      <c r="W53" s="2"/>
      <c r="X53" s="2"/>
      <c r="Y53" s="2"/>
      <c r="Z53" s="2"/>
      <c r="AA53" s="2"/>
      <c r="AB53" s="2"/>
      <c r="AC53" s="2"/>
      <c r="AD53" s="2"/>
      <c r="AE53" s="2"/>
      <c r="AM53">
        <v>7</v>
      </c>
      <c r="AP53" s="2">
        <f>(SQRT(K53*R53)*POWER((MIN(M53,20)+SQRT(MAX(M53-20,0))),0.9)*Data!$B$1)*(1-(S53-1))</f>
        <v>35.088235816466785</v>
      </c>
      <c r="AQ53" s="2"/>
      <c r="AR53" s="2">
        <f>((POWER((K53*K53*R53), 0.33)*LOG10(P53)*10*Data!$B$1)*S53)+AQ53</f>
        <v>60.547834117089934</v>
      </c>
      <c r="AS53" s="2">
        <f t="shared" si="15"/>
        <v>35.483870967741936</v>
      </c>
      <c r="AT53" s="2">
        <f t="shared" si="19"/>
        <v>0</v>
      </c>
      <c r="AV53" s="2">
        <v>1</v>
      </c>
      <c r="AW53" s="2">
        <v>1</v>
      </c>
      <c r="AX53" s="2">
        <f t="shared" si="17"/>
        <v>38</v>
      </c>
      <c r="AY53" s="2">
        <f t="shared" si="18"/>
        <v>38</v>
      </c>
      <c r="AZ53" s="3">
        <v>8.4</v>
      </c>
      <c r="BA53" s="3">
        <v>2.4</v>
      </c>
      <c r="BB53" s="3">
        <v>2.6</v>
      </c>
      <c r="BC53" s="2" t="str">
        <f>CONCATENATE(
ROUND(AZ53*VLOOKUP(I53,'ID Scheme'!$A$2:$E$7,3),0), "x",
ROUND(BA53*VLOOKUP(I53,'ID Scheme'!$A$2:$E$7,5),0), "x",
ROUND(BB53*VLOOKUP(I53,'ID Scheme'!$A$2:$E$7,4),0))</f>
        <v>78x35x25</v>
      </c>
    </row>
    <row r="54" spans="1:56" x14ac:dyDescent="0.25">
      <c r="A54" t="s">
        <v>27</v>
      </c>
      <c r="B54" t="s">
        <v>162</v>
      </c>
      <c r="C54" t="s">
        <v>286</v>
      </c>
      <c r="D54">
        <f>IF(E54 &gt; 2020, ((E54-2020)*4)+1610+G54,IF(E54 &gt; 1900, ((E54-1900)*10)+400+G54, ((E54-1730)*2)+G54))+VLOOKUP(I54,'ID Scheme'!$A$2:$B$7,2, FALSE)</f>
        <v>1451</v>
      </c>
      <c r="E54">
        <v>1945</v>
      </c>
      <c r="F54">
        <v>9</v>
      </c>
      <c r="G54">
        <v>1</v>
      </c>
      <c r="H54" t="s">
        <v>524</v>
      </c>
      <c r="I54" t="s">
        <v>12</v>
      </c>
      <c r="J54" t="s">
        <v>502</v>
      </c>
      <c r="K54">
        <v>38</v>
      </c>
      <c r="L54">
        <v>20</v>
      </c>
      <c r="M54">
        <v>20</v>
      </c>
      <c r="N54">
        <v>7</v>
      </c>
      <c r="O54">
        <v>7</v>
      </c>
      <c r="P54">
        <v>115</v>
      </c>
      <c r="Q54">
        <v>20</v>
      </c>
      <c r="R54">
        <v>57</v>
      </c>
      <c r="S54">
        <v>1</v>
      </c>
      <c r="T54" t="s">
        <v>290</v>
      </c>
      <c r="U54">
        <v>3</v>
      </c>
      <c r="V54" s="2" t="s">
        <v>307</v>
      </c>
      <c r="W54" s="2"/>
      <c r="X54" s="2"/>
      <c r="Y54" s="2"/>
      <c r="Z54" s="2"/>
      <c r="AA54" s="2"/>
      <c r="AB54" s="2"/>
      <c r="AC54" s="2"/>
      <c r="AD54" s="2"/>
      <c r="AE54" s="2"/>
      <c r="AM54">
        <v>8</v>
      </c>
      <c r="AP54" s="2">
        <f>(SQRT(K54*R54)*POWER((MIN(M54,20)+SQRT(MAX(M54-20,0))),0.9)*Data!$B$1)*(1-(S54-1))</f>
        <v>51.738935086655786</v>
      </c>
      <c r="AQ54" s="2"/>
      <c r="AR54" s="2">
        <f>((POWER((K54*K54*R54), 0.33)*LOG10(P54)*10*Data!$B$1)*S54)+AQ54</f>
        <v>64.739815215748749</v>
      </c>
      <c r="AS54" s="2">
        <f t="shared" si="15"/>
        <v>30.64516129032258</v>
      </c>
      <c r="AT54" s="2">
        <f t="shared" si="19"/>
        <v>0</v>
      </c>
      <c r="AV54" s="2">
        <v>1</v>
      </c>
      <c r="AW54" s="2">
        <v>1</v>
      </c>
      <c r="AX54" s="2">
        <f t="shared" si="17"/>
        <v>57</v>
      </c>
      <c r="AY54" s="2">
        <f t="shared" si="18"/>
        <v>57</v>
      </c>
      <c r="AZ54" s="3"/>
      <c r="BA54" s="3"/>
      <c r="BB54" s="3"/>
      <c r="BC54" s="2" t="str">
        <f>CONCATENATE(
ROUND(AZ54*VLOOKUP(I54,'ID Scheme'!$A$2:$E$7,3),0), "x",
ROUND(BA54*VLOOKUP(I54,'ID Scheme'!$A$2:$E$7,5),0), "x",
ROUND(BB54*VLOOKUP(I54,'ID Scheme'!$A$2:$E$7,4),0))</f>
        <v>0x0x0</v>
      </c>
    </row>
    <row r="55" spans="1:56" x14ac:dyDescent="0.25">
      <c r="A55" t="s">
        <v>86</v>
      </c>
      <c r="B55" t="s">
        <v>172</v>
      </c>
      <c r="C55" t="s">
        <v>286</v>
      </c>
      <c r="D55">
        <f>IF(E55 &gt; 2020, ((E55-2020)*4)+1610+G55,IF(E55 &gt; 1900, ((E55-1900)*10)+400+G55, ((E55-1730)*2)+G55))+VLOOKUP(I55,'ID Scheme'!$A$2:$B$7,2, FALSE)</f>
        <v>1491</v>
      </c>
      <c r="E55">
        <v>1949</v>
      </c>
      <c r="F55">
        <v>6</v>
      </c>
      <c r="G55">
        <v>1</v>
      </c>
      <c r="H55" t="s">
        <v>524</v>
      </c>
      <c r="I55" t="s">
        <v>12</v>
      </c>
      <c r="J55" t="s">
        <v>502</v>
      </c>
      <c r="K55">
        <v>42</v>
      </c>
      <c r="L55">
        <v>20</v>
      </c>
      <c r="M55">
        <v>18</v>
      </c>
      <c r="N55">
        <v>6</v>
      </c>
      <c r="O55">
        <v>6.5</v>
      </c>
      <c r="P55">
        <v>120</v>
      </c>
      <c r="Q55">
        <v>20</v>
      </c>
      <c r="R55">
        <v>58</v>
      </c>
      <c r="S55">
        <v>1</v>
      </c>
      <c r="T55" t="s">
        <v>290</v>
      </c>
      <c r="U55">
        <v>3</v>
      </c>
      <c r="V55" s="2" t="s">
        <v>293</v>
      </c>
      <c r="W55" s="2"/>
      <c r="X55" s="2"/>
      <c r="Y55" s="2"/>
      <c r="Z55" s="2"/>
      <c r="AA55" s="2"/>
      <c r="AB55" s="2"/>
      <c r="AC55" s="2"/>
      <c r="AD55" s="2"/>
      <c r="AE55" s="2"/>
      <c r="AM55">
        <v>7</v>
      </c>
      <c r="AP55" s="2">
        <f>(SQRT(K55*R55)*POWER((MIN(M55,20)+SQRT(MAX(M55-20,0))),0.9)*Data!$B$1)*(1-(S55-1))</f>
        <v>49.905126406384355</v>
      </c>
      <c r="AQ55" s="2"/>
      <c r="AR55" s="2">
        <f>((POWER((K55*K55*R55), 0.33)*LOG10(P55)*10*Data!$B$1)*S55)+AQ55</f>
        <v>70.182588528436455</v>
      </c>
      <c r="AS55" s="2">
        <f t="shared" si="15"/>
        <v>33.870967741935488</v>
      </c>
      <c r="AT55" s="2">
        <f t="shared" si="19"/>
        <v>0</v>
      </c>
      <c r="AV55" s="2">
        <v>1</v>
      </c>
      <c r="AW55" s="2">
        <v>1</v>
      </c>
      <c r="AX55" s="2">
        <f t="shared" si="17"/>
        <v>58</v>
      </c>
      <c r="AY55" s="2">
        <f t="shared" si="18"/>
        <v>58</v>
      </c>
      <c r="AZ55" s="3">
        <v>9.1</v>
      </c>
      <c r="BA55" s="3">
        <v>2.4</v>
      </c>
      <c r="BB55" s="3">
        <v>3.9</v>
      </c>
      <c r="BC55" s="2" t="str">
        <f>CONCATENATE(
ROUND(AZ55*VLOOKUP(I55,'ID Scheme'!$A$2:$E$7,3),0), "x",
ROUND(BA55*VLOOKUP(I55,'ID Scheme'!$A$2:$E$7,5),0), "x",
ROUND(BB55*VLOOKUP(I55,'ID Scheme'!$A$2:$E$7,4),0))</f>
        <v>85x35x38</v>
      </c>
      <c r="BD55" t="s">
        <v>87</v>
      </c>
    </row>
    <row r="56" spans="1:56" x14ac:dyDescent="0.25">
      <c r="A56" t="s">
        <v>583</v>
      </c>
      <c r="B56" t="s">
        <v>584</v>
      </c>
      <c r="C56" t="s">
        <v>286</v>
      </c>
      <c r="D56">
        <f>IF(E56 &gt; 2020, ((E56-2020)*4)+1610+G56,IF(E56 &gt; 1900, ((E56-1900)*10)+400+G56, ((E56-1730)*2)+G56))+VLOOKUP(I56,'ID Scheme'!$A$2:$B$7,2, FALSE)</f>
        <v>1502</v>
      </c>
      <c r="E56">
        <v>1950</v>
      </c>
      <c r="F56">
        <v>7</v>
      </c>
      <c r="G56">
        <v>2</v>
      </c>
      <c r="H56" t="s">
        <v>524</v>
      </c>
      <c r="I56" t="s">
        <v>12</v>
      </c>
      <c r="J56" t="s">
        <v>507</v>
      </c>
      <c r="K56">
        <v>30</v>
      </c>
      <c r="L56">
        <v>20</v>
      </c>
      <c r="M56">
        <v>17</v>
      </c>
      <c r="N56">
        <v>5</v>
      </c>
      <c r="O56">
        <v>5</v>
      </c>
      <c r="P56">
        <v>75</v>
      </c>
      <c r="Q56">
        <v>20</v>
      </c>
      <c r="R56">
        <v>56</v>
      </c>
      <c r="S56">
        <v>1</v>
      </c>
      <c r="T56" t="s">
        <v>366</v>
      </c>
      <c r="U56">
        <v>3</v>
      </c>
      <c r="V56" s="2" t="s">
        <v>585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39.365877210261296</v>
      </c>
      <c r="AQ56" s="2"/>
      <c r="AR56" s="2">
        <f>((POWER((K56*K56*R56), 0.33)*LOG10(P56)*10*Data!$B$1)*S56)+AQ56</f>
        <v>50.104738782023908</v>
      </c>
      <c r="AS56" s="2">
        <f t="shared" si="15"/>
        <v>24.193548387096776</v>
      </c>
      <c r="AT56" s="2">
        <f t="shared" ref="AT56" si="25">AF56/1.24</f>
        <v>0</v>
      </c>
      <c r="AV56" s="2">
        <v>1</v>
      </c>
      <c r="AW56" s="2">
        <v>1</v>
      </c>
      <c r="AX56" s="2">
        <f t="shared" si="17"/>
        <v>56</v>
      </c>
      <c r="AY56" s="2">
        <f t="shared" si="18"/>
        <v>56</v>
      </c>
      <c r="AZ56" s="3">
        <v>11</v>
      </c>
      <c r="BA56" s="3">
        <v>2.5</v>
      </c>
      <c r="BB56" s="3">
        <v>3.8</v>
      </c>
      <c r="BC56" s="2" t="str">
        <f>CONCATENATE(
ROUND(AZ56*VLOOKUP(I56,'ID Scheme'!$A$2:$E$7,3),0), "x",
ROUND(BA56*VLOOKUP(I56,'ID Scheme'!$A$2:$E$7,5),0), "x",
ROUND(BB56*VLOOKUP(I56,'ID Scheme'!$A$2:$E$7,4),0))</f>
        <v>103x36x37</v>
      </c>
    </row>
    <row r="57" spans="1:56" x14ac:dyDescent="0.25">
      <c r="A57" t="s">
        <v>85</v>
      </c>
      <c r="B57" t="s">
        <v>173</v>
      </c>
      <c r="C57" t="s">
        <v>286</v>
      </c>
      <c r="D57">
        <f>IF(E57 &gt; 2020, ((E57-2020)*4)+1610+G57,IF(E57 &gt; 1900, ((E57-1900)*10)+400+G57, ((E57-1730)*2)+G57))+VLOOKUP(I57,'ID Scheme'!$A$2:$B$7,2, FALSE)</f>
        <v>1501</v>
      </c>
      <c r="E57">
        <v>1950</v>
      </c>
      <c r="F57">
        <v>1</v>
      </c>
      <c r="G57">
        <v>1</v>
      </c>
      <c r="H57" t="s">
        <v>524</v>
      </c>
      <c r="I57" t="s">
        <v>12</v>
      </c>
      <c r="J57" t="s">
        <v>502</v>
      </c>
      <c r="K57">
        <v>45</v>
      </c>
      <c r="L57">
        <v>15</v>
      </c>
      <c r="M57">
        <v>17</v>
      </c>
      <c r="N57">
        <v>4</v>
      </c>
      <c r="O57">
        <v>5</v>
      </c>
      <c r="P57">
        <v>120</v>
      </c>
      <c r="Q57">
        <v>20</v>
      </c>
      <c r="R57">
        <v>42</v>
      </c>
      <c r="S57">
        <v>1</v>
      </c>
      <c r="T57" t="s">
        <v>290</v>
      </c>
      <c r="U57">
        <v>1</v>
      </c>
      <c r="V57" s="2" t="s">
        <v>294</v>
      </c>
      <c r="W57" s="2"/>
      <c r="X57" s="2"/>
      <c r="Y57" s="2"/>
      <c r="Z57" s="2"/>
      <c r="AA57" s="2"/>
      <c r="AB57" s="2"/>
      <c r="AC57" s="2"/>
      <c r="AD57" s="2"/>
      <c r="AE57" s="2"/>
      <c r="AM57">
        <v>7</v>
      </c>
      <c r="AP57" s="2">
        <f>(SQRT(K57*R57)*POWER((MIN(M57,20)+SQRT(MAX(M57-20,0))),0.9)*Data!$B$1)*(1-(S57-1))</f>
        <v>41.753818084099102</v>
      </c>
      <c r="AQ57" s="2"/>
      <c r="AR57" s="2">
        <f>((POWER((K57*K57*R57), 0.33)*LOG10(P57)*10*Data!$B$1)*S57)+AQ57</f>
        <v>66.030735917412429</v>
      </c>
      <c r="AS57" s="2">
        <f t="shared" si="15"/>
        <v>36.29032258064516</v>
      </c>
      <c r="AT57" s="2">
        <f t="shared" si="19"/>
        <v>0</v>
      </c>
      <c r="AV57" s="2">
        <v>1</v>
      </c>
      <c r="AW57" s="2">
        <v>1</v>
      </c>
      <c r="AX57" s="2">
        <f t="shared" si="17"/>
        <v>42</v>
      </c>
      <c r="AY57" s="2">
        <f t="shared" si="18"/>
        <v>42</v>
      </c>
      <c r="AZ57" s="3">
        <v>9.1</v>
      </c>
      <c r="BA57" s="3">
        <v>2.4</v>
      </c>
      <c r="BB57" s="3">
        <v>2.6</v>
      </c>
      <c r="BC57" s="2" t="str">
        <f>CONCATENATE(
ROUND(AZ57*VLOOKUP(I57,'ID Scheme'!$A$2:$E$7,3),0), "x",
ROUND(BA57*VLOOKUP(I57,'ID Scheme'!$A$2:$E$7,5),0), "x",
ROUND(BB57*VLOOKUP(I57,'ID Scheme'!$A$2:$E$7,4),0))</f>
        <v>85x35x25</v>
      </c>
      <c r="BD57" t="s">
        <v>87</v>
      </c>
    </row>
    <row r="58" spans="1:56" x14ac:dyDescent="0.25">
      <c r="A58" t="s">
        <v>28</v>
      </c>
      <c r="B58" t="s">
        <v>174</v>
      </c>
      <c r="C58" t="s">
        <v>286</v>
      </c>
      <c r="D58">
        <f>IF(E58 &gt; 2020, ((E58-2020)*4)+1610+G58,IF(E58 &gt; 1900, ((E58-1900)*10)+400+G58, ((E58-1730)*2)+G58))+VLOOKUP(I58,'ID Scheme'!$A$2:$B$7,2, FALSE)</f>
        <v>1541</v>
      </c>
      <c r="E58">
        <v>1954</v>
      </c>
      <c r="F58">
        <v>9</v>
      </c>
      <c r="G58">
        <v>1</v>
      </c>
      <c r="H58" t="s">
        <v>524</v>
      </c>
      <c r="I58" t="s">
        <v>12</v>
      </c>
      <c r="J58" t="s">
        <v>502</v>
      </c>
      <c r="K58">
        <v>40</v>
      </c>
      <c r="L58">
        <v>40</v>
      </c>
      <c r="M58">
        <v>25</v>
      </c>
      <c r="N58">
        <v>7</v>
      </c>
      <c r="O58">
        <v>7.5</v>
      </c>
      <c r="P58">
        <v>115</v>
      </c>
      <c r="Q58">
        <v>20</v>
      </c>
      <c r="R58">
        <v>72</v>
      </c>
      <c r="S58">
        <v>1</v>
      </c>
      <c r="T58" t="s">
        <v>290</v>
      </c>
      <c r="U58">
        <v>3</v>
      </c>
      <c r="V58" s="2" t="s">
        <v>306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65.631102684772316</v>
      </c>
      <c r="AQ58" s="2"/>
      <c r="AR58" s="2">
        <f>((POWER((K58*K58*R58), 0.33)*LOG10(P58)*10*Data!$B$1)*S58)+AQ58</f>
        <v>72.3360679145528</v>
      </c>
      <c r="AS58" s="2">
        <f t="shared" si="15"/>
        <v>32.258064516129032</v>
      </c>
      <c r="AT58" s="2">
        <f t="shared" si="19"/>
        <v>0</v>
      </c>
      <c r="AV58" s="2">
        <v>1</v>
      </c>
      <c r="AW58" s="2">
        <v>1</v>
      </c>
      <c r="AX58" s="2">
        <f t="shared" si="17"/>
        <v>72</v>
      </c>
      <c r="AY58" s="2">
        <f t="shared" si="18"/>
        <v>72</v>
      </c>
      <c r="AZ58" s="3"/>
      <c r="BA58" s="3"/>
      <c r="BB58" s="3"/>
      <c r="BC58" s="2" t="str">
        <f>CONCATENATE(
ROUND(AZ58*VLOOKUP(I58,'ID Scheme'!$A$2:$E$7,3),0), "x",
ROUND(BA58*VLOOKUP(I58,'ID Scheme'!$A$2:$E$7,5),0), "x",
ROUND(BB58*VLOOKUP(I58,'ID Scheme'!$A$2:$E$7,4),0))</f>
        <v>0x0x0</v>
      </c>
    </row>
    <row r="59" spans="1:56" x14ac:dyDescent="0.25">
      <c r="A59" t="s">
        <v>29</v>
      </c>
      <c r="B59" t="s">
        <v>175</v>
      </c>
      <c r="C59" t="s">
        <v>286</v>
      </c>
      <c r="D59">
        <f>IF(E59 &gt; 2020, ((E59-2020)*4)+1610+G59,IF(E59 &gt; 1900, ((E59-1900)*10)+400+G59, ((E59-1730)*2)+G59))+VLOOKUP(I59,'ID Scheme'!$A$2:$B$7,2, FALSE)</f>
        <v>1581</v>
      </c>
      <c r="E59">
        <v>1958</v>
      </c>
      <c r="F59">
        <v>6</v>
      </c>
      <c r="G59">
        <v>1</v>
      </c>
      <c r="H59" t="s">
        <v>524</v>
      </c>
      <c r="I59" t="s">
        <v>12</v>
      </c>
      <c r="J59" t="s">
        <v>502</v>
      </c>
      <c r="K59">
        <v>76</v>
      </c>
      <c r="L59">
        <v>15</v>
      </c>
      <c r="M59">
        <v>16</v>
      </c>
      <c r="N59">
        <v>4</v>
      </c>
      <c r="O59">
        <v>6</v>
      </c>
      <c r="P59">
        <v>138</v>
      </c>
      <c r="Q59">
        <v>24</v>
      </c>
      <c r="R59">
        <v>34</v>
      </c>
      <c r="S59">
        <v>1.1000000000000001</v>
      </c>
      <c r="T59" t="s">
        <v>296</v>
      </c>
      <c r="U59">
        <v>2</v>
      </c>
      <c r="V59" s="2" t="s">
        <v>297</v>
      </c>
      <c r="W59" s="2"/>
      <c r="X59" s="2"/>
      <c r="Y59" s="2"/>
      <c r="Z59" s="2"/>
      <c r="AA59" s="2"/>
      <c r="AB59" s="2"/>
      <c r="AC59" s="2"/>
      <c r="AD59" s="2"/>
      <c r="AE59" s="2"/>
      <c r="AF59">
        <v>62</v>
      </c>
      <c r="AM59">
        <v>8</v>
      </c>
      <c r="AP59" s="2">
        <f>(SQRT(K59*R59)*POWER((MIN(M59,20)+SQRT(MAX(M59-20,0))),0.9)*Data!$B$1)*(1-(S59-1))</f>
        <v>41.606196119796323</v>
      </c>
      <c r="AQ59" s="2"/>
      <c r="AR59" s="2">
        <f>((POWER((K59*K59*R59), 0.33)*LOG10(P59)*10*Data!$B$1)*S59)+AQ59</f>
        <v>98.529935018135305</v>
      </c>
      <c r="AS59" s="2">
        <f t="shared" si="15"/>
        <v>61.29032258064516</v>
      </c>
      <c r="AT59" s="2">
        <f t="shared" si="19"/>
        <v>50</v>
      </c>
      <c r="AV59" s="2">
        <v>1</v>
      </c>
      <c r="AW59" s="2">
        <v>1</v>
      </c>
      <c r="AX59" s="2">
        <f t="shared" si="17"/>
        <v>34</v>
      </c>
      <c r="AY59" s="2">
        <f t="shared" si="18"/>
        <v>34</v>
      </c>
      <c r="AZ59" s="3"/>
      <c r="BA59" s="3"/>
      <c r="BB59" s="3"/>
      <c r="BC59" s="2" t="str">
        <f>CONCATENATE(
ROUND(AZ59*VLOOKUP(I59,'ID Scheme'!$A$2:$E$7,3),0), "x",
ROUND(BA59*VLOOKUP(I59,'ID Scheme'!$A$2:$E$7,5),0), "x",
ROUND(BB59*VLOOKUP(I59,'ID Scheme'!$A$2:$E$7,4),0))</f>
        <v>0x0x0</v>
      </c>
    </row>
    <row r="60" spans="1:56" x14ac:dyDescent="0.25">
      <c r="A60" t="s">
        <v>59</v>
      </c>
      <c r="B60" t="s">
        <v>176</v>
      </c>
      <c r="C60" t="s">
        <v>286</v>
      </c>
      <c r="D60">
        <f>IF(E60 &gt; 2020, ((E60-2020)*4)+1610+G60,IF(E60 &gt; 1900, ((E60-1900)*10)+400+G60, ((E60-1730)*2)+G60))+VLOOKUP(I60,'ID Scheme'!$A$2:$B$7,2, FALSE)</f>
        <v>1582</v>
      </c>
      <c r="E60">
        <v>1958</v>
      </c>
      <c r="F60">
        <v>1</v>
      </c>
      <c r="G60">
        <v>2</v>
      </c>
      <c r="H60" t="s">
        <v>524</v>
      </c>
      <c r="I60" t="s">
        <v>12</v>
      </c>
      <c r="J60" t="s">
        <v>502</v>
      </c>
      <c r="K60">
        <v>55</v>
      </c>
      <c r="L60">
        <v>30</v>
      </c>
      <c r="M60">
        <v>25</v>
      </c>
      <c r="N60">
        <v>4</v>
      </c>
      <c r="O60">
        <v>7</v>
      </c>
      <c r="P60">
        <v>140</v>
      </c>
      <c r="Q60">
        <v>20</v>
      </c>
      <c r="R60">
        <v>57</v>
      </c>
      <c r="S60">
        <v>1</v>
      </c>
      <c r="T60" t="s">
        <v>300</v>
      </c>
      <c r="U60">
        <v>3</v>
      </c>
      <c r="V60" s="2" t="s">
        <v>301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68.475029766042482</v>
      </c>
      <c r="AQ60" s="2"/>
      <c r="AR60" s="2">
        <f>((POWER((K60*K60*R60), 0.33)*LOG10(P60)*10*Data!$B$1)*S60)+AQ60</f>
        <v>86.05873713759469</v>
      </c>
      <c r="AS60" s="2">
        <f t="shared" si="15"/>
        <v>44.354838709677416</v>
      </c>
      <c r="AT60" s="2">
        <f t="shared" si="19"/>
        <v>0</v>
      </c>
      <c r="AV60" s="2">
        <v>1</v>
      </c>
      <c r="AW60" s="2">
        <v>1</v>
      </c>
      <c r="AX60" s="2">
        <f t="shared" si="17"/>
        <v>57</v>
      </c>
      <c r="AY60" s="2">
        <f t="shared" si="18"/>
        <v>57</v>
      </c>
      <c r="AZ60" s="3"/>
      <c r="BA60" s="3"/>
      <c r="BB60" s="3"/>
      <c r="BC60" s="2" t="str">
        <f>CONCATENATE(
ROUND(AZ60*VLOOKUP(I60,'ID Scheme'!$A$2:$E$7,3),0), "x",
ROUND(BA60*VLOOKUP(I60,'ID Scheme'!$A$2:$E$7,5),0), "x",
ROUND(BB60*VLOOKUP(I60,'ID Scheme'!$A$2:$E$7,4),0))</f>
        <v>0x0x0</v>
      </c>
    </row>
    <row r="61" spans="1:56" x14ac:dyDescent="0.25">
      <c r="A61" t="s">
        <v>581</v>
      </c>
      <c r="B61" t="s">
        <v>580</v>
      </c>
      <c r="C61" t="s">
        <v>286</v>
      </c>
      <c r="D61">
        <f>IF(E61 &gt; 2020, ((E61-2020)*4)+1610+G61,IF(E61 &gt; 1900, ((E61-1900)*10)+400+G61, ((E61-1730)*2)+G61))+VLOOKUP(I61,'ID Scheme'!$A$2:$B$7,2, FALSE)</f>
        <v>1601</v>
      </c>
      <c r="E61">
        <v>1960</v>
      </c>
      <c r="F61">
        <v>2</v>
      </c>
      <c r="G61">
        <v>1</v>
      </c>
      <c r="H61" t="s">
        <v>524</v>
      </c>
      <c r="I61" t="s">
        <v>12</v>
      </c>
      <c r="J61" t="s">
        <v>507</v>
      </c>
      <c r="K61">
        <v>30</v>
      </c>
      <c r="L61">
        <v>-1</v>
      </c>
      <c r="M61">
        <v>19</v>
      </c>
      <c r="N61">
        <v>5</v>
      </c>
      <c r="O61">
        <v>5</v>
      </c>
      <c r="P61">
        <v>95</v>
      </c>
      <c r="Q61">
        <v>20</v>
      </c>
      <c r="R61">
        <v>65</v>
      </c>
      <c r="S61">
        <v>1</v>
      </c>
      <c r="T61" t="s">
        <v>366</v>
      </c>
      <c r="U61">
        <v>3</v>
      </c>
      <c r="V61" s="2" t="s">
        <v>582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46.876676153043313</v>
      </c>
      <c r="AQ61" s="2"/>
      <c r="AR61" s="2">
        <f>((POWER((K61*K61*R61), 0.33)*LOG10(P61)*10*Data!$B$1)*S61)+AQ61</f>
        <v>55.512181741920003</v>
      </c>
      <c r="AS61" s="2">
        <f t="shared" si="15"/>
        <v>24.193548387096776</v>
      </c>
      <c r="AT61" s="2">
        <f t="shared" si="19"/>
        <v>0</v>
      </c>
      <c r="AV61" s="2">
        <v>1</v>
      </c>
      <c r="AW61" s="2">
        <v>1</v>
      </c>
      <c r="AX61" s="2">
        <f t="shared" si="17"/>
        <v>65</v>
      </c>
      <c r="AY61" s="2">
        <f t="shared" si="18"/>
        <v>65</v>
      </c>
      <c r="AZ61" s="3">
        <v>11</v>
      </c>
      <c r="BA61" s="3">
        <v>2.5</v>
      </c>
      <c r="BB61" s="3">
        <v>3.8</v>
      </c>
      <c r="BC61" s="2" t="str">
        <f>CONCATENATE(
ROUND(AZ61*VLOOKUP(I61,'ID Scheme'!$A$2:$E$7,3),0), "x",
ROUND(BA61*VLOOKUP(I61,'ID Scheme'!$A$2:$E$7,5),0), "x",
ROUND(BB61*VLOOKUP(I61,'ID Scheme'!$A$2:$E$7,4),0))</f>
        <v>103x36x37</v>
      </c>
    </row>
    <row r="62" spans="1:56" x14ac:dyDescent="0.25">
      <c r="A62" t="s">
        <v>25</v>
      </c>
      <c r="B62" t="s">
        <v>177</v>
      </c>
      <c r="C62" t="s">
        <v>286</v>
      </c>
      <c r="D62">
        <f>IF(E62 &gt; 2020, ((E62-2020)*4)+1610+G62,IF(E62 &gt; 1900, ((E62-1900)*10)+400+G62, ((E62-1730)*2)+G62))+VLOOKUP(I62,'ID Scheme'!$A$2:$B$7,2, FALSE)</f>
        <v>1631</v>
      </c>
      <c r="E62">
        <v>1963</v>
      </c>
      <c r="F62">
        <v>6</v>
      </c>
      <c r="G62">
        <v>1</v>
      </c>
      <c r="H62" t="s">
        <v>524</v>
      </c>
      <c r="I62" t="s">
        <v>12</v>
      </c>
      <c r="J62" t="s">
        <v>502</v>
      </c>
      <c r="K62">
        <v>55</v>
      </c>
      <c r="L62">
        <v>20</v>
      </c>
      <c r="M62">
        <v>18</v>
      </c>
      <c r="N62">
        <v>4</v>
      </c>
      <c r="O62">
        <v>10</v>
      </c>
      <c r="P62">
        <v>143</v>
      </c>
      <c r="Q62">
        <v>20</v>
      </c>
      <c r="R62">
        <v>52</v>
      </c>
      <c r="S62">
        <v>1</v>
      </c>
      <c r="T62" t="s">
        <v>300</v>
      </c>
      <c r="U62">
        <v>3</v>
      </c>
      <c r="V62" s="2" t="s">
        <v>302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54.074129222607461</v>
      </c>
      <c r="AQ62" s="2"/>
      <c r="AR62" s="2">
        <f>((POWER((K62*K62*R62), 0.33)*LOG10(P62)*10*Data!$B$1)*S62)+AQ62</f>
        <v>83.848776966287019</v>
      </c>
      <c r="AS62" s="2">
        <f t="shared" si="15"/>
        <v>44.354838709677416</v>
      </c>
      <c r="AT62" s="2">
        <f t="shared" si="19"/>
        <v>0</v>
      </c>
      <c r="AV62" s="2">
        <v>1</v>
      </c>
      <c r="AW62" s="2">
        <v>1</v>
      </c>
      <c r="AX62" s="2">
        <f t="shared" si="17"/>
        <v>52</v>
      </c>
      <c r="AY62" s="2">
        <f t="shared" si="18"/>
        <v>52</v>
      </c>
      <c r="AZ62" s="3">
        <v>11</v>
      </c>
      <c r="BA62" s="3">
        <v>2.5</v>
      </c>
      <c r="BB62" s="3"/>
      <c r="BC62" s="2" t="str">
        <f>CONCATENATE(
ROUND(AZ62*VLOOKUP(I62,'ID Scheme'!$A$2:$E$7,3),0), "x",
ROUND(BA62*VLOOKUP(I62,'ID Scheme'!$A$2:$E$7,5),0), "x",
ROUND(BB62*VLOOKUP(I62,'ID Scheme'!$A$2:$E$7,4),0))</f>
        <v>103x36x0</v>
      </c>
    </row>
    <row r="63" spans="1:56" x14ac:dyDescent="0.25">
      <c r="A63" t="s">
        <v>45</v>
      </c>
      <c r="B63" t="s">
        <v>178</v>
      </c>
      <c r="C63" t="s">
        <v>286</v>
      </c>
      <c r="D63">
        <f>IF(E63 &gt; 2020, ((E63-2020)*4)+1610+G63,IF(E63 &gt; 1900, ((E63-1900)*10)+400+G63, ((E63-1730)*2)+G63))+VLOOKUP(I63,'ID Scheme'!$A$2:$B$7,2, FALSE)</f>
        <v>1721</v>
      </c>
      <c r="E63">
        <v>1972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52</v>
      </c>
      <c r="L63">
        <v>23</v>
      </c>
      <c r="M63">
        <v>22</v>
      </c>
      <c r="N63">
        <v>5</v>
      </c>
      <c r="O63">
        <v>7</v>
      </c>
      <c r="P63">
        <v>165</v>
      </c>
      <c r="Q63">
        <v>20</v>
      </c>
      <c r="R63">
        <v>58</v>
      </c>
      <c r="S63">
        <v>1</v>
      </c>
      <c r="T63" t="s">
        <v>290</v>
      </c>
      <c r="U63">
        <v>3</v>
      </c>
      <c r="V63" s="2" t="s">
        <v>303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64.924535113354011</v>
      </c>
      <c r="AQ63" s="2"/>
      <c r="AR63" s="2">
        <f>((POWER((K63*K63*R63), 0.33)*LOG10(P63)*10*Data!$B$1)*S63)+AQ63</f>
        <v>86.181726874059862</v>
      </c>
      <c r="AS63" s="2">
        <f t="shared" si="15"/>
        <v>41.935483870967744</v>
      </c>
      <c r="AT63" s="2">
        <f t="shared" si="19"/>
        <v>0</v>
      </c>
      <c r="AV63" s="2">
        <v>1</v>
      </c>
      <c r="AW63" s="2">
        <v>1</v>
      </c>
      <c r="AX63" s="2">
        <f t="shared" si="17"/>
        <v>58</v>
      </c>
      <c r="AY63" s="2">
        <f t="shared" si="18"/>
        <v>58</v>
      </c>
      <c r="AZ63" s="3">
        <v>11.3</v>
      </c>
      <c r="BA63" s="3">
        <v>2.5</v>
      </c>
      <c r="BB63" s="3"/>
      <c r="BC63" s="2" t="str">
        <f>CONCATENATE(
ROUND(AZ63*VLOOKUP(I63,'ID Scheme'!$A$2:$E$7,3),0), "x",
ROUND(BA63*VLOOKUP(I63,'ID Scheme'!$A$2:$E$7,5),0), "x",
ROUND(BB63*VLOOKUP(I63,'ID Scheme'!$A$2:$E$7,4),0))</f>
        <v>106x36x0</v>
      </c>
    </row>
    <row r="64" spans="1:56" x14ac:dyDescent="0.25">
      <c r="A64" t="s">
        <v>94</v>
      </c>
      <c r="B64" t="s">
        <v>179</v>
      </c>
      <c r="C64" t="s">
        <v>286</v>
      </c>
      <c r="D64">
        <f>IF(E64 &gt; 2020, ((E64-2020)*4)+1610+G64,IF(E64 &gt; 1900, ((E64-1900)*10)+400+G64, ((E64-1730)*2)+G64))+VLOOKUP(I64,'ID Scheme'!$A$2:$B$7,2, FALSE)</f>
        <v>1771</v>
      </c>
      <c r="E64">
        <v>1977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45</v>
      </c>
      <c r="L64">
        <v>12</v>
      </c>
      <c r="M64">
        <v>19</v>
      </c>
      <c r="N64">
        <v>7</v>
      </c>
      <c r="O64">
        <v>10</v>
      </c>
      <c r="P64">
        <v>210</v>
      </c>
      <c r="Q64">
        <v>20</v>
      </c>
      <c r="R64">
        <v>71</v>
      </c>
      <c r="S64">
        <v>1</v>
      </c>
      <c r="T64" t="s">
        <v>300</v>
      </c>
      <c r="U64">
        <v>3</v>
      </c>
      <c r="V64" s="2" t="s">
        <v>304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60.003272308491312</v>
      </c>
      <c r="AQ64" s="2"/>
      <c r="AR64" s="2">
        <f>((POWER((K64*K64*R64), 0.33)*LOG10(P64)*10*Data!$B$1)*S64)+AQ64</f>
        <v>87.700083475967674</v>
      </c>
      <c r="AS64" s="2">
        <f t="shared" si="15"/>
        <v>36.29032258064516</v>
      </c>
      <c r="AT64" s="2">
        <f t="shared" si="19"/>
        <v>0</v>
      </c>
      <c r="AV64" s="2">
        <v>1</v>
      </c>
      <c r="AW64" s="2">
        <v>1</v>
      </c>
      <c r="AX64" s="2">
        <f t="shared" si="17"/>
        <v>71</v>
      </c>
      <c r="AY64" s="2">
        <f t="shared" si="18"/>
        <v>71</v>
      </c>
      <c r="AZ64" s="3">
        <v>12</v>
      </c>
      <c r="BA64" s="3">
        <v>2.5</v>
      </c>
      <c r="BB64" s="3">
        <v>4.2</v>
      </c>
      <c r="BC64" s="2" t="str">
        <f>CONCATENATE(
ROUND(AZ64*VLOOKUP(I64,'ID Scheme'!$A$2:$E$7,3),0), "x",
ROUND(BA64*VLOOKUP(I64,'ID Scheme'!$A$2:$E$7,5),0), "x",
ROUND(BB64*VLOOKUP(I64,'ID Scheme'!$A$2:$E$7,4),0))</f>
        <v>112x36x41</v>
      </c>
    </row>
    <row r="65" spans="1:56" x14ac:dyDescent="0.25">
      <c r="A65" t="s">
        <v>34</v>
      </c>
      <c r="B65" t="s">
        <v>180</v>
      </c>
      <c r="C65" t="s">
        <v>286</v>
      </c>
      <c r="D65">
        <f>IF(E65 &gt; 2020, ((E65-2020)*4)+1610+G65,IF(E65 &gt; 1900, ((E65-1900)*10)+400+G65, ((E65-1730)*2)+G65))+VLOOKUP(I65,'ID Scheme'!$A$2:$B$7,2, FALSE)</f>
        <v>1781</v>
      </c>
      <c r="E65">
        <v>1978</v>
      </c>
      <c r="F65">
        <v>6</v>
      </c>
      <c r="G65">
        <v>1</v>
      </c>
      <c r="H65" t="s">
        <v>524</v>
      </c>
      <c r="I65" t="s">
        <v>12</v>
      </c>
      <c r="J65" t="s">
        <v>502</v>
      </c>
      <c r="K65">
        <v>62</v>
      </c>
      <c r="L65">
        <v>25</v>
      </c>
      <c r="M65">
        <v>22</v>
      </c>
      <c r="N65">
        <v>4</v>
      </c>
      <c r="O65">
        <v>12</v>
      </c>
      <c r="P65">
        <v>245</v>
      </c>
      <c r="Q65">
        <v>18</v>
      </c>
      <c r="R65">
        <v>55</v>
      </c>
      <c r="S65">
        <v>1</v>
      </c>
      <c r="T65" t="s">
        <v>296</v>
      </c>
      <c r="U65">
        <v>3</v>
      </c>
      <c r="V65" s="2" t="s">
        <v>305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69.035165364270128</v>
      </c>
      <c r="AQ65" s="2"/>
      <c r="AR65" s="2">
        <f>((POWER((K65*K65*R65), 0.33)*LOG10(P65)*10*Data!$B$1)*S65)+AQ65</f>
        <v>102.47214024912293</v>
      </c>
      <c r="AS65" s="2">
        <f t="shared" si="15"/>
        <v>50</v>
      </c>
      <c r="AT65" s="2">
        <f t="shared" si="19"/>
        <v>0</v>
      </c>
      <c r="AV65" s="2">
        <v>1</v>
      </c>
      <c r="AW65" s="2">
        <v>1</v>
      </c>
      <c r="AX65" s="2">
        <f t="shared" si="17"/>
        <v>55</v>
      </c>
      <c r="AY65" s="2">
        <f t="shared" si="18"/>
        <v>55</v>
      </c>
      <c r="AZ65" s="3">
        <v>12</v>
      </c>
      <c r="BA65" s="3">
        <v>2.5</v>
      </c>
      <c r="BB65" s="3">
        <v>3.3</v>
      </c>
      <c r="BC65" s="2" t="str">
        <f>CONCATENATE(
ROUND(AZ65*VLOOKUP(I65,'ID Scheme'!$A$2:$E$7,3),0), "x",
ROUND(BA65*VLOOKUP(I65,'ID Scheme'!$A$2:$E$7,5),0), "x",
ROUND(BB65*VLOOKUP(I65,'ID Scheme'!$A$2:$E$7,4),0))</f>
        <v>112x36x32</v>
      </c>
    </row>
    <row r="66" spans="1:56" x14ac:dyDescent="0.25">
      <c r="A66" t="s">
        <v>32</v>
      </c>
      <c r="B66" t="s">
        <v>181</v>
      </c>
      <c r="C66" t="s">
        <v>286</v>
      </c>
      <c r="D66">
        <f>IF(E66 &gt; 2020, ((E66-2020)*4)+1610+G66,IF(E66 &gt; 1900, ((E66-1900)*10)+400+G66, ((E66-1730)*2)+G66))+VLOOKUP(I66,'ID Scheme'!$A$2:$B$7,2, FALSE)</f>
        <v>1801</v>
      </c>
      <c r="E66">
        <v>1980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47</v>
      </c>
      <c r="L66">
        <v>13</v>
      </c>
      <c r="M66">
        <v>22</v>
      </c>
      <c r="N66">
        <v>7</v>
      </c>
      <c r="O66">
        <v>10</v>
      </c>
      <c r="P66">
        <v>180</v>
      </c>
      <c r="Q66">
        <v>20</v>
      </c>
      <c r="R66">
        <v>73</v>
      </c>
      <c r="S66">
        <v>1</v>
      </c>
      <c r="T66" t="s">
        <v>290</v>
      </c>
      <c r="U66">
        <v>3</v>
      </c>
      <c r="V66" s="2" t="s">
        <v>314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69.247410718668419</v>
      </c>
      <c r="AQ66" s="2"/>
      <c r="AR66" s="2">
        <f>((POWER((K66*K66*R66), 0.33)*LOG10(P66)*10*Data!$B$1)*S66)+AQ66</f>
        <v>88.458876415134782</v>
      </c>
      <c r="AS66" s="2">
        <f t="shared" si="15"/>
        <v>37.903225806451616</v>
      </c>
      <c r="AT66" s="2">
        <f t="shared" si="19"/>
        <v>0</v>
      </c>
      <c r="AV66" s="2">
        <v>1</v>
      </c>
      <c r="AW66" s="2">
        <v>1</v>
      </c>
      <c r="AX66" s="2">
        <f t="shared" si="17"/>
        <v>73</v>
      </c>
      <c r="AY66" s="2">
        <f t="shared" si="18"/>
        <v>73</v>
      </c>
      <c r="AZ66" s="3">
        <v>12</v>
      </c>
      <c r="BA66" s="3">
        <v>2.5</v>
      </c>
      <c r="BB66" s="3">
        <v>4.2</v>
      </c>
      <c r="BC66" s="2" t="str">
        <f>CONCATENATE(
ROUND(AZ66*VLOOKUP(I66,'ID Scheme'!$A$2:$E$7,3),0), "x",
ROUND(BA66*VLOOKUP(I66,'ID Scheme'!$A$2:$E$7,5),0), "x",
ROUND(BB66*VLOOKUP(I66,'ID Scheme'!$A$2:$E$7,4),0))</f>
        <v>112x36x41</v>
      </c>
    </row>
    <row r="67" spans="1:56" x14ac:dyDescent="0.25">
      <c r="A67" t="s">
        <v>482</v>
      </c>
      <c r="B67" t="s">
        <v>483</v>
      </c>
      <c r="C67" t="s">
        <v>286</v>
      </c>
      <c r="D67">
        <f>IF(E67 &gt; 2020, ((E67-2020)*4)+1610+G67,IF(E67 &gt; 1900, ((E67-1900)*10)+400+G67, ((E67-1730)*2)+G67))+VLOOKUP(I67,'ID Scheme'!$A$2:$B$7,2, FALSE)</f>
        <v>1861</v>
      </c>
      <c r="E67">
        <v>1986</v>
      </c>
      <c r="F67">
        <v>10</v>
      </c>
      <c r="G67">
        <v>1</v>
      </c>
      <c r="H67" t="s">
        <v>524</v>
      </c>
      <c r="I67" t="s">
        <v>12</v>
      </c>
      <c r="J67" t="s">
        <v>502</v>
      </c>
      <c r="K67">
        <v>64</v>
      </c>
      <c r="L67">
        <v>14</v>
      </c>
      <c r="M67">
        <v>11</v>
      </c>
      <c r="N67">
        <v>5</v>
      </c>
      <c r="O67">
        <v>6</v>
      </c>
      <c r="P67">
        <v>130</v>
      </c>
      <c r="Q67">
        <v>24</v>
      </c>
      <c r="R67">
        <v>33</v>
      </c>
      <c r="S67">
        <v>1</v>
      </c>
      <c r="T67" t="s">
        <v>290</v>
      </c>
      <c r="U67">
        <v>2</v>
      </c>
      <c r="V67" s="2" t="s">
        <v>484</v>
      </c>
      <c r="W67" s="2"/>
      <c r="X67" s="2"/>
      <c r="Y67" s="2"/>
      <c r="Z67" s="2"/>
      <c r="AA67" s="2"/>
      <c r="AB67" s="2"/>
      <c r="AC67" s="2"/>
      <c r="AD67" s="2"/>
      <c r="AE67" s="2"/>
      <c r="AM67">
        <v>7</v>
      </c>
      <c r="AP67" s="2">
        <f>(SQRT(K67*R67)*POWER((MIN(M67,20)+SQRT(MAX(M67-20,0))),0.9)*Data!$B$1)*(1-(S67-1))</f>
        <v>29.830575842658725</v>
      </c>
      <c r="AQ67" s="2"/>
      <c r="AR67" s="2">
        <f>((POWER((K67*K67*R67), 0.33)*LOG10(P67)*10*Data!$B$1)*S67)+AQ67</f>
        <v>78.224535261541249</v>
      </c>
      <c r="AS67" s="2">
        <f t="shared" si="15"/>
        <v>51.612903225806456</v>
      </c>
      <c r="AT67" s="2">
        <f t="shared" si="19"/>
        <v>0</v>
      </c>
      <c r="AV67" s="2">
        <v>1</v>
      </c>
      <c r="AW67" s="2">
        <v>1</v>
      </c>
      <c r="AX67" s="2">
        <f t="shared" si="17"/>
        <v>33</v>
      </c>
      <c r="AY67" s="2">
        <f t="shared" si="18"/>
        <v>33</v>
      </c>
      <c r="AZ67" s="3">
        <v>8.4</v>
      </c>
      <c r="BA67" s="3">
        <v>2.2999999999999998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78x33x26</v>
      </c>
    </row>
    <row r="68" spans="1:56" x14ac:dyDescent="0.25">
      <c r="A68" t="s">
        <v>46</v>
      </c>
      <c r="B68" t="s">
        <v>182</v>
      </c>
      <c r="C68" t="s">
        <v>286</v>
      </c>
      <c r="D68">
        <f>IF(E68 &gt; 2020, ((E68-2020)*4)+1610+G68,IF(E68 &gt; 1900, ((E68-1900)*10)+400+G68, ((E68-1730)*2)+G68))+VLOOKUP(I68,'ID Scheme'!$A$2:$B$7,2, FALSE)</f>
        <v>1891</v>
      </c>
      <c r="E68">
        <v>1989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56</v>
      </c>
      <c r="L68">
        <v>19</v>
      </c>
      <c r="M68">
        <v>21</v>
      </c>
      <c r="N68">
        <v>5</v>
      </c>
      <c r="O68">
        <v>6</v>
      </c>
      <c r="P68">
        <v>130</v>
      </c>
      <c r="Q68">
        <v>20</v>
      </c>
      <c r="R68">
        <v>50</v>
      </c>
      <c r="S68">
        <v>1</v>
      </c>
      <c r="T68" t="s">
        <v>290</v>
      </c>
      <c r="U68">
        <v>3</v>
      </c>
      <c r="V68" s="2" t="s">
        <v>315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61.466381101342122</v>
      </c>
      <c r="AQ68" s="2"/>
      <c r="AR68" s="2">
        <f>((POWER((K68*K68*R68), 0.33)*LOG10(P68)*10*Data!$B$1)*S68)+AQ68</f>
        <v>82.152126183000618</v>
      </c>
      <c r="AS68" s="2">
        <f t="shared" si="15"/>
        <v>45.161290322580648</v>
      </c>
      <c r="AT68" s="2">
        <f t="shared" si="19"/>
        <v>0</v>
      </c>
      <c r="AV68" s="2">
        <v>1</v>
      </c>
      <c r="AW68" s="2">
        <v>1</v>
      </c>
      <c r="AX68" s="2">
        <f t="shared" si="17"/>
        <v>50</v>
      </c>
      <c r="AY68" s="2">
        <f t="shared" si="18"/>
        <v>50</v>
      </c>
      <c r="AZ68" s="3">
        <v>10.199999999999999</v>
      </c>
      <c r="BA68" s="3">
        <v>2.4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95x35x26</v>
      </c>
    </row>
    <row r="69" spans="1:56" x14ac:dyDescent="0.25">
      <c r="A69" t="s">
        <v>97</v>
      </c>
      <c r="B69" t="s">
        <v>183</v>
      </c>
      <c r="C69" t="s">
        <v>286</v>
      </c>
      <c r="D69">
        <f>IF(E69 &gt; 2020, ((E69-2020)*4)+1610+G69,IF(E69 &gt; 1900, ((E69-1900)*10)+400+G69, ((E69-1730)*2)+G69))+VLOOKUP(I69,'ID Scheme'!$A$2:$B$7,2, FALSE)</f>
        <v>1951</v>
      </c>
      <c r="E69">
        <v>1995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60</v>
      </c>
      <c r="L69">
        <v>21</v>
      </c>
      <c r="M69">
        <v>17</v>
      </c>
      <c r="N69">
        <v>5</v>
      </c>
      <c r="O69">
        <v>6.5</v>
      </c>
      <c r="P69">
        <v>249</v>
      </c>
      <c r="Q69">
        <v>20</v>
      </c>
      <c r="R69">
        <v>53</v>
      </c>
      <c r="S69">
        <v>1</v>
      </c>
      <c r="T69" t="s">
        <v>290</v>
      </c>
      <c r="U69">
        <v>3</v>
      </c>
      <c r="V69" s="2" t="s">
        <v>316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54.160024560908056</v>
      </c>
      <c r="AQ69" s="2"/>
      <c r="AR69" s="2">
        <f>((POWER((K69*K69*R69), 0.33)*LOG10(P69)*10*Data!$B$1)*S69)+AQ69</f>
        <v>99.351647021851662</v>
      </c>
      <c r="AS69" s="2">
        <f t="shared" si="15"/>
        <v>48.387096774193552</v>
      </c>
      <c r="AT69" s="2">
        <f t="shared" si="19"/>
        <v>0</v>
      </c>
      <c r="AV69" s="2">
        <v>1</v>
      </c>
      <c r="AW69" s="2">
        <v>1</v>
      </c>
      <c r="AX69" s="2">
        <f t="shared" si="17"/>
        <v>53</v>
      </c>
      <c r="AY69" s="2">
        <f t="shared" si="18"/>
        <v>53</v>
      </c>
      <c r="AZ69" s="3">
        <v>10.199999999999999</v>
      </c>
      <c r="BA69" s="3">
        <v>2.4</v>
      </c>
      <c r="BB69" s="3">
        <v>2.7</v>
      </c>
      <c r="BC69" s="2" t="str">
        <f>CONCATENATE(
ROUND(AZ69*VLOOKUP(I69,'ID Scheme'!$A$2:$E$7,3),0), "x",
ROUND(BA69*VLOOKUP(I69,'ID Scheme'!$A$2:$E$7,5),0), "x",
ROUND(BB69*VLOOKUP(I69,'ID Scheme'!$A$2:$E$7,4),0))</f>
        <v>95x35x26</v>
      </c>
      <c r="BD69" t="s">
        <v>98</v>
      </c>
    </row>
    <row r="70" spans="1:56" x14ac:dyDescent="0.25">
      <c r="A70" t="s">
        <v>485</v>
      </c>
      <c r="B70" t="s">
        <v>487</v>
      </c>
      <c r="C70" t="s">
        <v>286</v>
      </c>
      <c r="D70">
        <f>IF(E70 &gt; 2020, ((E70-2020)*4)+1610+G70,IF(E70 &gt; 1900, ((E70-1900)*10)+400+G70, ((E70-1730)*2)+G70))+VLOOKUP(I70,'ID Scheme'!$A$2:$B$7,2, FALSE)</f>
        <v>1971</v>
      </c>
      <c r="E70">
        <v>1997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55</v>
      </c>
      <c r="L70">
        <v>21</v>
      </c>
      <c r="M70">
        <v>21</v>
      </c>
      <c r="N70">
        <v>5</v>
      </c>
      <c r="O70">
        <v>10</v>
      </c>
      <c r="P70">
        <v>220</v>
      </c>
      <c r="Q70">
        <v>20</v>
      </c>
      <c r="R70">
        <v>82</v>
      </c>
      <c r="S70">
        <v>1</v>
      </c>
      <c r="T70" t="s">
        <v>300</v>
      </c>
      <c r="U70">
        <v>3</v>
      </c>
      <c r="V70" s="2" t="s">
        <v>486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78.009393174536498</v>
      </c>
      <c r="AQ70" s="2"/>
      <c r="AR70" s="2">
        <f>((POWER((K70*K70*R70), 0.33)*LOG10(P70)*10*Data!$B$1)*S70)+AQ70</f>
        <v>105.90695322593139</v>
      </c>
      <c r="AS70" s="2">
        <f t="shared" si="15"/>
        <v>44.354838709677416</v>
      </c>
      <c r="AT70" s="2">
        <f t="shared" si="19"/>
        <v>0</v>
      </c>
      <c r="AV70" s="2">
        <v>1</v>
      </c>
      <c r="AW70" s="2">
        <v>1</v>
      </c>
      <c r="AX70" s="2">
        <f t="shared" si="17"/>
        <v>82</v>
      </c>
      <c r="AY70" s="2">
        <f t="shared" si="18"/>
        <v>82</v>
      </c>
      <c r="AZ70" s="3">
        <v>11</v>
      </c>
      <c r="BA70" s="3">
        <v>2.5499999999999998</v>
      </c>
      <c r="BB70" s="3">
        <v>4.4000000000000004</v>
      </c>
      <c r="BC70" s="2" t="str">
        <f>CONCATENATE(
ROUND(AZ70*VLOOKUP(I70,'ID Scheme'!$A$2:$E$7,3),0), "x",
ROUND(BA70*VLOOKUP(I70,'ID Scheme'!$A$2:$E$7,5),0), "x",
ROUND(BB70*VLOOKUP(I70,'ID Scheme'!$A$2:$E$7,4),0))</f>
        <v>103x37x43</v>
      </c>
    </row>
    <row r="71" spans="1:56" x14ac:dyDescent="0.25">
      <c r="A71" t="s">
        <v>64</v>
      </c>
      <c r="B71" t="s">
        <v>184</v>
      </c>
      <c r="C71" t="s">
        <v>286</v>
      </c>
      <c r="D71">
        <f>IF(E71 &gt; 2020, ((E71-2020)*4)+1610+G71,IF(E71 &gt; 1900, ((E71-1900)*10)+400+G71, ((E71-1730)*2)+G71))+VLOOKUP(I71,'ID Scheme'!$A$2:$B$7,2, FALSE)</f>
        <v>1981</v>
      </c>
      <c r="E71">
        <v>1998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59</v>
      </c>
      <c r="L71">
        <v>15</v>
      </c>
      <c r="M71">
        <v>15</v>
      </c>
      <c r="N71">
        <v>5</v>
      </c>
      <c r="O71">
        <v>7</v>
      </c>
      <c r="P71">
        <v>110</v>
      </c>
      <c r="Q71">
        <v>20</v>
      </c>
      <c r="R71">
        <v>33</v>
      </c>
      <c r="S71">
        <v>1</v>
      </c>
      <c r="T71" t="s">
        <v>300</v>
      </c>
      <c r="U71">
        <v>2</v>
      </c>
      <c r="V71" s="2" t="s">
        <v>317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37.863989611191968</v>
      </c>
      <c r="AQ71" s="2"/>
      <c r="AR71" s="2">
        <f>((POWER((K71*K71*R71), 0.33)*LOG10(P71)*10*Data!$B$1)*S71)+AQ71</f>
        <v>71.591217050010968</v>
      </c>
      <c r="AS71" s="2">
        <f t="shared" si="15"/>
        <v>47.58064516129032</v>
      </c>
      <c r="AT71" s="2">
        <f t="shared" si="19"/>
        <v>0</v>
      </c>
      <c r="AV71" s="2">
        <v>1</v>
      </c>
      <c r="AW71" s="2">
        <v>1</v>
      </c>
      <c r="AX71" s="2">
        <f t="shared" si="17"/>
        <v>33</v>
      </c>
      <c r="AY71" s="2">
        <f t="shared" si="18"/>
        <v>33</v>
      </c>
      <c r="AZ71" s="3">
        <v>10.199999999999999</v>
      </c>
      <c r="BA71" s="3">
        <v>2.2999999999999998</v>
      </c>
      <c r="BB71" s="3">
        <v>2.7</v>
      </c>
      <c r="BC71" s="2" t="str">
        <f>CONCATENATE(
ROUND(AZ71*VLOOKUP(I71,'ID Scheme'!$A$2:$E$7,3),0), "x",
ROUND(BA71*VLOOKUP(I71,'ID Scheme'!$A$2:$E$7,5),0), "x",
ROUND(BB71*VLOOKUP(I71,'ID Scheme'!$A$2:$E$7,4),0))</f>
        <v>95x33x26</v>
      </c>
    </row>
    <row r="72" spans="1:56" x14ac:dyDescent="0.25">
      <c r="A72" t="s">
        <v>635</v>
      </c>
      <c r="B72" t="s">
        <v>636</v>
      </c>
      <c r="C72" t="s">
        <v>286</v>
      </c>
      <c r="D72">
        <f>IF(E72 &gt; 2020, ((E72-2020)*4)+1610+G72,IF(E72 &gt; 1900, ((E72-1900)*10)+400+G72, ((E72-1730)*2)+G72))+VLOOKUP(I72,'ID Scheme'!$A$2:$B$7,2, FALSE)</f>
        <v>1991</v>
      </c>
      <c r="E72">
        <v>1999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58</v>
      </c>
      <c r="L72">
        <v>19</v>
      </c>
      <c r="M72">
        <v>19</v>
      </c>
      <c r="N72">
        <v>5</v>
      </c>
      <c r="O72">
        <v>6</v>
      </c>
      <c r="P72">
        <v>180</v>
      </c>
      <c r="Q72">
        <v>20</v>
      </c>
      <c r="R72">
        <v>59</v>
      </c>
      <c r="S72">
        <v>1</v>
      </c>
      <c r="T72" t="s">
        <v>290</v>
      </c>
      <c r="U72">
        <v>3</v>
      </c>
      <c r="V72" s="2" t="s">
        <v>637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62.098270793102415</v>
      </c>
      <c r="AQ72" s="2"/>
      <c r="AR72" s="2">
        <f>((POWER((K72*K72*R72), 0.33)*LOG10(P72)*10*Data!$B$1)*S72)+AQ72</f>
        <v>94.733575329138617</v>
      </c>
      <c r="AS72" s="2">
        <f t="shared" ref="AS72" si="26">K72/1.24</f>
        <v>46.774193548387096</v>
      </c>
      <c r="AT72" s="2">
        <f t="shared" ref="AT72" si="27">AF72/1.24</f>
        <v>0</v>
      </c>
      <c r="AV72" s="2">
        <v>1</v>
      </c>
      <c r="AW72" s="2">
        <v>1</v>
      </c>
      <c r="AX72" s="2">
        <f t="shared" ref="AX72" si="28">R72/AW72</f>
        <v>59</v>
      </c>
      <c r="AY72" s="2">
        <f t="shared" ref="AY72" si="29">(R72)/MAX(AV72-1, 1)</f>
        <v>59</v>
      </c>
      <c r="AZ72" s="3">
        <v>10.199999999999999</v>
      </c>
      <c r="BA72" s="3">
        <v>2.4</v>
      </c>
      <c r="BB72" s="3">
        <v>2.7</v>
      </c>
      <c r="BC72" s="2" t="str">
        <f>CONCATENATE(
ROUND(AZ72*VLOOKUP(I72,'ID Scheme'!$A$2:$E$7,3),0), "x",
ROUND(BA72*VLOOKUP(I72,'ID Scheme'!$A$2:$E$7,5),0), "x",
ROUND(BB72*VLOOKUP(I72,'ID Scheme'!$A$2:$E$7,4),0))</f>
        <v>95x35x26</v>
      </c>
    </row>
    <row r="73" spans="1:56" x14ac:dyDescent="0.25">
      <c r="A73" t="s">
        <v>35</v>
      </c>
      <c r="B73" t="s">
        <v>276</v>
      </c>
      <c r="C73" t="s">
        <v>286</v>
      </c>
      <c r="D73">
        <f>IF(E73 &gt; 2020, ((E73-2020)*4)+1610+G73,IF(E73 &gt; 1900, ((E73-1900)*10)+400+G73, ((E73-1730)*2)+G73))+VLOOKUP(I73,'ID Scheme'!$A$2:$B$7,2, FALSE)</f>
        <v>2011</v>
      </c>
      <c r="E73">
        <v>2001</v>
      </c>
      <c r="F73">
        <v>1</v>
      </c>
      <c r="G73">
        <v>1</v>
      </c>
      <c r="H73" t="s">
        <v>524</v>
      </c>
      <c r="I73" t="s">
        <v>12</v>
      </c>
      <c r="J73" t="s">
        <v>502</v>
      </c>
      <c r="K73">
        <v>70</v>
      </c>
      <c r="L73">
        <v>-1</v>
      </c>
      <c r="M73">
        <v>22</v>
      </c>
      <c r="N73">
        <v>4</v>
      </c>
      <c r="O73">
        <v>12</v>
      </c>
      <c r="P73">
        <v>320</v>
      </c>
      <c r="Q73">
        <v>18</v>
      </c>
      <c r="R73">
        <v>58</v>
      </c>
      <c r="S73">
        <v>1</v>
      </c>
      <c r="T73" t="s">
        <v>296</v>
      </c>
      <c r="U73">
        <v>3</v>
      </c>
      <c r="V73" s="2" t="s">
        <v>319</v>
      </c>
      <c r="W73" s="2"/>
      <c r="X73" s="2"/>
      <c r="Y73" s="2"/>
      <c r="Z73" s="2"/>
      <c r="AA73" s="2"/>
      <c r="AB73" s="2"/>
      <c r="AC73" s="2"/>
      <c r="AD73" s="2"/>
      <c r="AE73" s="2"/>
      <c r="AF73">
        <v>62</v>
      </c>
      <c r="AM73">
        <v>8</v>
      </c>
      <c r="AP73" s="2">
        <f>(SQRT(K73*R73)*POWER((MIN(M73,20)+SQRT(MAX(M73-20,0))),0.9)*Data!$B$1)*(1-(S73-1))</f>
        <v>75.327958362845649</v>
      </c>
      <c r="AQ73" s="2"/>
      <c r="AR73" s="2">
        <f>((POWER((K73*K73*R73), 0.33)*LOG10(P73)*10*Data!$B$1)*S73)+AQ73</f>
        <v>118.46524010653438</v>
      </c>
      <c r="AS73" s="2">
        <f t="shared" ref="AS73:AS110" si="30">K73/1.24</f>
        <v>56.451612903225808</v>
      </c>
      <c r="AT73" s="2">
        <f t="shared" si="19"/>
        <v>50</v>
      </c>
      <c r="AV73" s="2">
        <v>1</v>
      </c>
      <c r="AW73" s="2">
        <v>1</v>
      </c>
      <c r="AX73" s="2">
        <f t="shared" ref="AX73:AX110" si="31">R73/AW73</f>
        <v>58</v>
      </c>
      <c r="AY73" s="2">
        <f t="shared" ref="AY73:AY110" si="32">(R73)/MAX(AV73-1, 1)</f>
        <v>58</v>
      </c>
      <c r="AZ73" s="3">
        <v>12</v>
      </c>
      <c r="BA73" s="3">
        <v>2.5</v>
      </c>
      <c r="BB73" s="3">
        <v>3.3</v>
      </c>
      <c r="BC73" s="2" t="str">
        <f>CONCATENATE(
ROUND(AZ73*VLOOKUP(I73,'ID Scheme'!$A$2:$E$7,3),0), "x",
ROUND(BA73*VLOOKUP(I73,'ID Scheme'!$A$2:$E$7,5),0), "x",
ROUND(BB73*VLOOKUP(I73,'ID Scheme'!$A$2:$E$7,4),0))</f>
        <v>112x36x32</v>
      </c>
    </row>
    <row r="74" spans="1:56" x14ac:dyDescent="0.25">
      <c r="A74" t="s">
        <v>58</v>
      </c>
      <c r="B74" t="s">
        <v>185</v>
      </c>
      <c r="C74" t="s">
        <v>325</v>
      </c>
      <c r="D74">
        <f>IF(E74 &gt; 2020, ((E74-2020)*4)+1610+G74,IF(E74 &gt; 1900, ((E74-1900)*10)+400+G74, ((E74-1730)*2)+G74))+VLOOKUP(I74,'ID Scheme'!$A$2:$B$7,2, FALSE)</f>
        <v>2012</v>
      </c>
      <c r="E74">
        <v>2001</v>
      </c>
      <c r="F74">
        <v>1</v>
      </c>
      <c r="G74">
        <v>2</v>
      </c>
      <c r="H74" t="s">
        <v>524</v>
      </c>
      <c r="I74" t="s">
        <v>12</v>
      </c>
      <c r="J74" t="s">
        <v>502</v>
      </c>
      <c r="K74">
        <v>55</v>
      </c>
      <c r="L74">
        <v>-1</v>
      </c>
      <c r="M74">
        <v>11</v>
      </c>
      <c r="N74">
        <v>10</v>
      </c>
      <c r="O74">
        <v>14</v>
      </c>
      <c r="P74">
        <v>320</v>
      </c>
      <c r="Q74">
        <v>25</v>
      </c>
      <c r="R74">
        <v>140</v>
      </c>
      <c r="S74">
        <v>1</v>
      </c>
      <c r="T74" t="s">
        <v>290</v>
      </c>
      <c r="U74">
        <v>3</v>
      </c>
      <c r="V74" s="2" t="s">
        <v>326</v>
      </c>
      <c r="W74" s="2"/>
      <c r="X74" s="2"/>
      <c r="Y74" s="2"/>
      <c r="Z74" s="2"/>
      <c r="AA74" s="2"/>
      <c r="AB74" s="2"/>
      <c r="AC74" s="2"/>
      <c r="AD74" s="2"/>
      <c r="AE74" s="2"/>
      <c r="AG74" t="s">
        <v>373</v>
      </c>
      <c r="AH74" t="s">
        <v>399</v>
      </c>
      <c r="AI74" t="s">
        <v>371</v>
      </c>
      <c r="AJ74" t="s">
        <v>373</v>
      </c>
      <c r="AK74" t="s">
        <v>374</v>
      </c>
      <c r="AL74" t="s">
        <v>549</v>
      </c>
      <c r="AM74">
        <v>6</v>
      </c>
      <c r="AP74" s="2">
        <f>(SQRT(K74*R74)*POWER((MIN(M74,20)+SQRT(MAX(M74-20,0))),0.9)*Data!$B$1)*(1-(S74-1))</f>
        <v>56.95869659296028</v>
      </c>
      <c r="AQ74" s="2"/>
      <c r="AR74" s="2">
        <f>((POWER((K74*K74*R74), 0.33)*LOG10(P74)*10*Data!$B$1)*S74)+AQ74</f>
        <v>135.13150745681415</v>
      </c>
      <c r="AS74" s="2">
        <f t="shared" si="30"/>
        <v>44.354838709677416</v>
      </c>
      <c r="AT74" s="2">
        <f t="shared" si="19"/>
        <v>0</v>
      </c>
      <c r="AV74" s="2">
        <v>2</v>
      </c>
      <c r="AW74" s="2">
        <v>2</v>
      </c>
      <c r="AX74" s="2">
        <f t="shared" si="31"/>
        <v>70</v>
      </c>
      <c r="AY74" s="2">
        <f t="shared" si="32"/>
        <v>140</v>
      </c>
      <c r="AZ74" s="3">
        <v>18</v>
      </c>
      <c r="BA74" s="3">
        <v>2.5</v>
      </c>
      <c r="BB74" s="3">
        <v>3.2</v>
      </c>
      <c r="BC74" s="2" t="str">
        <f>CONCATENATE(
ROUND(AZ74*VLOOKUP(I74,'ID Scheme'!$A$2:$E$7,3),0), "x",
ROUND(BA74*VLOOKUP(I74,'ID Scheme'!$A$2:$E$7,5),0), "x",
ROUND(BB74*VLOOKUP(I74,'ID Scheme'!$A$2:$E$7,4),0))</f>
        <v>168x36x31</v>
      </c>
    </row>
    <row r="75" spans="1:56" x14ac:dyDescent="0.25">
      <c r="A75" t="s">
        <v>33</v>
      </c>
      <c r="B75" t="s">
        <v>186</v>
      </c>
      <c r="C75" t="s">
        <v>286</v>
      </c>
      <c r="D75">
        <f>IF(E75 &gt; 2020, ((E75-2020)*4)+1610+G75,IF(E75 &gt; 1900, ((E75-1900)*10)+400+G75, ((E75-1730)*2)+G75))+VLOOKUP(I75,'ID Scheme'!$A$2:$B$7,2, FALSE)</f>
        <v>2051</v>
      </c>
      <c r="E75">
        <v>2005</v>
      </c>
      <c r="F75">
        <v>1</v>
      </c>
      <c r="G75">
        <v>1</v>
      </c>
      <c r="H75" t="s">
        <v>524</v>
      </c>
      <c r="I75" t="s">
        <v>12</v>
      </c>
      <c r="J75" t="s">
        <v>502</v>
      </c>
      <c r="K75">
        <v>60</v>
      </c>
      <c r="L75">
        <v>18</v>
      </c>
      <c r="M75">
        <v>20</v>
      </c>
      <c r="N75">
        <v>7</v>
      </c>
      <c r="O75">
        <v>11</v>
      </c>
      <c r="P75">
        <v>185</v>
      </c>
      <c r="Q75">
        <v>20</v>
      </c>
      <c r="R75">
        <v>90</v>
      </c>
      <c r="S75">
        <v>1</v>
      </c>
      <c r="T75" t="s">
        <v>296</v>
      </c>
      <c r="U75">
        <v>3</v>
      </c>
      <c r="V75" s="2" t="s">
        <v>320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81.693055399982839</v>
      </c>
      <c r="AQ75" s="2"/>
      <c r="AR75" s="2">
        <f>((POWER((K75*K75*R75), 0.33)*LOG10(P75)*10*Data!$B$1)*S75)+AQ75</f>
        <v>111.95037019981191</v>
      </c>
      <c r="AS75" s="2">
        <f t="shared" si="30"/>
        <v>48.387096774193552</v>
      </c>
      <c r="AT75" s="2">
        <f t="shared" si="19"/>
        <v>0</v>
      </c>
      <c r="AV75" s="2">
        <v>1</v>
      </c>
      <c r="AW75" s="2">
        <v>1</v>
      </c>
      <c r="AX75" s="2">
        <f t="shared" si="31"/>
        <v>90</v>
      </c>
      <c r="AY75" s="2">
        <f t="shared" si="32"/>
        <v>90</v>
      </c>
      <c r="AZ75" s="3">
        <v>11.4</v>
      </c>
      <c r="BA75" s="3">
        <v>2.5499999999999998</v>
      </c>
      <c r="BB75" s="3">
        <v>4.2</v>
      </c>
      <c r="BC75" s="2" t="str">
        <f>CONCATENATE(
ROUND(AZ75*VLOOKUP(I75,'ID Scheme'!$A$2:$E$7,3),0), "x",
ROUND(BA75*VLOOKUP(I75,'ID Scheme'!$A$2:$E$7,5),0), "x",
ROUND(BB75*VLOOKUP(I75,'ID Scheme'!$A$2:$E$7,4),0))</f>
        <v>106x37x41</v>
      </c>
    </row>
    <row r="76" spans="1:56" x14ac:dyDescent="0.25">
      <c r="A76" t="s">
        <v>321</v>
      </c>
      <c r="B76" t="s">
        <v>187</v>
      </c>
      <c r="C76" t="s">
        <v>286</v>
      </c>
      <c r="D76">
        <f>IF(E76 &gt; 2020, ((E76-2020)*4)+1610+G76,IF(E76 &gt; 1900, ((E76-1900)*10)+400+G76, ((E76-1730)*2)+G76))+VLOOKUP(I76,'ID Scheme'!$A$2:$B$7,2, FALSE)</f>
        <v>2112</v>
      </c>
      <c r="E76">
        <v>2011</v>
      </c>
      <c r="F76">
        <v>1</v>
      </c>
      <c r="G76">
        <v>2</v>
      </c>
      <c r="H76" t="s">
        <v>524</v>
      </c>
      <c r="I76" t="s">
        <v>12</v>
      </c>
      <c r="J76" t="s">
        <v>502</v>
      </c>
      <c r="K76">
        <v>50</v>
      </c>
      <c r="L76">
        <v>-1</v>
      </c>
      <c r="M76">
        <v>16</v>
      </c>
      <c r="N76">
        <v>6</v>
      </c>
      <c r="O76">
        <v>10</v>
      </c>
      <c r="P76">
        <v>101</v>
      </c>
      <c r="Q76">
        <v>22</v>
      </c>
      <c r="R76">
        <v>72</v>
      </c>
      <c r="S76">
        <v>1</v>
      </c>
      <c r="T76" t="s">
        <v>322</v>
      </c>
      <c r="U76">
        <v>3</v>
      </c>
      <c r="V76" s="2" t="s">
        <v>323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54.565796394374324</v>
      </c>
      <c r="AQ76" s="2"/>
      <c r="AR76" s="2">
        <f>((POWER((K76*K76*R76), 0.33)*LOG10(P76)*10*Data!$B$1)*S76)+AQ76</f>
        <v>81.520821564001579</v>
      </c>
      <c r="AS76" s="2">
        <f t="shared" si="30"/>
        <v>40.322580645161288</v>
      </c>
      <c r="AT76" s="2">
        <f t="shared" si="19"/>
        <v>0</v>
      </c>
      <c r="AV76" s="2">
        <v>1</v>
      </c>
      <c r="AW76" s="2">
        <v>1</v>
      </c>
      <c r="AX76" s="2">
        <f t="shared" si="31"/>
        <v>72</v>
      </c>
      <c r="AY76" s="2">
        <f t="shared" si="32"/>
        <v>72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66</v>
      </c>
      <c r="B77" t="s">
        <v>188</v>
      </c>
      <c r="C77" t="s">
        <v>286</v>
      </c>
      <c r="D77">
        <f>IF(E77 &gt; 2020, ((E77-2020)*4)+1610+G77,IF(E77 &gt; 1900, ((E77-1900)*10)+400+G77, ((E77-1730)*2)+G77))+VLOOKUP(I77,'ID Scheme'!$A$2:$B$7,2, FALSE)</f>
        <v>2121</v>
      </c>
      <c r="E77">
        <v>2012</v>
      </c>
      <c r="F77">
        <v>1</v>
      </c>
      <c r="G77">
        <v>1</v>
      </c>
      <c r="H77" t="s">
        <v>524</v>
      </c>
      <c r="I77" t="s">
        <v>12</v>
      </c>
      <c r="J77" t="s">
        <v>502</v>
      </c>
      <c r="K77">
        <v>50</v>
      </c>
      <c r="L77">
        <v>-1</v>
      </c>
      <c r="M77">
        <v>20</v>
      </c>
      <c r="N77">
        <v>7</v>
      </c>
      <c r="O77">
        <v>12.5</v>
      </c>
      <c r="P77">
        <v>185</v>
      </c>
      <c r="Q77">
        <v>23</v>
      </c>
      <c r="R77">
        <v>87</v>
      </c>
      <c r="S77">
        <v>1</v>
      </c>
      <c r="T77" t="s">
        <v>300</v>
      </c>
      <c r="U77">
        <v>3</v>
      </c>
      <c r="V77" s="2" t="s">
        <v>324</v>
      </c>
      <c r="W77" s="2"/>
      <c r="X77" s="2"/>
      <c r="Y77" s="2"/>
      <c r="Z77" s="2"/>
      <c r="AA77" s="2"/>
      <c r="AB77" s="2"/>
      <c r="AC77" s="2"/>
      <c r="AD77" s="2"/>
      <c r="AE77" s="2"/>
      <c r="AM77">
        <v>8</v>
      </c>
      <c r="AP77" s="2">
        <f>(SQRT(K77*R77)*POWER((MIN(M77,20)+SQRT(MAX(M77-20,0))),0.9)*Data!$B$1)*(1-(S77-1))</f>
        <v>73.321761154546138</v>
      </c>
      <c r="AQ77" s="2"/>
      <c r="AR77" s="2">
        <f>((POWER((K77*K77*R77), 0.33)*LOG10(P77)*10*Data!$B$1)*S77)+AQ77</f>
        <v>98.153826904979823</v>
      </c>
      <c r="AS77" s="2">
        <f t="shared" si="30"/>
        <v>40.322580645161288</v>
      </c>
      <c r="AT77" s="2">
        <f t="shared" si="19"/>
        <v>0</v>
      </c>
      <c r="AV77" s="2">
        <v>1</v>
      </c>
      <c r="AW77" s="2">
        <v>1</v>
      </c>
      <c r="AX77" s="2">
        <f t="shared" si="31"/>
        <v>87</v>
      </c>
      <c r="AY77" s="2">
        <f t="shared" si="32"/>
        <v>87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6" x14ac:dyDescent="0.25">
      <c r="A78" t="s">
        <v>65</v>
      </c>
      <c r="B78" t="s">
        <v>189</v>
      </c>
      <c r="C78" t="s">
        <v>286</v>
      </c>
      <c r="D78">
        <f>IF(E78 &gt; 2020, ((E78-2020)*4)+1610+G78,IF(E78 &gt; 1900, ((E78-1900)*10)+400+G78, ((E78-1730)*2)+G78))+VLOOKUP(I78,'ID Scheme'!$A$2:$B$7,2, FALSE)</f>
        <v>2122</v>
      </c>
      <c r="E78">
        <v>2012</v>
      </c>
      <c r="F78">
        <v>1</v>
      </c>
      <c r="G78">
        <v>2</v>
      </c>
      <c r="H78" t="s">
        <v>524</v>
      </c>
      <c r="I78" t="s">
        <v>12</v>
      </c>
      <c r="J78" t="s">
        <v>502</v>
      </c>
      <c r="K78">
        <v>60</v>
      </c>
      <c r="L78">
        <v>-1</v>
      </c>
      <c r="M78">
        <v>16</v>
      </c>
      <c r="N78">
        <v>5</v>
      </c>
      <c r="O78">
        <v>7.5</v>
      </c>
      <c r="P78">
        <v>110</v>
      </c>
      <c r="Q78">
        <v>20</v>
      </c>
      <c r="R78">
        <v>35</v>
      </c>
      <c r="S78">
        <v>0.95</v>
      </c>
      <c r="T78" t="s">
        <v>300</v>
      </c>
      <c r="U78">
        <v>2</v>
      </c>
      <c r="V78" s="2" t="s">
        <v>318</v>
      </c>
      <c r="W78" s="2"/>
      <c r="X78" s="2"/>
      <c r="Y78" s="2"/>
      <c r="Z78" s="2"/>
      <c r="AA78" s="2"/>
      <c r="AB78" s="2"/>
      <c r="AC78" s="2"/>
      <c r="AD78" s="2"/>
      <c r="AE78" s="2"/>
      <c r="AM78">
        <v>8</v>
      </c>
      <c r="AP78" s="2">
        <f>(SQRT(K78*R78)*POWER((MIN(M78,20)+SQRT(MAX(M78-20,0))),0.9)*Data!$B$1)*(1-(S78-1))</f>
        <v>43.759081158234544</v>
      </c>
      <c r="AQ78" s="2"/>
      <c r="AR78" s="2">
        <f>((POWER((K78*K78*R78), 0.33)*LOG10(P78)*10*Data!$B$1)*S78)+AQ78</f>
        <v>70.118675319420305</v>
      </c>
      <c r="AS78" s="2">
        <f t="shared" si="30"/>
        <v>48.387096774193552</v>
      </c>
      <c r="AT78" s="2">
        <f t="shared" si="19"/>
        <v>0</v>
      </c>
      <c r="AV78" s="2">
        <v>1</v>
      </c>
      <c r="AW78" s="2">
        <v>1</v>
      </c>
      <c r="AX78" s="2">
        <f t="shared" si="31"/>
        <v>35</v>
      </c>
      <c r="AY78" s="2">
        <f t="shared" si="32"/>
        <v>35</v>
      </c>
      <c r="AZ78" s="3">
        <v>10.199999999999999</v>
      </c>
      <c r="BA78" s="3">
        <v>2.2999999999999998</v>
      </c>
      <c r="BB78" s="3">
        <v>2.7</v>
      </c>
      <c r="BC78" s="2" t="str">
        <f>CONCATENATE(
ROUND(AZ78*VLOOKUP(I78,'ID Scheme'!$A$2:$E$7,3),0), "x",
ROUND(BA78*VLOOKUP(I78,'ID Scheme'!$A$2:$E$7,5),0), "x",
ROUND(BB78*VLOOKUP(I78,'ID Scheme'!$A$2:$E$7,4),0))</f>
        <v>95x33x26</v>
      </c>
    </row>
    <row r="79" spans="1:56" x14ac:dyDescent="0.25">
      <c r="A79" t="s">
        <v>638</v>
      </c>
      <c r="B79" t="s">
        <v>639</v>
      </c>
      <c r="C79" t="s">
        <v>286</v>
      </c>
      <c r="D79">
        <f>IF(E79 &gt; 2020, ((E79-2020)*4)+1610+G79,IF(E79 &gt; 1900, ((E79-1900)*10)+400+G79, ((E79-1730)*2)+G79))+VLOOKUP(I79,'ID Scheme'!$A$2:$B$7,2, FALSE)</f>
        <v>2131</v>
      </c>
      <c r="E79">
        <v>2013</v>
      </c>
      <c r="F79">
        <v>5</v>
      </c>
      <c r="G79">
        <v>1</v>
      </c>
      <c r="H79" t="s">
        <v>524</v>
      </c>
      <c r="I79" t="s">
        <v>12</v>
      </c>
      <c r="J79" t="s">
        <v>502</v>
      </c>
      <c r="K79">
        <v>59</v>
      </c>
      <c r="L79">
        <v>-1</v>
      </c>
      <c r="M79">
        <v>18</v>
      </c>
      <c r="N79">
        <v>5</v>
      </c>
      <c r="O79">
        <v>6</v>
      </c>
      <c r="P79">
        <v>175</v>
      </c>
      <c r="Q79">
        <v>20</v>
      </c>
      <c r="R79">
        <v>59</v>
      </c>
      <c r="S79">
        <v>1</v>
      </c>
      <c r="T79" t="s">
        <v>290</v>
      </c>
      <c r="U79">
        <v>3</v>
      </c>
      <c r="V79" s="2" t="s">
        <v>640</v>
      </c>
      <c r="W79" s="2"/>
      <c r="X79" s="2"/>
      <c r="Y79" s="2"/>
      <c r="Z79" s="2"/>
      <c r="AA79" s="2"/>
      <c r="AB79" s="2"/>
      <c r="AC79" s="2"/>
      <c r="AD79" s="2"/>
      <c r="AE79" s="2"/>
      <c r="AM79">
        <v>8</v>
      </c>
      <c r="AP79" s="2">
        <f>(SQRT(K79*R79)*POWER((MIN(M79,20)+SQRT(MAX(M79-20,0))),0.9)*Data!$B$1)*(1-(S79-1))</f>
        <v>59.656604337726122</v>
      </c>
      <c r="AQ79" s="2"/>
      <c r="AR79" s="2">
        <f>((POWER((K79*K79*R79), 0.33)*LOG10(P79)*10*Data!$B$1)*S79)+AQ79</f>
        <v>95.288698571508277</v>
      </c>
      <c r="AS79" s="2">
        <f t="shared" si="30"/>
        <v>47.58064516129032</v>
      </c>
      <c r="AT79" s="2">
        <f t="shared" si="19"/>
        <v>0</v>
      </c>
      <c r="AV79" s="2">
        <v>1</v>
      </c>
      <c r="AW79" s="2">
        <v>1</v>
      </c>
      <c r="AX79" s="2">
        <f t="shared" si="31"/>
        <v>59</v>
      </c>
      <c r="AY79" s="2">
        <f t="shared" si="32"/>
        <v>59</v>
      </c>
      <c r="AZ79" s="3">
        <v>10.199999999999999</v>
      </c>
      <c r="BA79" s="3">
        <v>2.4</v>
      </c>
      <c r="BB79" s="3">
        <v>2.7</v>
      </c>
      <c r="BC79" s="2" t="str">
        <f>CONCATENATE(
ROUND(AZ79*VLOOKUP(I79,'ID Scheme'!$A$2:$E$7,3),0), "x",
ROUND(BA79*VLOOKUP(I79,'ID Scheme'!$A$2:$E$7,5),0), "x",
ROUND(BB79*VLOOKUP(I79,'ID Scheme'!$A$2:$E$7,4),0))</f>
        <v>95x35x26</v>
      </c>
    </row>
    <row r="80" spans="1:56" x14ac:dyDescent="0.25">
      <c r="A80" t="s">
        <v>490</v>
      </c>
      <c r="B80" t="s">
        <v>492</v>
      </c>
      <c r="C80" t="s">
        <v>286</v>
      </c>
      <c r="D80">
        <f>IF(E80 &gt; 2020, ((E80-2020)*4)+1610+G80,IF(E80 &gt; 1900, ((E80-1900)*10)+400+G80, ((E80-1730)*2)+G80))+VLOOKUP(I80,'ID Scheme'!$A$2:$B$7,2, FALSE)</f>
        <v>2141</v>
      </c>
      <c r="E80">
        <v>2014</v>
      </c>
      <c r="F80">
        <v>10</v>
      </c>
      <c r="G80">
        <v>1</v>
      </c>
      <c r="H80" t="s">
        <v>524</v>
      </c>
      <c r="I80" t="s">
        <v>12</v>
      </c>
      <c r="J80" t="s">
        <v>502</v>
      </c>
      <c r="K80">
        <v>60</v>
      </c>
      <c r="L80">
        <v>-1</v>
      </c>
      <c r="M80">
        <v>20</v>
      </c>
      <c r="N80">
        <v>7</v>
      </c>
      <c r="O80">
        <v>11</v>
      </c>
      <c r="P80">
        <v>240</v>
      </c>
      <c r="Q80">
        <v>20</v>
      </c>
      <c r="R80">
        <v>90</v>
      </c>
      <c r="S80">
        <v>0.9</v>
      </c>
      <c r="T80" t="s">
        <v>300</v>
      </c>
      <c r="U80">
        <v>3</v>
      </c>
      <c r="V80" s="2" t="s">
        <v>491</v>
      </c>
      <c r="W80" s="2"/>
      <c r="X80" s="2"/>
      <c r="Y80" s="2"/>
      <c r="Z80" s="2"/>
      <c r="AA80" s="2"/>
      <c r="AB80" s="2"/>
      <c r="AC80" s="2"/>
      <c r="AD80" s="2"/>
      <c r="AE80" s="2"/>
      <c r="AM80">
        <v>8</v>
      </c>
      <c r="AP80" s="2">
        <f>(SQRT(K80*R80)*POWER((MIN(M80,20)+SQRT(MAX(M80-20,0))),0.9)*Data!$B$1)*(1-(S80-1))</f>
        <v>89.86236093998113</v>
      </c>
      <c r="AQ80" s="2"/>
      <c r="AR80" s="2">
        <f>((POWER((K80*K80*R80), 0.33)*LOG10(P80)*10*Data!$B$1)*S80)+AQ80</f>
        <v>105.77891991708935</v>
      </c>
      <c r="AS80" s="2">
        <f t="shared" si="30"/>
        <v>48.387096774193552</v>
      </c>
      <c r="AT80" s="2">
        <f t="shared" ref="AT80:AT105" si="33">AF80/1.24</f>
        <v>0</v>
      </c>
      <c r="AV80" s="2">
        <v>1</v>
      </c>
      <c r="AW80" s="2">
        <v>1</v>
      </c>
      <c r="AX80" s="2">
        <f t="shared" si="31"/>
        <v>90</v>
      </c>
      <c r="AY80" s="2">
        <f t="shared" si="32"/>
        <v>90</v>
      </c>
      <c r="AZ80" s="3">
        <v>11.4</v>
      </c>
      <c r="BA80" s="3">
        <v>2.5499999999999998</v>
      </c>
      <c r="BB80" s="3">
        <v>4.2</v>
      </c>
      <c r="BC80" s="2" t="str">
        <f>CONCATENATE(
ROUND(AZ80*VLOOKUP(I80,'ID Scheme'!$A$2:$E$7,3),0), "x",
ROUND(BA80*VLOOKUP(I80,'ID Scheme'!$A$2:$E$7,5),0), "x",
ROUND(BB80*VLOOKUP(I80,'ID Scheme'!$A$2:$E$7,4),0))</f>
        <v>106x37x41</v>
      </c>
    </row>
    <row r="81" spans="1:56" x14ac:dyDescent="0.25">
      <c r="A81" t="s">
        <v>606</v>
      </c>
      <c r="B81" t="s">
        <v>605</v>
      </c>
      <c r="C81" t="s">
        <v>286</v>
      </c>
      <c r="D81">
        <f>IF(E81 &gt; 2020, ((E81-2020)*4)+1610+G81,IF(E81 &gt; 1900, ((E81-1900)*10)+400+G81, ((E81-1730)*2)+G81))+VLOOKUP(I81,'ID Scheme'!$A$2:$B$7,2, FALSE)</f>
        <v>2201</v>
      </c>
      <c r="E81">
        <v>2020</v>
      </c>
      <c r="F81">
        <v>1</v>
      </c>
      <c r="G81">
        <v>1</v>
      </c>
      <c r="H81" t="s">
        <v>524</v>
      </c>
      <c r="I81" t="s">
        <v>12</v>
      </c>
      <c r="J81" t="s">
        <v>502</v>
      </c>
      <c r="K81">
        <v>55</v>
      </c>
      <c r="L81">
        <v>-1</v>
      </c>
      <c r="M81">
        <v>20</v>
      </c>
      <c r="N81">
        <v>7</v>
      </c>
      <c r="O81">
        <v>12</v>
      </c>
      <c r="P81">
        <v>300</v>
      </c>
      <c r="Q81">
        <v>20</v>
      </c>
      <c r="R81">
        <v>90</v>
      </c>
      <c r="S81">
        <v>0.75</v>
      </c>
      <c r="T81" t="s">
        <v>607</v>
      </c>
      <c r="U81">
        <v>1</v>
      </c>
      <c r="V81" s="2" t="s">
        <v>608</v>
      </c>
      <c r="W81" s="2"/>
      <c r="X81" s="2"/>
      <c r="Y81" s="2"/>
      <c r="Z81" s="2"/>
      <c r="AA81" s="2"/>
      <c r="AB81" s="2"/>
      <c r="AC81" s="2"/>
      <c r="AD81" s="2"/>
      <c r="AE81" s="2"/>
      <c r="AM81">
        <v>8</v>
      </c>
      <c r="AP81" s="2">
        <f>(SQRT(K81*R81)*POWER((MIN(M81,20)+SQRT(MAX(M81-20,0))),0.9)*Data!$B$1)*(1-(S81-1))</f>
        <v>97.768932194229819</v>
      </c>
      <c r="AQ81" s="2"/>
      <c r="AR81" s="2">
        <f>((POWER((K81*K81*R81), 0.33)*LOG10(P81)*10*Data!$B$1)*S81)+AQ81</f>
        <v>86.618208225799165</v>
      </c>
      <c r="AS81" s="2">
        <f t="shared" ref="AS81" si="34">K81/1.24</f>
        <v>44.354838709677416</v>
      </c>
      <c r="AT81" s="2">
        <f t="shared" ref="AT81" si="35">AF81/1.24</f>
        <v>0</v>
      </c>
      <c r="AV81" s="2">
        <v>1</v>
      </c>
      <c r="AW81" s="2">
        <v>1</v>
      </c>
      <c r="AX81" s="2">
        <f t="shared" ref="AX81" si="36">R81/AW81</f>
        <v>90</v>
      </c>
      <c r="AY81" s="2">
        <f t="shared" ref="AY81" si="37">(R81)/MAX(AV81-1, 1)</f>
        <v>90</v>
      </c>
      <c r="AZ81" s="3">
        <v>11.4</v>
      </c>
      <c r="BA81" s="3">
        <v>2.5499999999999998</v>
      </c>
      <c r="BB81" s="3">
        <v>4.2</v>
      </c>
      <c r="BC81" s="2" t="str">
        <f>CONCATENATE(
ROUND(AZ81*VLOOKUP(I81,'ID Scheme'!$A$2:$E$7,3),0), "x",
ROUND(BA81*VLOOKUP(I81,'ID Scheme'!$A$2:$E$7,5),0), "x",
ROUND(BB81*VLOOKUP(I81,'ID Scheme'!$A$2:$E$7,4),0))</f>
        <v>106x37x41</v>
      </c>
    </row>
    <row r="82" spans="1:56" x14ac:dyDescent="0.25">
      <c r="A82" t="s">
        <v>39</v>
      </c>
      <c r="B82" t="s">
        <v>228</v>
      </c>
      <c r="C82" t="s">
        <v>328</v>
      </c>
      <c r="D82">
        <f>IF(E82 &gt; 2020, ((E82-2020)*4)+1610+G82,IF(E82 &gt; 1900, ((E82-1900)*10)+400+G82, ((E82-1730)*2)+G82))+VLOOKUP(I82,'ID Scheme'!$A$2:$B$7,2, FALSE)</f>
        <v>2935</v>
      </c>
      <c r="E82">
        <v>1897</v>
      </c>
      <c r="F82">
        <v>1</v>
      </c>
      <c r="G82">
        <v>1</v>
      </c>
      <c r="H82" t="s">
        <v>523</v>
      </c>
      <c r="I82" t="s">
        <v>13</v>
      </c>
      <c r="J82" t="s">
        <v>509</v>
      </c>
      <c r="K82">
        <v>20</v>
      </c>
      <c r="L82">
        <v>20</v>
      </c>
      <c r="M82">
        <v>15</v>
      </c>
      <c r="N82">
        <v>5</v>
      </c>
      <c r="O82">
        <v>4</v>
      </c>
      <c r="P82">
        <v>20</v>
      </c>
      <c r="Q82">
        <v>20</v>
      </c>
      <c r="R82">
        <v>13</v>
      </c>
      <c r="S82">
        <v>1</v>
      </c>
      <c r="T82" t="s">
        <v>289</v>
      </c>
      <c r="U82">
        <v>-3</v>
      </c>
      <c r="V82" s="2" t="s">
        <v>330</v>
      </c>
      <c r="W82" s="2"/>
      <c r="X82" s="2"/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6</v>
      </c>
      <c r="AP82" s="2">
        <f>(SQRT(K82*R82)*POWER((MIN(M82,20)+SQRT(MAX(M82-20,0))),0.9)*Data!$B$1)*(1-(S82-1))</f>
        <v>13.836621803521316</v>
      </c>
      <c r="AQ82" s="2"/>
      <c r="AR82" s="2">
        <f>((POWER((K82*K82*R82), 0.33)*LOG10(P82)*10*Data!$B$1)*S82)+AQ82</f>
        <v>16.429701619516372</v>
      </c>
      <c r="AS82" s="2">
        <f t="shared" si="30"/>
        <v>16.129032258064516</v>
      </c>
      <c r="AT82" s="2">
        <f t="shared" si="33"/>
        <v>0</v>
      </c>
      <c r="AV82" s="2">
        <v>1</v>
      </c>
      <c r="AW82" s="2">
        <v>1</v>
      </c>
      <c r="AX82" s="2">
        <f t="shared" si="31"/>
        <v>13</v>
      </c>
      <c r="AY82" s="2">
        <f t="shared" si="32"/>
        <v>13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8</v>
      </c>
      <c r="B83" t="s">
        <v>197</v>
      </c>
      <c r="C83" t="s">
        <v>328</v>
      </c>
      <c r="D83">
        <f>IF(E83 &gt; 2020, ((E83-2020)*4)+1610+G83,IF(E83 &gt; 1900, ((E83-1900)*10)+400+G83, ((E83-1730)*2)+G83))+VLOOKUP(I83,'ID Scheme'!$A$2:$B$7,2, FALSE)</f>
        <v>3021</v>
      </c>
      <c r="E83">
        <v>1902</v>
      </c>
      <c r="F83">
        <v>1</v>
      </c>
      <c r="G83">
        <v>1</v>
      </c>
      <c r="H83" t="s">
        <v>523</v>
      </c>
      <c r="I83" t="s">
        <v>13</v>
      </c>
      <c r="J83" t="s">
        <v>509</v>
      </c>
      <c r="K83">
        <v>19</v>
      </c>
      <c r="L83">
        <v>20</v>
      </c>
      <c r="M83">
        <v>15</v>
      </c>
      <c r="N83">
        <v>5</v>
      </c>
      <c r="O83">
        <v>5</v>
      </c>
      <c r="P83">
        <v>35</v>
      </c>
      <c r="Q83">
        <v>20</v>
      </c>
      <c r="R83">
        <v>16</v>
      </c>
      <c r="S83">
        <v>1</v>
      </c>
      <c r="T83" t="s">
        <v>289</v>
      </c>
      <c r="U83">
        <v>-3</v>
      </c>
      <c r="V83" s="2" t="s">
        <v>333</v>
      </c>
      <c r="W83" s="2"/>
      <c r="X83" s="2"/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8</v>
      </c>
      <c r="AP83" s="2">
        <f>(SQRT(K83*R83)*POWER((MIN(M83,20)+SQRT(MAX(M83-20,0))),0.9)*Data!$B$1)*(1-(S83-1))</f>
        <v>14.961674023450612</v>
      </c>
      <c r="AQ83" s="2"/>
      <c r="AR83" s="2">
        <f>((POWER((K83*K83*R83), 0.33)*LOG10(P83)*10*Data!$B$1)*S83)+AQ83</f>
        <v>20.186669341050663</v>
      </c>
      <c r="AS83" s="2">
        <f t="shared" si="30"/>
        <v>15.32258064516129</v>
      </c>
      <c r="AT83" s="2">
        <f t="shared" si="33"/>
        <v>0</v>
      </c>
      <c r="AV83" s="2">
        <v>1</v>
      </c>
      <c r="AW83" s="2">
        <v>1</v>
      </c>
      <c r="AX83" s="2">
        <f t="shared" si="31"/>
        <v>16</v>
      </c>
      <c r="AY83" s="2">
        <f t="shared" si="32"/>
        <v>16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22</v>
      </c>
      <c r="B84" t="s">
        <v>229</v>
      </c>
      <c r="C84" t="s">
        <v>328</v>
      </c>
      <c r="D84">
        <f>IF(E84 &gt; 2020, ((E84-2020)*4)+1610+G84,IF(E84 &gt; 1900, ((E84-1900)*10)+400+G84, ((E84-1730)*2)+G84))+VLOOKUP(I84,'ID Scheme'!$A$2:$B$7,2, FALSE)</f>
        <v>3071</v>
      </c>
      <c r="E84">
        <v>1907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22</v>
      </c>
      <c r="L84">
        <v>15</v>
      </c>
      <c r="M84">
        <v>15</v>
      </c>
      <c r="N84">
        <v>5</v>
      </c>
      <c r="O84">
        <v>5.5</v>
      </c>
      <c r="P84">
        <v>35</v>
      </c>
      <c r="Q84">
        <v>20</v>
      </c>
      <c r="R84">
        <v>18</v>
      </c>
      <c r="S84">
        <v>1</v>
      </c>
      <c r="T84" t="s">
        <v>290</v>
      </c>
      <c r="U84">
        <v>2</v>
      </c>
      <c r="V84" s="2" t="s">
        <v>334</v>
      </c>
      <c r="W84" s="2" t="s">
        <v>332</v>
      </c>
      <c r="X84" s="2"/>
      <c r="Y84" s="2"/>
      <c r="Z84" s="2"/>
      <c r="AA84" s="2" t="s">
        <v>332</v>
      </c>
      <c r="AB84" s="2" t="s">
        <v>332</v>
      </c>
      <c r="AC84" s="2"/>
      <c r="AD84" s="2"/>
      <c r="AE84" s="2"/>
      <c r="AM84">
        <v>7</v>
      </c>
      <c r="AP84" s="2">
        <f>(SQRT(K84*R84)*POWER((MIN(M84,20)+SQRT(MAX(M84-20,0))),0.9)*Data!$B$1)*(1-(S84-1))</f>
        <v>17.076190437355692</v>
      </c>
      <c r="AQ84" s="2"/>
      <c r="AR84" s="2">
        <f>((POWER((K84*K84*R84), 0.33)*LOG10(P84)*10*Data!$B$1)*S84)+AQ84</f>
        <v>23.11886954917755</v>
      </c>
      <c r="AS84" s="2">
        <f t="shared" si="30"/>
        <v>17.741935483870968</v>
      </c>
      <c r="AT84" s="2">
        <f t="shared" si="33"/>
        <v>0</v>
      </c>
      <c r="AV84" s="2">
        <v>1</v>
      </c>
      <c r="AW84" s="2">
        <v>1</v>
      </c>
      <c r="AX84" s="2">
        <f t="shared" si="31"/>
        <v>18</v>
      </c>
      <c r="AY84" s="2">
        <f t="shared" si="32"/>
        <v>18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235</v>
      </c>
      <c r="B85" t="s">
        <v>234</v>
      </c>
      <c r="C85" t="s">
        <v>328</v>
      </c>
      <c r="D85">
        <f>IF(E85 &gt; 2020, ((E85-2020)*4)+1610+G85,IF(E85 &gt; 1900, ((E85-1900)*10)+400+G85, ((E85-1730)*2)+G85))+VLOOKUP(I85,'ID Scheme'!$A$2:$B$7,2, FALSE)</f>
        <v>3131</v>
      </c>
      <c r="E85">
        <v>1913</v>
      </c>
      <c r="F85">
        <v>1</v>
      </c>
      <c r="G85">
        <v>1</v>
      </c>
      <c r="H85" t="s">
        <v>523</v>
      </c>
      <c r="I85" t="s">
        <v>13</v>
      </c>
      <c r="J85" t="s">
        <v>509</v>
      </c>
      <c r="K85">
        <v>24</v>
      </c>
      <c r="L85">
        <v>20</v>
      </c>
      <c r="M85">
        <v>18</v>
      </c>
      <c r="N85">
        <v>5</v>
      </c>
      <c r="O85">
        <v>4.5</v>
      </c>
      <c r="P85">
        <v>30</v>
      </c>
      <c r="Q85">
        <v>20</v>
      </c>
      <c r="R85">
        <v>18</v>
      </c>
      <c r="S85">
        <v>1</v>
      </c>
      <c r="T85" t="s">
        <v>290</v>
      </c>
      <c r="U85">
        <v>2</v>
      </c>
      <c r="V85" s="2" t="s">
        <v>479</v>
      </c>
      <c r="W85" s="2" t="s">
        <v>332</v>
      </c>
      <c r="X85" s="2" t="s">
        <v>332</v>
      </c>
      <c r="Y85" s="2"/>
      <c r="Z85" s="2"/>
      <c r="AA85" s="2" t="s">
        <v>332</v>
      </c>
      <c r="AB85" s="2" t="s">
        <v>332</v>
      </c>
      <c r="AC85" s="2"/>
      <c r="AD85" s="2"/>
      <c r="AE85" s="2"/>
      <c r="AM85">
        <v>7</v>
      </c>
      <c r="AP85" s="2">
        <f>(SQRT(K85*R85)*POWER((MIN(M85,20)+SQRT(MAX(M85-20,0))),0.9)*Data!$B$1)*(1-(S85-1))</f>
        <v>21.01591926507977</v>
      </c>
      <c r="AQ85" s="2"/>
      <c r="AR85" s="2">
        <f>((POWER((K85*K85*R85), 0.33)*LOG10(P85)*10*Data!$B$1)*S85)+AQ85</f>
        <v>23.42376794797384</v>
      </c>
      <c r="AS85" s="2">
        <f t="shared" si="30"/>
        <v>19.35483870967742</v>
      </c>
      <c r="AT85" s="2">
        <f t="shared" si="33"/>
        <v>0</v>
      </c>
      <c r="AV85" s="2">
        <v>1</v>
      </c>
      <c r="AW85" s="2">
        <v>1</v>
      </c>
      <c r="AX85" s="2">
        <f t="shared" si="31"/>
        <v>18</v>
      </c>
      <c r="AY85" s="2">
        <f t="shared" si="32"/>
        <v>18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599</v>
      </c>
      <c r="B86" t="s">
        <v>600</v>
      </c>
      <c r="C86" t="s">
        <v>328</v>
      </c>
      <c r="D86">
        <f>IF(E86 &gt; 2020, ((E86-2020)*4)+1610+G86,IF(E86 &gt; 1900, ((E86-1900)*10)+400+G86, ((E86-1730)*2)+G86))+VLOOKUP(I86,'ID Scheme'!$A$2:$B$7,2, FALSE)</f>
        <v>3231</v>
      </c>
      <c r="E86">
        <v>1923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28</v>
      </c>
      <c r="L86">
        <v>21</v>
      </c>
      <c r="M86">
        <v>19</v>
      </c>
      <c r="N86">
        <v>5</v>
      </c>
      <c r="O86">
        <v>4.5</v>
      </c>
      <c r="P86">
        <v>40</v>
      </c>
      <c r="Q86">
        <v>20</v>
      </c>
      <c r="R86">
        <v>18</v>
      </c>
      <c r="S86">
        <v>1</v>
      </c>
      <c r="T86" t="s">
        <v>290</v>
      </c>
      <c r="U86">
        <v>2</v>
      </c>
      <c r="V86" s="2" t="s">
        <v>601</v>
      </c>
      <c r="W86" s="2" t="s">
        <v>332</v>
      </c>
      <c r="X86" s="2" t="s">
        <v>332</v>
      </c>
      <c r="Y86" s="2"/>
      <c r="Z86" s="2"/>
      <c r="AA86" s="2" t="s">
        <v>332</v>
      </c>
      <c r="AB86" s="2" t="s">
        <v>332</v>
      </c>
      <c r="AC86" s="2"/>
      <c r="AD86" s="2"/>
      <c r="AE86" s="2"/>
      <c r="AM86">
        <v>7</v>
      </c>
      <c r="AP86" s="2">
        <f>(SQRT(K86*R86)*POWER((MIN(M86,20)+SQRT(MAX(M86-20,0))),0.9)*Data!$B$1)*(1-(S86-1))</f>
        <v>23.83168624016955</v>
      </c>
      <c r="AQ86" s="2"/>
      <c r="AR86" s="2">
        <f>((POWER((K86*K86*R86), 0.33)*LOG10(P86)*10*Data!$B$1)*S86)+AQ86</f>
        <v>28.125759935399518</v>
      </c>
      <c r="AS86" s="2">
        <f t="shared" si="30"/>
        <v>22.580645161290324</v>
      </c>
      <c r="AT86" s="2">
        <f t="shared" ref="AT86" si="38">AF86/1.24</f>
        <v>0</v>
      </c>
      <c r="AV86" s="2">
        <v>1</v>
      </c>
      <c r="AW86" s="2">
        <v>1</v>
      </c>
      <c r="AX86" s="2">
        <f t="shared" si="31"/>
        <v>18</v>
      </c>
      <c r="AY86" s="2">
        <f t="shared" si="32"/>
        <v>18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60</v>
      </c>
      <c r="B87" t="s">
        <v>219</v>
      </c>
      <c r="C87" t="s">
        <v>328</v>
      </c>
      <c r="D87">
        <f>IF(E87 &gt; 2020, ((E87-2020)*4)+1610+G87,IF(E87 &gt; 1900, ((E87-1900)*10)+400+G87, ((E87-1730)*2)+G87))+VLOOKUP(I87,'ID Scheme'!$A$2:$B$7,2, FALSE)</f>
        <v>3281</v>
      </c>
      <c r="E87">
        <v>1928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37</v>
      </c>
      <c r="L87">
        <v>20</v>
      </c>
      <c r="M87">
        <v>16</v>
      </c>
      <c r="N87">
        <v>5</v>
      </c>
      <c r="O87">
        <v>6</v>
      </c>
      <c r="P87">
        <v>100</v>
      </c>
      <c r="Q87">
        <v>20</v>
      </c>
      <c r="R87">
        <v>15</v>
      </c>
      <c r="S87">
        <v>1.05</v>
      </c>
      <c r="T87" t="s">
        <v>289</v>
      </c>
      <c r="U87">
        <v>-3</v>
      </c>
      <c r="V87" s="2" t="s">
        <v>335</v>
      </c>
      <c r="W87" s="2" t="s">
        <v>332</v>
      </c>
      <c r="X87" s="2"/>
      <c r="Y87" s="2"/>
      <c r="Z87" s="2"/>
      <c r="AA87" s="2" t="s">
        <v>332</v>
      </c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20.353511393559973</v>
      </c>
      <c r="AQ87" s="2"/>
      <c r="AR87" s="2">
        <f>((POWER((K87*K87*R87), 0.33)*LOG10(P87)*10*Data!$B$1)*S87)+AQ87</f>
        <v>41.725717318942067</v>
      </c>
      <c r="AS87" s="2">
        <f t="shared" si="30"/>
        <v>29.838709677419356</v>
      </c>
      <c r="AT87" s="2">
        <f t="shared" si="33"/>
        <v>0</v>
      </c>
      <c r="AV87" s="2">
        <v>1</v>
      </c>
      <c r="AW87" s="2">
        <v>1</v>
      </c>
      <c r="AX87" s="2">
        <f t="shared" si="31"/>
        <v>15</v>
      </c>
      <c r="AY87" s="2">
        <f t="shared" si="32"/>
        <v>15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61</v>
      </c>
      <c r="B88" t="s">
        <v>190</v>
      </c>
      <c r="C88" t="s">
        <v>328</v>
      </c>
      <c r="D88">
        <f>IF(E88 &gt; 2020, ((E88-2020)*4)+1610+G88,IF(E88 &gt; 1900, ((E88-1900)*10)+400+G88, ((E88-1730)*2)+G88))+VLOOKUP(I88,'ID Scheme'!$A$2:$B$7,2, FALSE)</f>
        <v>3351</v>
      </c>
      <c r="E88">
        <v>1935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29</v>
      </c>
      <c r="L88">
        <v>25</v>
      </c>
      <c r="M88">
        <v>15</v>
      </c>
      <c r="N88">
        <v>5</v>
      </c>
      <c r="O88">
        <v>7</v>
      </c>
      <c r="P88">
        <v>110</v>
      </c>
      <c r="Q88">
        <v>20</v>
      </c>
      <c r="R88">
        <v>24</v>
      </c>
      <c r="S88">
        <v>1</v>
      </c>
      <c r="T88" t="s">
        <v>290</v>
      </c>
      <c r="U88">
        <v>3</v>
      </c>
      <c r="V88" s="2" t="s">
        <v>336</v>
      </c>
      <c r="W88" s="2" t="s">
        <v>332</v>
      </c>
      <c r="X88" s="2"/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22.638519219874436</v>
      </c>
      <c r="AQ88" s="2"/>
      <c r="AR88" s="2">
        <f>((POWER((K88*K88*R88), 0.33)*LOG10(P88)*10*Data!$B$1)*S88)+AQ88</f>
        <v>40.331112889521961</v>
      </c>
      <c r="AS88" s="2">
        <f t="shared" si="30"/>
        <v>23.387096774193548</v>
      </c>
      <c r="AT88" s="2">
        <f t="shared" si="33"/>
        <v>0</v>
      </c>
      <c r="AV88" s="2">
        <v>1</v>
      </c>
      <c r="AW88" s="2">
        <v>1</v>
      </c>
      <c r="AX88" s="2">
        <f t="shared" si="31"/>
        <v>24</v>
      </c>
      <c r="AY88" s="2">
        <f t="shared" si="32"/>
        <v>24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0</v>
      </c>
      <c r="B89" t="s">
        <v>207</v>
      </c>
      <c r="C89" t="s">
        <v>328</v>
      </c>
      <c r="D89">
        <f>IF(E89 &gt; 2020, ((E89-2020)*4)+1610+G89,IF(E89 &gt; 1900, ((E89-1900)*10)+400+G89, ((E89-1730)*2)+G89))+VLOOKUP(I89,'ID Scheme'!$A$2:$B$7,2, FALSE)</f>
        <v>3361</v>
      </c>
      <c r="E89">
        <v>1936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37</v>
      </c>
      <c r="L89">
        <v>20</v>
      </c>
      <c r="M89">
        <v>15</v>
      </c>
      <c r="N89">
        <v>5</v>
      </c>
      <c r="O89">
        <v>5.5</v>
      </c>
      <c r="P89">
        <v>70</v>
      </c>
      <c r="Q89">
        <v>20</v>
      </c>
      <c r="R89">
        <v>20</v>
      </c>
      <c r="S89">
        <v>1</v>
      </c>
      <c r="T89" t="s">
        <v>290</v>
      </c>
      <c r="U89">
        <v>2</v>
      </c>
      <c r="V89" s="2" t="s">
        <v>337</v>
      </c>
      <c r="W89" s="2" t="s">
        <v>332</v>
      </c>
      <c r="X89" s="2"/>
      <c r="Y89" s="2"/>
      <c r="Z89" s="2"/>
      <c r="AA89" s="2" t="s">
        <v>332</v>
      </c>
      <c r="AB89" s="2" t="s">
        <v>332</v>
      </c>
      <c r="AC89" s="2"/>
      <c r="AD89" s="2"/>
      <c r="AE89" s="2"/>
      <c r="AM89">
        <v>7</v>
      </c>
      <c r="AP89" s="2">
        <f>(SQRT(K89*R89)*POWER((MIN(M89,20)+SQRT(MAX(M89-20,0))),0.9)*Data!$B$1)*(1-(S89-1))</f>
        <v>23.343139015970831</v>
      </c>
      <c r="AQ89" s="2"/>
      <c r="AR89" s="2">
        <f>((POWER((K89*K89*R89), 0.33)*LOG10(P89)*10*Data!$B$1)*S89)+AQ89</f>
        <v>40.311944493951287</v>
      </c>
      <c r="AS89" s="2">
        <f t="shared" si="30"/>
        <v>29.838709677419356</v>
      </c>
      <c r="AT89" s="2">
        <f t="shared" si="33"/>
        <v>0</v>
      </c>
      <c r="AV89" s="2">
        <v>1</v>
      </c>
      <c r="AW89" s="2">
        <v>1</v>
      </c>
      <c r="AX89" s="2">
        <f t="shared" si="31"/>
        <v>20</v>
      </c>
      <c r="AY89" s="2">
        <f t="shared" si="32"/>
        <v>20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602</v>
      </c>
      <c r="B90" t="s">
        <v>603</v>
      </c>
      <c r="C90" t="s">
        <v>328</v>
      </c>
      <c r="D90">
        <f>IF(E90 &gt; 2020, ((E90-2020)*4)+1610+G90,IF(E90 &gt; 1900, ((E90-1900)*10)+400+G90, ((E90-1730)*2)+G90))+VLOOKUP(I90,'ID Scheme'!$A$2:$B$7,2, FALSE)</f>
        <v>3491</v>
      </c>
      <c r="E90">
        <v>1949</v>
      </c>
      <c r="F90">
        <v>7</v>
      </c>
      <c r="G90">
        <v>1</v>
      </c>
      <c r="H90" t="s">
        <v>523</v>
      </c>
      <c r="I90" t="s">
        <v>13</v>
      </c>
      <c r="J90" t="s">
        <v>502</v>
      </c>
      <c r="K90">
        <v>46</v>
      </c>
      <c r="L90">
        <v>18</v>
      </c>
      <c r="M90">
        <v>15</v>
      </c>
      <c r="N90">
        <v>5</v>
      </c>
      <c r="O90">
        <v>6</v>
      </c>
      <c r="P90">
        <v>90</v>
      </c>
      <c r="Q90">
        <v>20</v>
      </c>
      <c r="R90">
        <v>19</v>
      </c>
      <c r="S90">
        <v>1</v>
      </c>
      <c r="T90" t="s">
        <v>290</v>
      </c>
      <c r="U90">
        <v>2</v>
      </c>
      <c r="V90" s="2" t="s">
        <v>604</v>
      </c>
      <c r="W90" s="2" t="s">
        <v>332</v>
      </c>
      <c r="X90" s="2" t="s">
        <v>332</v>
      </c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25.368752581748886</v>
      </c>
      <c r="AQ90" s="2"/>
      <c r="AR90" s="2">
        <f>((POWER((K90*K90*R90), 0.33)*LOG10(P90)*10*Data!$B$1)*S90)+AQ90</f>
        <v>48.467272071279751</v>
      </c>
      <c r="AS90" s="2">
        <f t="shared" si="30"/>
        <v>37.096774193548384</v>
      </c>
      <c r="AT90" s="2">
        <f t="shared" ref="AT90" si="39">AF90/1.24</f>
        <v>0</v>
      </c>
      <c r="AV90" s="2">
        <v>1</v>
      </c>
      <c r="AW90" s="2">
        <v>1</v>
      </c>
      <c r="AX90" s="2">
        <f t="shared" si="31"/>
        <v>19</v>
      </c>
      <c r="AY90" s="2">
        <f t="shared" si="32"/>
        <v>19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1</v>
      </c>
      <c r="B91" t="s">
        <v>209</v>
      </c>
      <c r="C91" t="s">
        <v>328</v>
      </c>
      <c r="D91">
        <f>IF(E91 &gt; 2020, ((E91-2020)*4)+1610+G91,IF(E91 &gt; 1900, ((E91-1900)*10)+400+G91, ((E91-1730)*2)+G91))+VLOOKUP(I91,'ID Scheme'!$A$2:$B$7,2, FALSE)</f>
        <v>3521</v>
      </c>
      <c r="E91">
        <v>1952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38</v>
      </c>
      <c r="L91">
        <v>25</v>
      </c>
      <c r="M91">
        <v>15</v>
      </c>
      <c r="N91">
        <v>5</v>
      </c>
      <c r="O91">
        <v>7.5</v>
      </c>
      <c r="P91">
        <v>100</v>
      </c>
      <c r="Q91">
        <v>20</v>
      </c>
      <c r="R91">
        <v>25</v>
      </c>
      <c r="S91">
        <v>1</v>
      </c>
      <c r="T91" t="s">
        <v>290</v>
      </c>
      <c r="U91">
        <v>3</v>
      </c>
      <c r="V91" s="2" t="s">
        <v>338</v>
      </c>
      <c r="W91" s="2" t="s">
        <v>332</v>
      </c>
      <c r="X91" s="2"/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26.448752899711359</v>
      </c>
      <c r="AQ91" s="2"/>
      <c r="AR91" s="2">
        <f>((POWER((K91*K91*R91), 0.33)*LOG10(P91)*10*Data!$B$1)*S91)+AQ91</f>
        <v>47.870574076263431</v>
      </c>
      <c r="AS91" s="2">
        <f t="shared" si="30"/>
        <v>30.64516129032258</v>
      </c>
      <c r="AT91" s="2">
        <f t="shared" si="33"/>
        <v>0</v>
      </c>
      <c r="AV91" s="2">
        <v>1</v>
      </c>
      <c r="AW91" s="2">
        <v>1</v>
      </c>
      <c r="AX91" s="2">
        <f t="shared" si="31"/>
        <v>25</v>
      </c>
      <c r="AY91" s="2">
        <f t="shared" si="32"/>
        <v>25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</row>
    <row r="92" spans="1:56" x14ac:dyDescent="0.25">
      <c r="A92" t="s">
        <v>4</v>
      </c>
      <c r="B92" t="s">
        <v>199</v>
      </c>
      <c r="C92" t="s">
        <v>328</v>
      </c>
      <c r="D92">
        <f>IF(E92 &gt; 2020, ((E92-2020)*4)+1610+G92,IF(E92 &gt; 1900, ((E92-1900)*10)+400+G92, ((E92-1730)*2)+G92))+VLOOKUP(I92,'ID Scheme'!$A$2:$B$7,2, FALSE)</f>
        <v>3571</v>
      </c>
      <c r="E92">
        <v>1957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44</v>
      </c>
      <c r="L92">
        <v>20</v>
      </c>
      <c r="M92">
        <v>15</v>
      </c>
      <c r="N92">
        <v>5</v>
      </c>
      <c r="O92">
        <v>6.5</v>
      </c>
      <c r="P92">
        <v>110</v>
      </c>
      <c r="Q92">
        <v>20</v>
      </c>
      <c r="R92">
        <v>21</v>
      </c>
      <c r="S92">
        <v>1</v>
      </c>
      <c r="T92" t="s">
        <v>290</v>
      </c>
      <c r="U92">
        <v>2</v>
      </c>
      <c r="V92" s="2" t="s">
        <v>339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8</v>
      </c>
      <c r="AP92" s="2">
        <f>(SQRT(K92*R92)*POWER((MIN(M92,20)+SQRT(MAX(M92-20,0))),0.9)*Data!$B$1)*(1-(S92-1))</f>
        <v>26.084311753554509</v>
      </c>
      <c r="AQ92" s="2"/>
      <c r="AR92" s="2">
        <f>((POWER((K92*K92*R92), 0.33)*LOG10(P92)*10*Data!$B$1)*S92)+AQ92</f>
        <v>50.815821559497905</v>
      </c>
      <c r="AS92" s="2">
        <f t="shared" si="30"/>
        <v>35.483870967741936</v>
      </c>
      <c r="AT92" s="2">
        <f t="shared" si="33"/>
        <v>0</v>
      </c>
      <c r="AV92" s="2">
        <v>1</v>
      </c>
      <c r="AW92" s="2">
        <v>1</v>
      </c>
      <c r="AX92" s="2">
        <f t="shared" si="31"/>
        <v>21</v>
      </c>
      <c r="AY92" s="2">
        <f t="shared" si="32"/>
        <v>21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</row>
    <row r="93" spans="1:56" x14ac:dyDescent="0.25">
      <c r="A93" t="s">
        <v>74</v>
      </c>
      <c r="B93" t="s">
        <v>192</v>
      </c>
      <c r="C93" t="s">
        <v>328</v>
      </c>
      <c r="D93">
        <f>IF(E93 &gt; 2020, ((E93-2020)*4)+1610+G93,IF(E93 &gt; 1900, ((E93-1900)*10)+400+G93, ((E93-1730)*2)+G93))+VLOOKUP(I93,'ID Scheme'!$A$2:$B$7,2, FALSE)</f>
        <v>3591</v>
      </c>
      <c r="E93">
        <v>1959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58</v>
      </c>
      <c r="L93">
        <v>30</v>
      </c>
      <c r="M93">
        <v>20</v>
      </c>
      <c r="N93">
        <v>5</v>
      </c>
      <c r="O93">
        <v>3</v>
      </c>
      <c r="P93">
        <v>72</v>
      </c>
      <c r="Q93">
        <v>20</v>
      </c>
      <c r="R93">
        <v>16</v>
      </c>
      <c r="S93">
        <v>1</v>
      </c>
      <c r="T93" t="s">
        <v>290</v>
      </c>
      <c r="U93">
        <v>0</v>
      </c>
      <c r="V93" s="2" t="s">
        <v>340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M93">
        <v>6</v>
      </c>
      <c r="AP93" s="2">
        <f>(SQRT(K93*R93)*POWER((MIN(M93,20)+SQRT(MAX(M93-20,0))),0.9)*Data!$B$1)*(1-(S93-1))</f>
        <v>33.865870832027731</v>
      </c>
      <c r="AQ93" s="2"/>
      <c r="AR93" s="2">
        <f>((POWER((K93*K93*R93), 0.33)*LOG10(P93)*10*Data!$B$1)*S93)+AQ93</f>
        <v>50.719269605559212</v>
      </c>
      <c r="AS93" s="2">
        <f t="shared" si="30"/>
        <v>46.774193548387096</v>
      </c>
      <c r="AT93" s="2">
        <f t="shared" si="33"/>
        <v>0</v>
      </c>
      <c r="AV93" s="2">
        <v>1</v>
      </c>
      <c r="AW93" s="2">
        <v>1</v>
      </c>
      <c r="AX93" s="2">
        <f t="shared" si="31"/>
        <v>16</v>
      </c>
      <c r="AY93" s="2">
        <f t="shared" si="32"/>
        <v>16</v>
      </c>
      <c r="AZ93" s="3">
        <v>6.2</v>
      </c>
      <c r="BA93" s="3">
        <v>2.2000000000000002</v>
      </c>
      <c r="BB93" s="3">
        <v>2.6</v>
      </c>
      <c r="BC93" s="2" t="str">
        <f>CONCATENATE(
ROUND(AZ93*VLOOKUP(I93,'ID Scheme'!$A$2:$E$7,3),0), "x",
ROUND(BA93*VLOOKUP(I93,'ID Scheme'!$A$2:$E$7,5),0), "x",
ROUND(BB93*VLOOKUP(I93,'ID Scheme'!$A$2:$E$7,4),0))</f>
        <v>58x32x25</v>
      </c>
      <c r="BD93" t="s">
        <v>81</v>
      </c>
    </row>
    <row r="94" spans="1:56" x14ac:dyDescent="0.25">
      <c r="A94" t="s">
        <v>496</v>
      </c>
      <c r="B94" t="s">
        <v>497</v>
      </c>
      <c r="C94" t="s">
        <v>498</v>
      </c>
      <c r="D94">
        <f>IF(E94 &gt; 2020, ((E94-2020)*4)+1610+G94,IF(E94 &gt; 1900, ((E94-1900)*10)+400+G94, ((E94-1730)*2)+G94))+VLOOKUP(I94,'ID Scheme'!$A$2:$B$7,2, FALSE)</f>
        <v>3581</v>
      </c>
      <c r="E94">
        <v>1958</v>
      </c>
      <c r="F94">
        <v>2</v>
      </c>
      <c r="G94">
        <v>1</v>
      </c>
      <c r="H94" t="s">
        <v>523</v>
      </c>
      <c r="I94" t="s">
        <v>13</v>
      </c>
      <c r="J94" t="s">
        <v>502</v>
      </c>
      <c r="K94">
        <v>52</v>
      </c>
      <c r="L94">
        <v>10</v>
      </c>
      <c r="M94">
        <v>15</v>
      </c>
      <c r="N94">
        <v>5</v>
      </c>
      <c r="O94">
        <v>8</v>
      </c>
      <c r="P94">
        <v>200</v>
      </c>
      <c r="Q94">
        <v>20</v>
      </c>
      <c r="R94">
        <v>22</v>
      </c>
      <c r="S94">
        <v>1</v>
      </c>
      <c r="T94" t="s">
        <v>290</v>
      </c>
      <c r="U94">
        <v>3</v>
      </c>
      <c r="V94" s="2" t="s">
        <v>499</v>
      </c>
      <c r="W94" s="2"/>
      <c r="X94" s="2"/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29.023942752634394</v>
      </c>
      <c r="AQ94" s="2"/>
      <c r="AR94" s="2">
        <f>((POWER((K94*K94*R94), 0.33)*LOG10(P94)*10*Data!$B$1)*S94)+AQ94</f>
        <v>64.944927291155707</v>
      </c>
      <c r="AS94" s="2">
        <f t="shared" si="30"/>
        <v>41.935483870967744</v>
      </c>
      <c r="AT94" s="2">
        <f t="shared" si="33"/>
        <v>0</v>
      </c>
      <c r="AV94" s="2">
        <v>1</v>
      </c>
      <c r="AW94" s="2">
        <v>1</v>
      </c>
      <c r="AX94" s="2">
        <f t="shared" si="31"/>
        <v>22</v>
      </c>
      <c r="AY94" s="2">
        <f t="shared" si="32"/>
        <v>22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3</v>
      </c>
      <c r="B95" t="s">
        <v>200</v>
      </c>
      <c r="C95" t="s">
        <v>328</v>
      </c>
      <c r="D95">
        <f>IF(E95 &gt; 2020, ((E95-2020)*4)+1610+G95,IF(E95 &gt; 1900, ((E95-1900)*10)+400+G95, ((E95-1730)*2)+G95))+VLOOKUP(I95,'ID Scheme'!$A$2:$B$7,2, FALSE)</f>
        <v>3631</v>
      </c>
      <c r="E95">
        <v>1963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48</v>
      </c>
      <c r="L95">
        <v>20</v>
      </c>
      <c r="M95">
        <v>16</v>
      </c>
      <c r="N95">
        <v>5</v>
      </c>
      <c r="O95">
        <v>7</v>
      </c>
      <c r="P95">
        <v>120</v>
      </c>
      <c r="Q95">
        <v>20</v>
      </c>
      <c r="R95">
        <v>24</v>
      </c>
      <c r="S95">
        <v>1</v>
      </c>
      <c r="T95" t="s">
        <v>290</v>
      </c>
      <c r="U95">
        <v>3</v>
      </c>
      <c r="V95" s="2" t="s">
        <v>341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M95">
        <v>8</v>
      </c>
      <c r="AP95" s="2">
        <f>(SQRT(K95*R95)*POWER((MIN(M95,20)+SQRT(MAX(M95-20,0))),0.9)*Data!$B$1)*(1-(S95-1))</f>
        <v>30.867075721045236</v>
      </c>
      <c r="AQ95" s="2"/>
      <c r="AR95" s="2">
        <f>((POWER((K95*K95*R95), 0.33)*LOG10(P95)*10*Data!$B$1)*S95)+AQ95</f>
        <v>57.285213898505866</v>
      </c>
      <c r="AS95" s="2">
        <f t="shared" si="30"/>
        <v>38.70967741935484</v>
      </c>
      <c r="AT95" s="2">
        <f t="shared" si="33"/>
        <v>0</v>
      </c>
      <c r="AV95" s="2">
        <v>1</v>
      </c>
      <c r="AW95" s="2">
        <v>1</v>
      </c>
      <c r="AX95" s="2">
        <f t="shared" si="31"/>
        <v>24</v>
      </c>
      <c r="AY95" s="2">
        <f t="shared" si="32"/>
        <v>24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</row>
    <row r="96" spans="1:56" x14ac:dyDescent="0.25">
      <c r="A96" t="s">
        <v>20</v>
      </c>
      <c r="B96" t="s">
        <v>227</v>
      </c>
      <c r="C96" t="s">
        <v>328</v>
      </c>
      <c r="D96">
        <f>IF(E96 &gt; 2020, ((E96-2020)*4)+1610+G96,IF(E96 &gt; 1900, ((E96-1900)*10)+400+G96, ((E96-1730)*2)+G96))+VLOOKUP(I96,'ID Scheme'!$A$2:$B$7,2, FALSE)</f>
        <v>3642</v>
      </c>
      <c r="E96">
        <v>1964</v>
      </c>
      <c r="F96">
        <v>1</v>
      </c>
      <c r="G96">
        <v>2</v>
      </c>
      <c r="H96" t="s">
        <v>523</v>
      </c>
      <c r="I96" t="s">
        <v>13</v>
      </c>
      <c r="J96" t="s">
        <v>502</v>
      </c>
      <c r="K96">
        <v>54</v>
      </c>
      <c r="L96">
        <v>20</v>
      </c>
      <c r="M96">
        <v>15</v>
      </c>
      <c r="N96">
        <v>5</v>
      </c>
      <c r="O96">
        <v>7.5</v>
      </c>
      <c r="P96">
        <v>170</v>
      </c>
      <c r="Q96">
        <v>20</v>
      </c>
      <c r="R96">
        <v>22</v>
      </c>
      <c r="S96">
        <v>1</v>
      </c>
      <c r="T96" t="s">
        <v>290</v>
      </c>
      <c r="U96">
        <v>3</v>
      </c>
      <c r="V96" s="2" t="s">
        <v>342</v>
      </c>
      <c r="W96" s="2" t="s">
        <v>332</v>
      </c>
      <c r="X96" s="2"/>
      <c r="Y96" s="2"/>
      <c r="Z96" s="2"/>
      <c r="AA96" s="2"/>
      <c r="AB96" s="2"/>
      <c r="AC96" s="2"/>
      <c r="AD96" s="2"/>
      <c r="AE96" s="2"/>
      <c r="AM96">
        <v>8</v>
      </c>
      <c r="AP96" s="2">
        <f>(SQRT(K96*R96)*POWER((MIN(M96,20)+SQRT(MAX(M96-20,0))),0.9)*Data!$B$1)*(1-(S96-1))</f>
        <v>29.576829437221864</v>
      </c>
      <c r="AQ96" s="2"/>
      <c r="AR96" s="2">
        <f>((POWER((K96*K96*R96), 0.33)*LOG10(P96)*10*Data!$B$1)*S96)+AQ96</f>
        <v>64.540587091557995</v>
      </c>
      <c r="AS96" s="2">
        <f t="shared" si="30"/>
        <v>43.548387096774192</v>
      </c>
      <c r="AT96" s="2">
        <f t="shared" si="33"/>
        <v>0</v>
      </c>
      <c r="AV96" s="2">
        <v>1</v>
      </c>
      <c r="AW96" s="2">
        <v>1</v>
      </c>
      <c r="AX96" s="2">
        <f t="shared" si="31"/>
        <v>22</v>
      </c>
      <c r="AY96" s="2">
        <f t="shared" si="32"/>
        <v>22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  <c r="BD96" t="s">
        <v>21</v>
      </c>
    </row>
    <row r="97" spans="1:56" x14ac:dyDescent="0.25">
      <c r="A97" t="s">
        <v>75</v>
      </c>
      <c r="B97" t="s">
        <v>225</v>
      </c>
      <c r="C97" t="s">
        <v>328</v>
      </c>
      <c r="D97">
        <f>IF(E97 &gt; 2020, ((E97-2020)*4)+1610+G97,IF(E97 &gt; 1900, ((E97-1900)*10)+400+G97, ((E97-1730)*2)+G97))+VLOOKUP(I97,'ID Scheme'!$A$2:$B$7,2, FALSE)</f>
        <v>3652</v>
      </c>
      <c r="E97">
        <v>1965</v>
      </c>
      <c r="F97">
        <v>1</v>
      </c>
      <c r="G97">
        <v>2</v>
      </c>
      <c r="H97" t="s">
        <v>523</v>
      </c>
      <c r="I97" t="s">
        <v>13</v>
      </c>
      <c r="J97" t="s">
        <v>502</v>
      </c>
      <c r="K97">
        <v>60</v>
      </c>
      <c r="L97">
        <v>20</v>
      </c>
      <c r="M97">
        <v>17</v>
      </c>
      <c r="N97">
        <v>5</v>
      </c>
      <c r="O97">
        <v>3</v>
      </c>
      <c r="P97">
        <v>82</v>
      </c>
      <c r="Q97">
        <v>20</v>
      </c>
      <c r="R97">
        <v>16</v>
      </c>
      <c r="S97">
        <v>1</v>
      </c>
      <c r="T97" t="s">
        <v>290</v>
      </c>
      <c r="U97">
        <v>0</v>
      </c>
      <c r="V97" s="2" t="s">
        <v>329</v>
      </c>
      <c r="W97" s="2" t="s">
        <v>332</v>
      </c>
      <c r="X97" s="2"/>
      <c r="Y97" s="2"/>
      <c r="Z97" s="2"/>
      <c r="AA97" s="2"/>
      <c r="AB97" s="2"/>
      <c r="AC97" s="2"/>
      <c r="AD97" s="2"/>
      <c r="AE97" s="2"/>
      <c r="AF97">
        <v>56</v>
      </c>
      <c r="AM97">
        <v>6</v>
      </c>
      <c r="AP97" s="2">
        <f>(SQRT(K97*R97)*POWER((MIN(M97,20)+SQRT(MAX(M97-20,0))),0.9)*Data!$B$1)*(1-(S97-1))</f>
        <v>29.757806068644722</v>
      </c>
      <c r="AQ97" s="2"/>
      <c r="AR97" s="2">
        <f>((POWER((K97*K97*R97), 0.33)*LOG10(P97)*10*Data!$B$1)*S97)+AQ97</f>
        <v>53.444174907561425</v>
      </c>
      <c r="AS97" s="2">
        <f t="shared" si="30"/>
        <v>48.387096774193552</v>
      </c>
      <c r="AT97" s="2">
        <f t="shared" si="33"/>
        <v>45.161290322580648</v>
      </c>
      <c r="AV97" s="2">
        <v>1</v>
      </c>
      <c r="AW97" s="2">
        <v>1</v>
      </c>
      <c r="AX97" s="2">
        <f t="shared" si="31"/>
        <v>16</v>
      </c>
      <c r="AY97" s="2">
        <f t="shared" si="32"/>
        <v>16</v>
      </c>
      <c r="AZ97" s="3">
        <v>6.2</v>
      </c>
      <c r="BA97" s="3">
        <v>2.2000000000000002</v>
      </c>
      <c r="BB97" s="3">
        <v>2.6</v>
      </c>
      <c r="BC97" s="2" t="str">
        <f>CONCATENATE(
ROUND(AZ97*VLOOKUP(I97,'ID Scheme'!$A$2:$E$7,3),0), "x",
ROUND(BA97*VLOOKUP(I97,'ID Scheme'!$A$2:$E$7,5),0), "x",
ROUND(BB97*VLOOKUP(I97,'ID Scheme'!$A$2:$E$7,4),0))</f>
        <v>58x32x25</v>
      </c>
      <c r="BD97" t="s">
        <v>80</v>
      </c>
    </row>
    <row r="98" spans="1:56" x14ac:dyDescent="0.25">
      <c r="A98" t="s">
        <v>83</v>
      </c>
      <c r="B98" t="s">
        <v>217</v>
      </c>
      <c r="C98" t="s">
        <v>328</v>
      </c>
      <c r="D98">
        <f>IF(E98 &gt; 2020, ((E98-2020)*4)+1610+G98,IF(E98 &gt; 1900, ((E98-1900)*10)+400+G98, ((E98-1730)*2)+G98))+VLOOKUP(I98,'ID Scheme'!$A$2:$B$7,2, FALSE)</f>
        <v>3671</v>
      </c>
      <c r="E98">
        <v>1967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56</v>
      </c>
      <c r="L98">
        <v>15</v>
      </c>
      <c r="M98">
        <v>22</v>
      </c>
      <c r="N98">
        <v>5</v>
      </c>
      <c r="O98">
        <v>5</v>
      </c>
      <c r="P98">
        <v>170</v>
      </c>
      <c r="Q98">
        <v>20</v>
      </c>
      <c r="R98">
        <v>22</v>
      </c>
      <c r="S98">
        <v>1</v>
      </c>
      <c r="T98" t="s">
        <v>290</v>
      </c>
      <c r="U98">
        <v>3</v>
      </c>
      <c r="V98" s="2" t="s">
        <v>345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M98">
        <v>8</v>
      </c>
      <c r="AP98" s="2">
        <f>(SQRT(K98*R98)*POWER((MIN(M98,20)+SQRT(MAX(M98-20,0))),0.9)*Data!$B$1)*(1-(S98-1))</f>
        <v>41.495264182549853</v>
      </c>
      <c r="AQ98" s="2"/>
      <c r="AR98" s="2">
        <f>((POWER((K98*K98*R98), 0.33)*LOG10(P98)*10*Data!$B$1)*S98)+AQ98</f>
        <v>66.108473335639829</v>
      </c>
      <c r="AS98" s="2">
        <f t="shared" si="30"/>
        <v>45.161290322580648</v>
      </c>
      <c r="AT98" s="2">
        <f t="shared" si="33"/>
        <v>0</v>
      </c>
      <c r="AV98" s="2">
        <v>1</v>
      </c>
      <c r="AW98" s="2">
        <v>1</v>
      </c>
      <c r="AX98" s="2">
        <f t="shared" si="31"/>
        <v>22</v>
      </c>
      <c r="AY98" s="2">
        <f t="shared" si="32"/>
        <v>22</v>
      </c>
      <c r="AZ98" s="3">
        <v>8.5</v>
      </c>
      <c r="BA98" s="3">
        <v>2.5</v>
      </c>
      <c r="BB98" s="3">
        <v>2.8</v>
      </c>
      <c r="BC98" s="2" t="str">
        <f>CONCATENATE(
ROUND(AZ98*VLOOKUP(I98,'ID Scheme'!$A$2:$E$7,3),0), "x",
ROUND(BA98*VLOOKUP(I98,'ID Scheme'!$A$2:$E$7,5),0), "x",
ROUND(BB98*VLOOKUP(I98,'ID Scheme'!$A$2:$E$7,4),0))</f>
        <v>79x36x27</v>
      </c>
      <c r="BD98" t="s">
        <v>21</v>
      </c>
    </row>
    <row r="99" spans="1:56" x14ac:dyDescent="0.25">
      <c r="A99" t="s">
        <v>615</v>
      </c>
      <c r="B99" t="s">
        <v>614</v>
      </c>
      <c r="C99" t="s">
        <v>328</v>
      </c>
      <c r="D99">
        <f>IF(E99 &gt; 2020, ((E99-2020)*4)+1610+G99,IF(E99 &gt; 1900, ((E99-1900)*10)+400+G99, ((E99-1730)*2)+G99))+VLOOKUP(I99,'ID Scheme'!$A$2:$B$7,2, FALSE)</f>
        <v>3701</v>
      </c>
      <c r="E99">
        <v>1970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55</v>
      </c>
      <c r="L99">
        <v>21</v>
      </c>
      <c r="M99">
        <v>19</v>
      </c>
      <c r="N99">
        <v>5</v>
      </c>
      <c r="O99">
        <v>8</v>
      </c>
      <c r="P99">
        <v>220</v>
      </c>
      <c r="Q99">
        <v>20</v>
      </c>
      <c r="R99">
        <v>26</v>
      </c>
      <c r="S99">
        <v>1</v>
      </c>
      <c r="T99" t="s">
        <v>290</v>
      </c>
      <c r="U99">
        <v>3</v>
      </c>
      <c r="V99" s="2" t="s">
        <v>616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M99">
        <v>8</v>
      </c>
      <c r="AP99" s="2">
        <f>(SQRT(K99*R99)*POWER((MIN(M99,20)+SQRT(MAX(M99-20,0))),0.9)*Data!$B$1)*(1-(S99-1))</f>
        <v>40.14278718004045</v>
      </c>
      <c r="AQ99" s="2"/>
      <c r="AR99" s="2">
        <f>((POWER((K99*K99*R99), 0.33)*LOG10(P99)*10*Data!$B$1)*S99)+AQ99</f>
        <v>72.494842022665296</v>
      </c>
      <c r="AS99" s="2">
        <f t="shared" si="30"/>
        <v>44.354838709677416</v>
      </c>
      <c r="AT99" s="2">
        <f t="shared" si="33"/>
        <v>0</v>
      </c>
      <c r="AV99" s="2">
        <v>1</v>
      </c>
      <c r="AW99" s="2">
        <v>1</v>
      </c>
      <c r="AX99" s="2">
        <f t="shared" si="31"/>
        <v>26</v>
      </c>
      <c r="AY99" s="2">
        <f t="shared" si="32"/>
        <v>26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609</v>
      </c>
      <c r="B100" t="s">
        <v>610</v>
      </c>
      <c r="C100" t="s">
        <v>328</v>
      </c>
      <c r="D100">
        <f>IF(E100 &gt; 2020, ((E100-2020)*4)+1610+G100,IF(E100 &gt; 1900, ((E100-1900)*10)+400+G100, ((E100-1730)*2)+G100))+VLOOKUP(I100,'ID Scheme'!$A$2:$B$7,2, FALSE)</f>
        <v>3751</v>
      </c>
      <c r="E100">
        <v>1975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58</v>
      </c>
      <c r="L100">
        <v>22</v>
      </c>
      <c r="M100">
        <v>17</v>
      </c>
      <c r="N100">
        <v>5</v>
      </c>
      <c r="O100">
        <v>8</v>
      </c>
      <c r="P100">
        <v>240</v>
      </c>
      <c r="Q100">
        <v>20</v>
      </c>
      <c r="R100">
        <v>26</v>
      </c>
      <c r="S100">
        <v>1</v>
      </c>
      <c r="T100" t="s">
        <v>290</v>
      </c>
      <c r="U100">
        <v>3</v>
      </c>
      <c r="V100" s="2" t="s">
        <v>611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M100">
        <v>8</v>
      </c>
      <c r="AP100" s="2">
        <f>(SQRT(K100*R100)*POWER((MIN(M100,20)+SQRT(MAX(M100-20,0))),0.9)*Data!$B$1)*(1-(S100-1))</f>
        <v>37.296318367299385</v>
      </c>
      <c r="AQ100" s="2"/>
      <c r="AR100" s="2">
        <f>((POWER((K100*K100*R100), 0.33)*LOG10(P100)*10*Data!$B$1)*S100)+AQ100</f>
        <v>76.292254000000923</v>
      </c>
      <c r="AS100" s="2">
        <f t="shared" ref="AS100" si="40">K100/1.24</f>
        <v>46.774193548387096</v>
      </c>
      <c r="AT100" s="2">
        <f t="shared" ref="AT100" si="41">AF100/1.24</f>
        <v>0</v>
      </c>
      <c r="AV100" s="2">
        <v>1</v>
      </c>
      <c r="AW100" s="2">
        <v>1</v>
      </c>
      <c r="AX100" s="2">
        <f t="shared" ref="AX100" si="42">R100/AW100</f>
        <v>26</v>
      </c>
      <c r="AY100" s="2">
        <f t="shared" ref="AY100" si="43">(R100)/MAX(AV100-1, 1)</f>
        <v>26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73</v>
      </c>
      <c r="B101" t="s">
        <v>201</v>
      </c>
      <c r="C101" t="s">
        <v>328</v>
      </c>
      <c r="D101">
        <f>IF(E101 &gt; 2020, ((E101-2020)*4)+1610+G101,IF(E101 &gt; 1900, ((E101-1900)*10)+400+G101, ((E101-1730)*2)+G101))+VLOOKUP(I101,'ID Scheme'!$A$2:$B$7,2, FALSE)</f>
        <v>3811</v>
      </c>
      <c r="E101">
        <v>1981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68</v>
      </c>
      <c r="L101">
        <v>16</v>
      </c>
      <c r="M101">
        <v>18</v>
      </c>
      <c r="N101">
        <v>5</v>
      </c>
      <c r="O101">
        <v>3</v>
      </c>
      <c r="P101">
        <v>90</v>
      </c>
      <c r="Q101">
        <v>20</v>
      </c>
      <c r="R101">
        <v>18</v>
      </c>
      <c r="S101">
        <v>1</v>
      </c>
      <c r="T101" t="s">
        <v>290</v>
      </c>
      <c r="U101">
        <v>0</v>
      </c>
      <c r="V101" s="2" t="s">
        <v>478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6</v>
      </c>
      <c r="AP101" s="2">
        <f>(SQRT(K101*R101)*POWER((MIN(M101,20)+SQRT(MAX(M101-20,0))),0.9)*Data!$B$1)*(1-(S101-1))</f>
        <v>35.375063400315305</v>
      </c>
      <c r="AQ101" s="2"/>
      <c r="AR101" s="2">
        <f>((POWER((K101*K101*R101), 0.33)*LOG10(P101)*10*Data!$B$1)*S101)+AQ101</f>
        <v>61.621962939651276</v>
      </c>
      <c r="AS101" s="2">
        <f t="shared" si="30"/>
        <v>54.838709677419352</v>
      </c>
      <c r="AT101" s="2">
        <f t="shared" si="33"/>
        <v>45.161290322580648</v>
      </c>
      <c r="AV101" s="2">
        <v>1</v>
      </c>
      <c r="AW101" s="2">
        <v>1</v>
      </c>
      <c r="AX101" s="2">
        <f t="shared" si="31"/>
        <v>18</v>
      </c>
      <c r="AY101" s="2">
        <f t="shared" si="32"/>
        <v>18</v>
      </c>
      <c r="AZ101" s="3">
        <v>6.2</v>
      </c>
      <c r="BA101" s="3">
        <v>2.2000000000000002</v>
      </c>
      <c r="BB101" s="3">
        <v>2.6</v>
      </c>
      <c r="BC101" s="2" t="str">
        <f>CONCATENATE(
ROUND(AZ101*VLOOKUP(I101,'ID Scheme'!$A$2:$E$7,3),0), "x",
ROUND(BA101*VLOOKUP(I101,'ID Scheme'!$A$2:$E$7,5),0), "x",
ROUND(BB101*VLOOKUP(I101,'ID Scheme'!$A$2:$E$7,4),0))</f>
        <v>58x32x25</v>
      </c>
      <c r="BD101" t="s">
        <v>79</v>
      </c>
    </row>
    <row r="102" spans="1:56" x14ac:dyDescent="0.25">
      <c r="A102" t="s">
        <v>30</v>
      </c>
      <c r="B102" t="s">
        <v>195</v>
      </c>
      <c r="C102" t="s">
        <v>328</v>
      </c>
      <c r="D102">
        <f>IF(E102 &gt; 2020, ((E102-2020)*4)+1610+G102,IF(E102 &gt; 1900, ((E102-1900)*10)+400+G102, ((E102-1730)*2)+G102))+VLOOKUP(I102,'ID Scheme'!$A$2:$B$7,2, FALSE)</f>
        <v>3821</v>
      </c>
      <c r="E102">
        <v>1982</v>
      </c>
      <c r="F102">
        <v>1</v>
      </c>
      <c r="G102">
        <v>1</v>
      </c>
      <c r="H102" t="s">
        <v>523</v>
      </c>
      <c r="I102" t="s">
        <v>13</v>
      </c>
      <c r="J102" t="s">
        <v>502</v>
      </c>
      <c r="K102">
        <v>60</v>
      </c>
      <c r="L102">
        <v>20</v>
      </c>
      <c r="M102">
        <v>20</v>
      </c>
      <c r="N102">
        <v>5</v>
      </c>
      <c r="O102">
        <v>9</v>
      </c>
      <c r="P102">
        <v>315</v>
      </c>
      <c r="Q102">
        <v>20</v>
      </c>
      <c r="R102">
        <v>28</v>
      </c>
      <c r="S102">
        <v>1</v>
      </c>
      <c r="T102" t="s">
        <v>300</v>
      </c>
      <c r="U102">
        <v>3</v>
      </c>
      <c r="V102" s="2" t="s">
        <v>473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8</v>
      </c>
      <c r="AP102" s="2">
        <f>(SQRT(K102*R102)*POWER((MIN(M102,20)+SQRT(MAX(M102-20,0))),0.9)*Data!$B$1)*(1-(S102-1))</f>
        <v>45.566209265732887</v>
      </c>
      <c r="AQ102" s="2"/>
      <c r="AR102" s="2">
        <f>((POWER((K102*K102*R102), 0.33)*LOG10(P102)*10*Data!$B$1)*S102)+AQ102</f>
        <v>83.916944346608517</v>
      </c>
      <c r="AS102" s="2">
        <f t="shared" si="30"/>
        <v>48.387096774193552</v>
      </c>
      <c r="AT102" s="2">
        <f t="shared" si="33"/>
        <v>45.161290322580648</v>
      </c>
      <c r="AV102" s="2">
        <v>1</v>
      </c>
      <c r="AW102" s="2">
        <v>1</v>
      </c>
      <c r="AX102" s="2">
        <f t="shared" si="31"/>
        <v>28</v>
      </c>
      <c r="AY102" s="2">
        <f t="shared" si="32"/>
        <v>28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88</v>
      </c>
      <c r="B103" t="s">
        <v>213</v>
      </c>
      <c r="C103" t="s">
        <v>328</v>
      </c>
      <c r="D103">
        <f>IF(E103 &gt; 2020, ((E103-2020)*4)+1610+G103,IF(E103 &gt; 1900, ((E103-1900)*10)+400+G103, ((E103-1730)*2)+G103))+VLOOKUP(I103,'ID Scheme'!$A$2:$B$7,2, FALSE)</f>
        <v>3831</v>
      </c>
      <c r="E103">
        <v>1983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64</v>
      </c>
      <c r="L103">
        <v>18</v>
      </c>
      <c r="M103">
        <v>19</v>
      </c>
      <c r="N103">
        <v>5</v>
      </c>
      <c r="O103">
        <v>9</v>
      </c>
      <c r="P103">
        <v>136</v>
      </c>
      <c r="Q103">
        <v>20</v>
      </c>
      <c r="R103">
        <v>22</v>
      </c>
      <c r="S103">
        <v>1</v>
      </c>
      <c r="T103" t="s">
        <v>290</v>
      </c>
      <c r="U103">
        <v>0</v>
      </c>
      <c r="V103" s="2" t="s">
        <v>472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7</v>
      </c>
      <c r="AP103" s="2">
        <f>(SQRT(K103*R103)*POWER((MIN(M103,20)+SQRT(MAX(M103-20,0))),0.9)*Data!$B$1)*(1-(S103-1))</f>
        <v>39.832799628379171</v>
      </c>
      <c r="AQ103" s="2"/>
      <c r="AR103" s="2">
        <f>((POWER((K103*K103*R103), 0.33)*LOG10(P103)*10*Data!$B$1)*S103)+AQ103</f>
        <v>69.06215060093264</v>
      </c>
      <c r="AS103" s="2">
        <f t="shared" si="30"/>
        <v>51.612903225806456</v>
      </c>
      <c r="AT103" s="2">
        <f t="shared" si="33"/>
        <v>45.161290322580648</v>
      </c>
      <c r="AV103" s="2">
        <v>1</v>
      </c>
      <c r="AW103" s="2">
        <v>1</v>
      </c>
      <c r="AX103" s="2">
        <f t="shared" si="31"/>
        <v>22</v>
      </c>
      <c r="AY103" s="2">
        <f t="shared" si="32"/>
        <v>22</v>
      </c>
      <c r="AZ103" s="3">
        <v>7.7</v>
      </c>
      <c r="BA103" s="3">
        <v>2.2000000000000002</v>
      </c>
      <c r="BB103" s="3">
        <v>2.6</v>
      </c>
      <c r="BC103" s="2" t="str">
        <f>CONCATENATE(
ROUND(AZ103*VLOOKUP(I103,'ID Scheme'!$A$2:$E$7,3),0), "x",
ROUND(BA103*VLOOKUP(I103,'ID Scheme'!$A$2:$E$7,5),0), "x",
ROUND(BB103*VLOOKUP(I103,'ID Scheme'!$A$2:$E$7,4),0))</f>
        <v>72x32x25</v>
      </c>
      <c r="BD103" t="s">
        <v>89</v>
      </c>
    </row>
    <row r="104" spans="1:56" ht="14.25" customHeight="1" x14ac:dyDescent="0.25">
      <c r="A104" t="s">
        <v>31</v>
      </c>
      <c r="B104" t="s">
        <v>196</v>
      </c>
      <c r="C104" t="s">
        <v>328</v>
      </c>
      <c r="D104">
        <f>IF(E104 &gt; 2020, ((E104-2020)*4)+1610+G104,IF(E104 &gt; 1900, ((E104-1900)*10)+400+G104, ((E104-1730)*2)+G104))+VLOOKUP(I104,'ID Scheme'!$A$2:$B$7,2, FALSE)</f>
        <v>3861</v>
      </c>
      <c r="E104">
        <v>1986</v>
      </c>
      <c r="F104">
        <v>1</v>
      </c>
      <c r="G104">
        <v>1</v>
      </c>
      <c r="H104" t="s">
        <v>523</v>
      </c>
      <c r="I104" t="s">
        <v>13</v>
      </c>
      <c r="J104" t="s">
        <v>502</v>
      </c>
      <c r="K104">
        <v>62</v>
      </c>
      <c r="L104">
        <v>20</v>
      </c>
      <c r="M104">
        <v>20</v>
      </c>
      <c r="N104">
        <v>5</v>
      </c>
      <c r="O104">
        <v>9</v>
      </c>
      <c r="P104">
        <v>315</v>
      </c>
      <c r="Q104">
        <v>20</v>
      </c>
      <c r="R104">
        <v>30</v>
      </c>
      <c r="S104">
        <v>1</v>
      </c>
      <c r="T104" t="s">
        <v>300</v>
      </c>
      <c r="U104">
        <v>3</v>
      </c>
      <c r="V104" s="2" t="s">
        <v>471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8</v>
      </c>
      <c r="AP104" s="2">
        <f>(SQRT(K104*R104)*POWER((MIN(M104,20)+SQRT(MAX(M104-20,0))),0.9)*Data!$B$1)*(1-(S104-1))</f>
        <v>47.945155509895372</v>
      </c>
      <c r="AQ104" s="2"/>
      <c r="AR104" s="2">
        <f>((POWER((K104*K104*R104), 0.33)*LOG10(P104)*10*Data!$B$1)*S104)+AQ104</f>
        <v>87.727593286354292</v>
      </c>
      <c r="AS104" s="2">
        <f t="shared" si="30"/>
        <v>50</v>
      </c>
      <c r="AT104" s="2">
        <f t="shared" si="33"/>
        <v>45.161290322580648</v>
      </c>
      <c r="AV104" s="2">
        <v>1</v>
      </c>
      <c r="AW104" s="2">
        <v>1</v>
      </c>
      <c r="AX104" s="2">
        <f t="shared" si="31"/>
        <v>30</v>
      </c>
      <c r="AY104" s="2">
        <f t="shared" si="32"/>
        <v>30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76</v>
      </c>
      <c r="B105" t="s">
        <v>205</v>
      </c>
      <c r="C105" t="s">
        <v>328</v>
      </c>
      <c r="D105">
        <f>IF(E105 &gt; 2020, ((E105-2020)*4)+1610+G105,IF(E105 &gt; 1900, ((E105-1900)*10)+400+G105, ((E105-1730)*2)+G105))+VLOOKUP(I105,'ID Scheme'!$A$2:$B$7,2, FALSE)</f>
        <v>3931</v>
      </c>
      <c r="E105">
        <v>1993</v>
      </c>
      <c r="F105">
        <v>1</v>
      </c>
      <c r="G105">
        <v>1</v>
      </c>
      <c r="H105" t="s">
        <v>523</v>
      </c>
      <c r="I105" t="s">
        <v>13</v>
      </c>
      <c r="J105" t="s">
        <v>502</v>
      </c>
      <c r="K105">
        <v>72</v>
      </c>
      <c r="L105">
        <v>-1</v>
      </c>
      <c r="M105">
        <v>18</v>
      </c>
      <c r="N105">
        <v>5</v>
      </c>
      <c r="O105">
        <v>3</v>
      </c>
      <c r="P105">
        <v>105</v>
      </c>
      <c r="Q105">
        <v>20</v>
      </c>
      <c r="R105">
        <v>18</v>
      </c>
      <c r="S105">
        <v>1</v>
      </c>
      <c r="T105" t="s">
        <v>290</v>
      </c>
      <c r="U105">
        <v>0</v>
      </c>
      <c r="V105" s="2" t="s">
        <v>470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F105">
        <v>56</v>
      </c>
      <c r="AM105">
        <v>7</v>
      </c>
      <c r="AP105" s="2">
        <f>(SQRT(K105*R105)*POWER((MIN(M105,20)+SQRT(MAX(M105-20,0))),0.9)*Data!$B$1)*(1-(S105-1))</f>
        <v>36.400639934883735</v>
      </c>
      <c r="AQ105" s="2"/>
      <c r="AR105" s="2">
        <f>((POWER((K105*K105*R105), 0.33)*LOG10(P105)*10*Data!$B$1)*S105)+AQ105</f>
        <v>66.183179614250491</v>
      </c>
      <c r="AS105" s="2">
        <f t="shared" si="30"/>
        <v>58.064516129032256</v>
      </c>
      <c r="AT105" s="2">
        <f t="shared" si="33"/>
        <v>45.161290322580648</v>
      </c>
      <c r="AV105" s="2">
        <v>1</v>
      </c>
      <c r="AW105" s="2">
        <v>1</v>
      </c>
      <c r="AX105" s="2">
        <f t="shared" si="31"/>
        <v>18</v>
      </c>
      <c r="AY105" s="2">
        <f t="shared" si="32"/>
        <v>18</v>
      </c>
      <c r="AZ105" s="3">
        <v>6.2</v>
      </c>
      <c r="BA105" s="3">
        <v>2.2000000000000002</v>
      </c>
      <c r="BB105" s="3">
        <v>2.6</v>
      </c>
      <c r="BC105" s="2" t="str">
        <f>CONCATENATE(
ROUND(AZ105*VLOOKUP(I105,'ID Scheme'!$A$2:$E$7,3),0), "x",
ROUND(BA105*VLOOKUP(I105,'ID Scheme'!$A$2:$E$7,5),0), "x",
ROUND(BB105*VLOOKUP(I105,'ID Scheme'!$A$2:$E$7,4),0))</f>
        <v>58x32x25</v>
      </c>
      <c r="BD105" t="s">
        <v>82</v>
      </c>
    </row>
    <row r="106" spans="1:56" ht="14.25" customHeight="1" x14ac:dyDescent="0.25">
      <c r="A106" t="s">
        <v>619</v>
      </c>
      <c r="B106" t="s">
        <v>620</v>
      </c>
      <c r="C106" t="s">
        <v>328</v>
      </c>
      <c r="D106">
        <f>IF(E106 &gt; 2020, ((E106-2020)*4)+1610+G106,IF(E106 &gt; 1900, ((E106-1900)*10)+400+G106, ((E106-1730)*2)+G106))+VLOOKUP(I106,'ID Scheme'!$A$2:$B$7,2, FALSE)</f>
        <v>3932</v>
      </c>
      <c r="E106">
        <v>1993</v>
      </c>
      <c r="F106">
        <v>3</v>
      </c>
      <c r="G106">
        <v>2</v>
      </c>
      <c r="H106" t="s">
        <v>523</v>
      </c>
      <c r="I106" t="s">
        <v>13</v>
      </c>
      <c r="J106" t="s">
        <v>502</v>
      </c>
      <c r="K106">
        <v>65</v>
      </c>
      <c r="L106">
        <v>22</v>
      </c>
      <c r="M106">
        <v>19</v>
      </c>
      <c r="N106">
        <v>5</v>
      </c>
      <c r="O106">
        <v>9</v>
      </c>
      <c r="P106">
        <v>420</v>
      </c>
      <c r="Q106">
        <v>20</v>
      </c>
      <c r="R106">
        <v>30</v>
      </c>
      <c r="S106">
        <v>1</v>
      </c>
      <c r="T106" t="s">
        <v>296</v>
      </c>
      <c r="U106">
        <v>3</v>
      </c>
      <c r="V106" s="2" t="s">
        <v>621</v>
      </c>
      <c r="W106" s="2" t="s">
        <v>332</v>
      </c>
      <c r="X106" s="2" t="s">
        <v>332</v>
      </c>
      <c r="Y106" s="2"/>
      <c r="Z106" s="2"/>
      <c r="AA106" s="2"/>
      <c r="AB106" s="2"/>
      <c r="AC106" s="2"/>
      <c r="AD106" s="2"/>
      <c r="AE106" s="2"/>
      <c r="AF106">
        <v>56</v>
      </c>
      <c r="AM106">
        <v>8</v>
      </c>
      <c r="AP106" s="2">
        <f>(SQRT(K106*R106)*POWER((MIN(M106,20)+SQRT(MAX(M106-20,0))),0.9)*Data!$B$1)*(1-(S106-1))</f>
        <v>46.876676153043313</v>
      </c>
      <c r="AQ106" s="2"/>
      <c r="AR106" s="2">
        <f>((POWER((K106*K106*R106), 0.33)*LOG10(P106)*10*Data!$B$1)*S106)+AQ106</f>
        <v>95.032828795885933</v>
      </c>
      <c r="AS106" s="2">
        <f t="shared" ref="AS106" si="44">K106/1.24</f>
        <v>52.41935483870968</v>
      </c>
      <c r="AT106" s="2">
        <f t="shared" ref="AT106" si="45">AF106/1.24</f>
        <v>45.161290322580648</v>
      </c>
      <c r="AV106" s="2">
        <v>1</v>
      </c>
      <c r="AW106" s="2">
        <v>1</v>
      </c>
      <c r="AX106" s="2">
        <f t="shared" ref="AX106" si="46">R106/AW106</f>
        <v>30</v>
      </c>
      <c r="AY106" s="2">
        <f t="shared" ref="AY106" si="47">(R106)/MAX(AV106-1, 1)</f>
        <v>30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15</v>
      </c>
      <c r="B107" t="s">
        <v>198</v>
      </c>
      <c r="C107" t="s">
        <v>328</v>
      </c>
      <c r="D107">
        <f>IF(E107 &gt; 2020, ((E107-2020)*4)+1610+G107,IF(E107 &gt; 1900, ((E107-1900)*10)+400+G107, ((E107-1730)*2)+G107))+VLOOKUP(I107,'ID Scheme'!$A$2:$B$7,2, FALSE)</f>
        <v>3971</v>
      </c>
      <c r="E107">
        <v>1997</v>
      </c>
      <c r="F107">
        <v>1</v>
      </c>
      <c r="G107">
        <v>1</v>
      </c>
      <c r="H107" t="s">
        <v>523</v>
      </c>
      <c r="I107" t="s">
        <v>13</v>
      </c>
      <c r="J107" t="s">
        <v>502</v>
      </c>
      <c r="K107">
        <v>70</v>
      </c>
      <c r="L107">
        <v>-1</v>
      </c>
      <c r="M107">
        <v>15</v>
      </c>
      <c r="N107">
        <v>5</v>
      </c>
      <c r="O107">
        <v>9</v>
      </c>
      <c r="P107">
        <v>405</v>
      </c>
      <c r="Q107">
        <v>20</v>
      </c>
      <c r="R107">
        <v>32</v>
      </c>
      <c r="S107">
        <v>1</v>
      </c>
      <c r="T107" t="s">
        <v>300</v>
      </c>
      <c r="U107">
        <v>3</v>
      </c>
      <c r="V107" s="2" t="s">
        <v>467</v>
      </c>
      <c r="W107" s="2" t="s">
        <v>332</v>
      </c>
      <c r="X107" s="2" t="s">
        <v>332</v>
      </c>
      <c r="Y107" s="2"/>
      <c r="Z107" s="2"/>
      <c r="AA107" s="2"/>
      <c r="AB107" s="2"/>
      <c r="AC107" s="2"/>
      <c r="AD107" s="2"/>
      <c r="AE107" s="2"/>
      <c r="AF107">
        <v>56</v>
      </c>
      <c r="AM107">
        <v>8</v>
      </c>
      <c r="AP107" s="2">
        <f>(SQRT(K107*R107)*POWER((MIN(M107,20)+SQRT(MAX(M107-20,0))),0.9)*Data!$B$1)*(1-(S107-1))</f>
        <v>40.613218318644378</v>
      </c>
      <c r="AQ107" s="2"/>
      <c r="AR107" s="2">
        <f>((POWER((K107*K107*R107), 0.33)*LOG10(P107)*10*Data!$B$1)*S107)+AQ107</f>
        <v>101.33099065775636</v>
      </c>
      <c r="AS107" s="2">
        <f t="shared" si="30"/>
        <v>56.451612903225808</v>
      </c>
      <c r="AT107" s="2">
        <f t="shared" ref="AT107:AT139" si="48">AF107/1.24</f>
        <v>45.161290322580648</v>
      </c>
      <c r="AV107" s="2">
        <v>1</v>
      </c>
      <c r="AW107" s="2">
        <v>1</v>
      </c>
      <c r="AX107" s="2">
        <f t="shared" si="31"/>
        <v>32</v>
      </c>
      <c r="AY107" s="2">
        <f t="shared" si="32"/>
        <v>32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ht="14.25" customHeight="1" x14ac:dyDescent="0.25">
      <c r="A108" t="s">
        <v>622</v>
      </c>
      <c r="B108" t="s">
        <v>623</v>
      </c>
      <c r="C108" t="s">
        <v>328</v>
      </c>
      <c r="D108">
        <f>IF(E108 &gt; 2020, ((E108-2020)*4)+1610+G108,IF(E108 &gt; 1900, ((E108-1900)*10)+400+G108, ((E108-1730)*2)+G108))+VLOOKUP(I108,'ID Scheme'!$A$2:$B$7,2, FALSE)</f>
        <v>3981</v>
      </c>
      <c r="E108">
        <v>1998</v>
      </c>
      <c r="F108">
        <v>5</v>
      </c>
      <c r="G108">
        <v>1</v>
      </c>
      <c r="H108" t="s">
        <v>523</v>
      </c>
      <c r="I108" t="s">
        <v>13</v>
      </c>
      <c r="J108" t="s">
        <v>502</v>
      </c>
      <c r="K108">
        <v>72</v>
      </c>
      <c r="L108">
        <v>-1</v>
      </c>
      <c r="M108">
        <v>14</v>
      </c>
      <c r="N108">
        <v>5</v>
      </c>
      <c r="O108">
        <v>9</v>
      </c>
      <c r="P108">
        <v>460</v>
      </c>
      <c r="Q108">
        <v>20</v>
      </c>
      <c r="R108">
        <v>30</v>
      </c>
      <c r="S108">
        <v>1</v>
      </c>
      <c r="T108" t="s">
        <v>290</v>
      </c>
      <c r="U108">
        <v>3</v>
      </c>
      <c r="V108" s="2" t="s">
        <v>624</v>
      </c>
      <c r="W108" s="2" t="s">
        <v>332</v>
      </c>
      <c r="X108" s="2" t="s">
        <v>332</v>
      </c>
      <c r="Y108" s="2"/>
      <c r="Z108" s="2"/>
      <c r="AA108" s="2"/>
      <c r="AB108" s="2"/>
      <c r="AC108" s="2"/>
      <c r="AD108" s="2"/>
      <c r="AE108" s="2"/>
      <c r="AF108">
        <v>56</v>
      </c>
      <c r="AM108">
        <v>8</v>
      </c>
      <c r="AP108" s="2">
        <f>(SQRT(K108*R108)*POWER((MIN(M108,20)+SQRT(MAX(M108-20,0))),0.9)*Data!$B$1)*(1-(S108-1))</f>
        <v>37.480326983572404</v>
      </c>
      <c r="AQ108" s="2"/>
      <c r="AR108" s="2">
        <f>((POWER((K108*K108*R108), 0.33)*LOG10(P108)*10*Data!$B$1)*S108)+AQ108</f>
        <v>103.20064123902668</v>
      </c>
      <c r="AS108" s="2">
        <f t="shared" si="30"/>
        <v>58.064516129032256</v>
      </c>
      <c r="AT108" s="2">
        <f t="shared" si="48"/>
        <v>45.161290322580648</v>
      </c>
      <c r="AV108" s="2">
        <v>1</v>
      </c>
      <c r="AW108" s="2">
        <v>1</v>
      </c>
      <c r="AX108" s="2">
        <f t="shared" si="31"/>
        <v>30</v>
      </c>
      <c r="AY108" s="2">
        <f t="shared" si="32"/>
        <v>30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90</v>
      </c>
      <c r="B109" t="s">
        <v>193</v>
      </c>
      <c r="C109" t="s">
        <v>328</v>
      </c>
      <c r="D109">
        <f>IF(E109 &gt; 2020, ((E109-2020)*4)+1610+G109,IF(E109 &gt; 1900, ((E109-1900)*10)+400+G109, ((E109-1730)*2)+G109))+VLOOKUP(I109,'ID Scheme'!$A$2:$B$7,2, FALSE)</f>
        <v>4012</v>
      </c>
      <c r="E109">
        <v>2001</v>
      </c>
      <c r="F109">
        <v>1</v>
      </c>
      <c r="G109">
        <v>2</v>
      </c>
      <c r="H109" t="s">
        <v>523</v>
      </c>
      <c r="I109" t="s">
        <v>13</v>
      </c>
      <c r="J109" t="s">
        <v>502</v>
      </c>
      <c r="K109">
        <v>75</v>
      </c>
      <c r="L109">
        <v>-1</v>
      </c>
      <c r="M109">
        <v>18</v>
      </c>
      <c r="N109">
        <v>5</v>
      </c>
      <c r="O109">
        <v>9</v>
      </c>
      <c r="P109">
        <v>207</v>
      </c>
      <c r="Q109">
        <v>20</v>
      </c>
      <c r="R109">
        <v>24</v>
      </c>
      <c r="S109">
        <v>1</v>
      </c>
      <c r="T109" t="s">
        <v>290</v>
      </c>
      <c r="U109">
        <v>0</v>
      </c>
      <c r="V109" s="2" t="s">
        <v>465</v>
      </c>
      <c r="W109" s="2" t="s">
        <v>332</v>
      </c>
      <c r="X109" s="2" t="s">
        <v>332</v>
      </c>
      <c r="Y109" s="2"/>
      <c r="Z109" s="2"/>
      <c r="AA109" s="2"/>
      <c r="AB109" s="2"/>
      <c r="AC109" s="2"/>
      <c r="AD109" s="2"/>
      <c r="AE109" s="2"/>
      <c r="AF109">
        <v>56</v>
      </c>
      <c r="AM109">
        <v>7</v>
      </c>
      <c r="AP109" s="2">
        <f>(SQRT(K109*R109)*POWER((MIN(M109,20)+SQRT(MAX(M109-20,0))),0.9)*Data!$B$1)*(1-(S109-1))</f>
        <v>42.898565562476904</v>
      </c>
      <c r="AQ109" s="2"/>
      <c r="AR109" s="2">
        <f>((POWER((K109*K109*R109), 0.33)*LOG10(P109)*10*Data!$B$1)*S109)+AQ109</f>
        <v>85.665193700262009</v>
      </c>
      <c r="AS109" s="2">
        <f t="shared" si="30"/>
        <v>60.483870967741936</v>
      </c>
      <c r="AT109" s="2">
        <f t="shared" si="48"/>
        <v>45.161290322580648</v>
      </c>
      <c r="AV109" s="2">
        <v>1</v>
      </c>
      <c r="AW109" s="2">
        <v>1</v>
      </c>
      <c r="AX109" s="2">
        <f t="shared" si="31"/>
        <v>24</v>
      </c>
      <c r="AY109" s="2">
        <f t="shared" si="32"/>
        <v>24</v>
      </c>
      <c r="AZ109" s="3">
        <v>8.5</v>
      </c>
      <c r="BA109" s="3">
        <v>2.2000000000000002</v>
      </c>
      <c r="BB109" s="3">
        <v>2.6</v>
      </c>
      <c r="BC109" s="2" t="str">
        <f>CONCATENATE(
ROUND(AZ109*VLOOKUP(I109,'ID Scheme'!$A$2:$E$7,3),0), "x",
ROUND(BA109*VLOOKUP(I109,'ID Scheme'!$A$2:$E$7,5),0), "x",
ROUND(BB109*VLOOKUP(I109,'ID Scheme'!$A$2:$E$7,4),0))</f>
        <v>79x32x25</v>
      </c>
      <c r="BD109" t="s">
        <v>91</v>
      </c>
    </row>
    <row r="110" spans="1:56" x14ac:dyDescent="0.25">
      <c r="A110" t="s">
        <v>77</v>
      </c>
      <c r="B110" t="s">
        <v>215</v>
      </c>
      <c r="C110" t="s">
        <v>328</v>
      </c>
      <c r="D110">
        <f>IF(E110 &gt; 2020, ((E110-2020)*4)+1610+G110,IF(E110 &gt; 1900, ((E110-1900)*10)+400+G110, ((E110-1730)*2)+G110))+VLOOKUP(I110,'ID Scheme'!$A$2:$B$7,2, FALSE)</f>
        <v>4051</v>
      </c>
      <c r="E110">
        <v>2005</v>
      </c>
      <c r="F110">
        <v>1</v>
      </c>
      <c r="G110">
        <v>1</v>
      </c>
      <c r="H110" t="s">
        <v>523</v>
      </c>
      <c r="I110" t="s">
        <v>13</v>
      </c>
      <c r="J110" t="s">
        <v>502</v>
      </c>
      <c r="K110">
        <v>80</v>
      </c>
      <c r="L110">
        <v>-1</v>
      </c>
      <c r="M110">
        <v>19</v>
      </c>
      <c r="N110">
        <v>5</v>
      </c>
      <c r="O110">
        <v>3</v>
      </c>
      <c r="P110">
        <v>175</v>
      </c>
      <c r="Q110">
        <v>20</v>
      </c>
      <c r="R110">
        <v>18</v>
      </c>
      <c r="S110">
        <v>1</v>
      </c>
      <c r="T110" t="s">
        <v>290</v>
      </c>
      <c r="U110">
        <v>0</v>
      </c>
      <c r="V110" s="2" t="s">
        <v>463</v>
      </c>
      <c r="W110" s="2" t="s">
        <v>332</v>
      </c>
      <c r="X110" s="2" t="s">
        <v>332</v>
      </c>
      <c r="Y110" s="2"/>
      <c r="Z110" s="2"/>
      <c r="AA110" s="2"/>
      <c r="AB110" s="2"/>
      <c r="AC110" s="2"/>
      <c r="AD110" s="2"/>
      <c r="AE110" s="2"/>
      <c r="AM110">
        <v>6</v>
      </c>
      <c r="AP110" s="2">
        <f>(SQRT(K110*R110)*POWER((MIN(M110,20)+SQRT(MAX(M110-20,0))),0.9)*Data!$B$1)*(1-(S110-1))</f>
        <v>40.282902046468678</v>
      </c>
      <c r="AQ110" s="2"/>
      <c r="AR110" s="2">
        <f>((POWER((K110*K110*R110), 0.33)*LOG10(P110)*10*Data!$B$1)*S110)+AQ110</f>
        <v>78.736702415748411</v>
      </c>
      <c r="AS110" s="2">
        <f t="shared" si="30"/>
        <v>64.516129032258064</v>
      </c>
      <c r="AT110" s="2">
        <f t="shared" si="48"/>
        <v>0</v>
      </c>
      <c r="AV110" s="2">
        <v>1</v>
      </c>
      <c r="AW110" s="2">
        <v>1</v>
      </c>
      <c r="AX110" s="2">
        <f t="shared" si="31"/>
        <v>18</v>
      </c>
      <c r="AY110" s="2">
        <f t="shared" si="32"/>
        <v>18</v>
      </c>
      <c r="AZ110" s="3">
        <v>6.2</v>
      </c>
      <c r="BA110" s="3">
        <v>2.2000000000000002</v>
      </c>
      <c r="BB110" s="3">
        <v>2.6</v>
      </c>
      <c r="BC110" s="2" t="str">
        <f>CONCATENATE(
ROUND(AZ110*VLOOKUP(I110,'ID Scheme'!$A$2:$E$7,3),0), "x",
ROUND(BA110*VLOOKUP(I110,'ID Scheme'!$A$2:$E$7,5),0), "x",
ROUND(BB110*VLOOKUP(I110,'ID Scheme'!$A$2:$E$7,4),0))</f>
        <v>58x32x25</v>
      </c>
      <c r="BD110" t="s">
        <v>78</v>
      </c>
    </row>
    <row r="111" spans="1:56" x14ac:dyDescent="0.25">
      <c r="A111" t="s">
        <v>641</v>
      </c>
      <c r="B111" t="s">
        <v>642</v>
      </c>
      <c r="C111" t="s">
        <v>328</v>
      </c>
      <c r="D111">
        <f>IF(E111 &gt; 2020, ((E111-2020)*4)+1610+G111,IF(E111 &gt; 1900, ((E111-1900)*10)+400+G111, ((E111-1730)*2)+G111))+VLOOKUP(I111,'ID Scheme'!$A$2:$B$7,2, FALSE)</f>
        <v>4071</v>
      </c>
      <c r="E111">
        <v>2007</v>
      </c>
      <c r="F111">
        <v>1</v>
      </c>
      <c r="G111">
        <v>1</v>
      </c>
      <c r="H111" t="s">
        <v>523</v>
      </c>
      <c r="I111" t="s">
        <v>13</v>
      </c>
      <c r="J111" t="s">
        <v>502</v>
      </c>
      <c r="K111">
        <v>74</v>
      </c>
      <c r="L111">
        <v>-1</v>
      </c>
      <c r="M111">
        <v>16</v>
      </c>
      <c r="N111">
        <v>5</v>
      </c>
      <c r="O111">
        <v>9</v>
      </c>
      <c r="P111">
        <v>440</v>
      </c>
      <c r="Q111">
        <v>20</v>
      </c>
      <c r="R111">
        <v>32</v>
      </c>
      <c r="S111">
        <v>1</v>
      </c>
      <c r="T111" t="s">
        <v>296</v>
      </c>
      <c r="U111">
        <v>3</v>
      </c>
      <c r="V111" s="2" t="s">
        <v>643</v>
      </c>
      <c r="W111" s="2" t="s">
        <v>332</v>
      </c>
      <c r="X111" s="2" t="s">
        <v>332</v>
      </c>
      <c r="Y111" s="2"/>
      <c r="Z111" s="2"/>
      <c r="AA111" s="2"/>
      <c r="AB111" s="2"/>
      <c r="AC111" s="2"/>
      <c r="AD111" s="2"/>
      <c r="AE111" s="2"/>
      <c r="AF111">
        <v>56</v>
      </c>
      <c r="AM111">
        <v>8</v>
      </c>
      <c r="AP111" s="2">
        <f>(SQRT(K111*R111)*POWER((MIN(M111,20)+SQRT(MAX(M111-20,0))),0.9)*Data!$B$1)*(1-(S111-1))</f>
        <v>44.254770899144248</v>
      </c>
      <c r="AQ111" s="2"/>
      <c r="AR111" s="2">
        <f>((POWER((K111*K111*R111), 0.33)*LOG10(P111)*10*Data!$B$1)*S111)+AQ111</f>
        <v>106.56761130788216</v>
      </c>
      <c r="AS111" s="2">
        <f t="shared" ref="AS111" si="49">K111/1.24</f>
        <v>59.677419354838712</v>
      </c>
      <c r="AT111" s="2">
        <f t="shared" ref="AT111" si="50">AF111/1.24</f>
        <v>45.161290322580648</v>
      </c>
      <c r="AV111" s="2">
        <v>1</v>
      </c>
      <c r="AW111" s="2">
        <v>1</v>
      </c>
      <c r="AX111" s="2">
        <f t="shared" ref="AX111" si="51">R111/AW111</f>
        <v>32</v>
      </c>
      <c r="AY111" s="2">
        <f t="shared" ref="AY111" si="52">(R111)/MAX(AV111-1, 1)</f>
        <v>32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57</v>
      </c>
      <c r="B112" t="s">
        <v>263</v>
      </c>
      <c r="C112" t="s">
        <v>361</v>
      </c>
      <c r="D112">
        <f>IF(E112 &gt; 2020, ((E112-2020)*4)+1610+G112,IF(E112 &gt; 1900, ((E112-1900)*10)+400+G112, ((E112-1730)*2)+G112))+VLOOKUP(I112,'ID Scheme'!$A$2:$B$7,2, FALSE)</f>
        <v>5121</v>
      </c>
      <c r="E112">
        <v>1912</v>
      </c>
      <c r="F112">
        <v>1</v>
      </c>
      <c r="G112">
        <v>1</v>
      </c>
      <c r="H112" t="s">
        <v>523</v>
      </c>
      <c r="I112" t="s">
        <v>14</v>
      </c>
      <c r="J112" t="s">
        <v>509</v>
      </c>
      <c r="K112">
        <v>40</v>
      </c>
      <c r="L112">
        <v>28</v>
      </c>
      <c r="M112">
        <v>12</v>
      </c>
      <c r="N112">
        <v>5</v>
      </c>
      <c r="O112">
        <v>1</v>
      </c>
      <c r="P112">
        <v>20</v>
      </c>
      <c r="Q112">
        <v>20</v>
      </c>
      <c r="R112">
        <v>4</v>
      </c>
      <c r="S112">
        <v>1</v>
      </c>
      <c r="T112" t="s">
        <v>357</v>
      </c>
      <c r="U112">
        <v>-3</v>
      </c>
      <c r="V112" s="2" t="s">
        <v>461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4</v>
      </c>
      <c r="AP112" s="2">
        <f>(SQRT(K112*R112)*POWER((MIN(M112,20)+SQRT(MAX(M112-20,0))),0.9)*Data!$B$1)*(1-(S112-1))</f>
        <v>8.8794154486294588</v>
      </c>
      <c r="AQ112" s="2"/>
      <c r="AR112" s="2">
        <f>((POWER((K112*K112*R112), 0.33)*LOG10(P112)*10*Data!$B$1)*S112)+AQ112</f>
        <v>17.594947052790868</v>
      </c>
      <c r="AS112" s="2">
        <f t="shared" ref="AS112:AS144" si="53">K112/1.24</f>
        <v>32.258064516129032</v>
      </c>
      <c r="AT112" s="2">
        <f t="shared" si="48"/>
        <v>0</v>
      </c>
      <c r="AV112" s="2">
        <v>1</v>
      </c>
      <c r="AW112" s="2">
        <v>1</v>
      </c>
      <c r="AX112" s="2">
        <f t="shared" ref="AX112:AX144" si="54">R112/AW112</f>
        <v>4</v>
      </c>
      <c r="AY112" s="2">
        <f t="shared" ref="AY112:AY144" si="55">(R112)/MAX(AV112-1, 1)</f>
        <v>4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63</v>
      </c>
      <c r="B113" t="s">
        <v>258</v>
      </c>
      <c r="C113" t="s">
        <v>361</v>
      </c>
      <c r="D113">
        <f>IF(E113 &gt; 2020, ((E113-2020)*4)+1610+G113,IF(E113 &gt; 1900, ((E113-1900)*10)+400+G113, ((E113-1730)*2)+G113))+VLOOKUP(I113,'ID Scheme'!$A$2:$B$7,2, FALSE)</f>
        <v>5381</v>
      </c>
      <c r="E113">
        <v>1938</v>
      </c>
      <c r="F113">
        <v>6</v>
      </c>
      <c r="G113">
        <v>1</v>
      </c>
      <c r="H113" t="s">
        <v>523</v>
      </c>
      <c r="I113" t="s">
        <v>14</v>
      </c>
      <c r="J113" t="s">
        <v>502</v>
      </c>
      <c r="K113">
        <v>45</v>
      </c>
      <c r="L113">
        <v>20</v>
      </c>
      <c r="M113">
        <v>14</v>
      </c>
      <c r="N113">
        <v>5</v>
      </c>
      <c r="O113">
        <v>1</v>
      </c>
      <c r="P113">
        <v>32</v>
      </c>
      <c r="Q113">
        <v>20</v>
      </c>
      <c r="R113">
        <v>5</v>
      </c>
      <c r="S113">
        <v>1</v>
      </c>
      <c r="T113" t="s">
        <v>357</v>
      </c>
      <c r="U113">
        <v>-3</v>
      </c>
      <c r="V113" s="2" t="s">
        <v>460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4</v>
      </c>
      <c r="AP113" s="2">
        <f>(SQRT(K113*R113)*POWER((MIN(M113,20)+SQRT(MAX(M113-20,0))),0.9)*Data!$B$1)*(1-(S113-1))</f>
        <v>12.0967235181487</v>
      </c>
      <c r="AQ113" s="2"/>
      <c r="AR113" s="2">
        <f>((POWER((K113*K113*R113), 0.33)*LOG10(P113)*10*Data!$B$1)*S113)+AQ113</f>
        <v>23.682164888763008</v>
      </c>
      <c r="AS113" s="2">
        <f t="shared" si="53"/>
        <v>36.29032258064516</v>
      </c>
      <c r="AT113" s="2">
        <f t="shared" si="48"/>
        <v>0</v>
      </c>
      <c r="AV113" s="2">
        <v>1</v>
      </c>
      <c r="AW113" s="2">
        <v>1</v>
      </c>
      <c r="AX113" s="2">
        <f t="shared" si="54"/>
        <v>5</v>
      </c>
      <c r="AY113" s="2">
        <f t="shared" si="55"/>
        <v>5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653</v>
      </c>
      <c r="B114" t="s">
        <v>652</v>
      </c>
      <c r="C114" t="s">
        <v>650</v>
      </c>
      <c r="D114">
        <f>IF(E114 &gt; 2020, ((E114-2020)*4)+1610+G114,IF(E114 &gt; 1900, ((E114-1900)*10)+400+G114, ((E114-1730)*2)+G114))+VLOOKUP(I114,'ID Scheme'!$A$2:$B$7,2, FALSE)</f>
        <v>5551</v>
      </c>
      <c r="E114">
        <v>1955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20</v>
      </c>
      <c r="L114">
        <v>40</v>
      </c>
      <c r="M114">
        <v>22</v>
      </c>
      <c r="N114">
        <v>5</v>
      </c>
      <c r="O114">
        <v>2</v>
      </c>
      <c r="P114">
        <v>20</v>
      </c>
      <c r="Q114">
        <v>20</v>
      </c>
      <c r="R114">
        <v>10</v>
      </c>
      <c r="S114">
        <v>1</v>
      </c>
      <c r="T114" t="s">
        <v>366</v>
      </c>
      <c r="U114">
        <v>-3</v>
      </c>
      <c r="V114" s="2" t="s">
        <v>651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5</v>
      </c>
      <c r="AP114" s="2">
        <f>(SQRT(K114*R114)*POWER((MIN(M114,20)+SQRT(MAX(M114-20,0))),0.9)*Data!$B$1)*(1-(S114-1))</f>
        <v>16.718918388299262</v>
      </c>
      <c r="AQ114" s="2"/>
      <c r="AR114" s="2">
        <f>((POWER((K114*K114*R114), 0.33)*LOG10(P114)*10*Data!$B$1)*S114)+AQ114</f>
        <v>15.067054875315222</v>
      </c>
      <c r="AS114" s="2">
        <f t="shared" ref="AS114" si="56">K114/1.24</f>
        <v>16.129032258064516</v>
      </c>
      <c r="AT114" s="2">
        <f t="shared" ref="AT114" si="57">AF114/1.24</f>
        <v>0</v>
      </c>
      <c r="AV114" s="2">
        <v>1</v>
      </c>
      <c r="AW114" s="2">
        <v>1</v>
      </c>
      <c r="AX114" s="2">
        <f t="shared" ref="AX114" si="58">R114/AW114</f>
        <v>10</v>
      </c>
      <c r="AY114" s="2">
        <f t="shared" ref="AY114" si="59">(R114)/MAX(AV114-1, 1)</f>
        <v>10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265</v>
      </c>
      <c r="B115" t="s">
        <v>264</v>
      </c>
      <c r="C115" t="s">
        <v>361</v>
      </c>
      <c r="D115">
        <f>IF(E115 &gt; 2020, ((E115-2020)*4)+1610+G115,IF(E115 &gt; 1900, ((E115-1900)*10)+400+G115, ((E115-1730)*2)+G115))+VLOOKUP(I115,'ID Scheme'!$A$2:$B$7,2, FALSE)</f>
        <v>5571</v>
      </c>
      <c r="E115">
        <v>1957</v>
      </c>
      <c r="F115">
        <v>1</v>
      </c>
      <c r="G115">
        <v>1</v>
      </c>
      <c r="H115" t="s">
        <v>523</v>
      </c>
      <c r="I115" t="s">
        <v>14</v>
      </c>
      <c r="J115" t="s">
        <v>502</v>
      </c>
      <c r="K115">
        <v>60</v>
      </c>
      <c r="L115">
        <v>16</v>
      </c>
      <c r="M115">
        <v>12</v>
      </c>
      <c r="N115">
        <v>5</v>
      </c>
      <c r="O115">
        <v>1</v>
      </c>
      <c r="P115">
        <v>53</v>
      </c>
      <c r="Q115">
        <v>20</v>
      </c>
      <c r="R115">
        <v>6</v>
      </c>
      <c r="S115">
        <v>1</v>
      </c>
      <c r="T115" t="s">
        <v>357</v>
      </c>
      <c r="U115">
        <v>-3</v>
      </c>
      <c r="V115" s="2" t="s">
        <v>459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5</v>
      </c>
      <c r="AP115" s="2">
        <f>(SQRT(K115*R115)*POWER((MIN(M115,20)+SQRT(MAX(M115-20,0))),0.9)*Data!$B$1)*(1-(S115-1))</f>
        <v>13.319123172944188</v>
      </c>
      <c r="AQ115" s="2"/>
      <c r="AR115" s="2">
        <f>((POWER((K115*K115*R115), 0.33)*LOG10(P115)*10*Data!$B$1)*S115)+AQ115</f>
        <v>34.83675961560575</v>
      </c>
      <c r="AS115" s="2">
        <f t="shared" si="53"/>
        <v>48.387096774193552</v>
      </c>
      <c r="AT115" s="2">
        <f t="shared" si="48"/>
        <v>0</v>
      </c>
      <c r="AV115" s="2">
        <v>1</v>
      </c>
      <c r="AW115" s="2">
        <v>1</v>
      </c>
      <c r="AX115" s="2">
        <f t="shared" si="54"/>
        <v>6</v>
      </c>
      <c r="AY115" s="2">
        <f t="shared" si="55"/>
        <v>6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62</v>
      </c>
      <c r="B116" t="s">
        <v>262</v>
      </c>
      <c r="C116" t="s">
        <v>361</v>
      </c>
      <c r="D116">
        <f>IF(E116 &gt; 2020, ((E116-2020)*4)+1610+G116,IF(E116 &gt; 1900, ((E116-1900)*10)+400+G116, ((E116-1730)*2)+G116))+VLOOKUP(I116,'ID Scheme'!$A$2:$B$7,2, FALSE)</f>
        <v>5601</v>
      </c>
      <c r="E116">
        <v>1960</v>
      </c>
      <c r="F116">
        <v>1</v>
      </c>
      <c r="G116">
        <v>1</v>
      </c>
      <c r="H116" t="s">
        <v>523</v>
      </c>
      <c r="I116" t="s">
        <v>14</v>
      </c>
      <c r="J116" t="s">
        <v>502</v>
      </c>
      <c r="K116">
        <v>60</v>
      </c>
      <c r="L116">
        <v>22</v>
      </c>
      <c r="M116">
        <v>15</v>
      </c>
      <c r="N116">
        <v>5</v>
      </c>
      <c r="O116">
        <v>1</v>
      </c>
      <c r="P116">
        <v>58</v>
      </c>
      <c r="Q116">
        <v>20</v>
      </c>
      <c r="R116">
        <v>8</v>
      </c>
      <c r="S116">
        <v>1.1000000000000001</v>
      </c>
      <c r="T116" t="s">
        <v>357</v>
      </c>
      <c r="U116">
        <v>-3</v>
      </c>
      <c r="V116" s="2" t="s">
        <v>481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5</v>
      </c>
      <c r="AP116" s="2">
        <f>(SQRT(K116*R116)*POWER((MIN(M116,20)+SQRT(MAX(M116-20,0))),0.9)*Data!$B$1)*(1-(S116-1))</f>
        <v>16.920240226133288</v>
      </c>
      <c r="AQ116" s="2"/>
      <c r="AR116" s="2">
        <f>((POWER((K116*K116*R116), 0.33)*LOG10(P116)*10*Data!$B$1)*S116)+AQ116</f>
        <v>43.093443625686163</v>
      </c>
      <c r="AS116" s="2">
        <f t="shared" si="53"/>
        <v>48.387096774193552</v>
      </c>
      <c r="AT116" s="2">
        <f t="shared" si="48"/>
        <v>0</v>
      </c>
      <c r="AV116" s="2">
        <v>1</v>
      </c>
      <c r="AW116" s="2">
        <v>1</v>
      </c>
      <c r="AX116" s="2">
        <f t="shared" si="54"/>
        <v>8</v>
      </c>
      <c r="AY116" s="2">
        <f t="shared" si="55"/>
        <v>8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37</v>
      </c>
      <c r="B117" t="s">
        <v>267</v>
      </c>
      <c r="C117" t="s">
        <v>361</v>
      </c>
      <c r="D117">
        <f>IF(E117 &gt; 2020, ((E117-2020)*4)+1610+G117,IF(E117 &gt; 1900, ((E117-1900)*10)+400+G117, ((E117-1730)*2)+G117))+VLOOKUP(I117,'ID Scheme'!$A$2:$B$7,2, FALSE)</f>
        <v>5651</v>
      </c>
      <c r="E117">
        <v>1965</v>
      </c>
      <c r="F117">
        <v>10</v>
      </c>
      <c r="G117">
        <v>1</v>
      </c>
      <c r="H117" t="s">
        <v>523</v>
      </c>
      <c r="I117" t="s">
        <v>14</v>
      </c>
      <c r="J117" t="s">
        <v>502</v>
      </c>
      <c r="K117">
        <v>65</v>
      </c>
      <c r="L117">
        <v>18</v>
      </c>
      <c r="M117">
        <v>14</v>
      </c>
      <c r="N117">
        <v>5</v>
      </c>
      <c r="O117">
        <v>1.5</v>
      </c>
      <c r="P117">
        <v>90</v>
      </c>
      <c r="Q117">
        <v>20</v>
      </c>
      <c r="R117">
        <v>8</v>
      </c>
      <c r="S117">
        <v>1</v>
      </c>
      <c r="T117" t="s">
        <v>357</v>
      </c>
      <c r="U117">
        <v>-3</v>
      </c>
      <c r="V117" s="2" t="s">
        <v>458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6</v>
      </c>
      <c r="AP117" s="2">
        <f>(SQRT(K117*R117)*POWER((MIN(M117,20)+SQRT(MAX(M117-20,0))),0.9)*Data!$B$1)*(1-(S117-1))</f>
        <v>18.389849172815911</v>
      </c>
      <c r="AQ117" s="2"/>
      <c r="AR117" s="2">
        <f>((POWER((K117*K117*R117), 0.33)*LOG10(P117)*10*Data!$B$1)*S117)+AQ117</f>
        <v>45.77013890849053</v>
      </c>
      <c r="AS117" s="2">
        <f t="shared" si="53"/>
        <v>52.41935483870968</v>
      </c>
      <c r="AT117" s="2">
        <f t="shared" si="48"/>
        <v>0</v>
      </c>
      <c r="AV117" s="2">
        <v>1</v>
      </c>
      <c r="AW117" s="2">
        <v>1</v>
      </c>
      <c r="AX117" s="2">
        <f t="shared" si="54"/>
        <v>8</v>
      </c>
      <c r="AY117" s="2">
        <f t="shared" si="55"/>
        <v>8</v>
      </c>
      <c r="AZ117" s="3"/>
      <c r="BA117" s="3"/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38</v>
      </c>
      <c r="B118" t="s">
        <v>268</v>
      </c>
      <c r="C118" t="s">
        <v>361</v>
      </c>
      <c r="D118">
        <f>IF(E118 &gt; 2020, ((E118-2020)*4)+1610+G118,IF(E118 &gt; 1900, ((E118-1900)*10)+400+G118, ((E118-1730)*2)+G118))+VLOOKUP(I118,'ID Scheme'!$A$2:$B$7,2, FALSE)</f>
        <v>5861</v>
      </c>
      <c r="E118">
        <v>1986</v>
      </c>
      <c r="F118">
        <v>1</v>
      </c>
      <c r="G118">
        <v>1</v>
      </c>
      <c r="H118" t="s">
        <v>523</v>
      </c>
      <c r="I118" t="s">
        <v>14</v>
      </c>
      <c r="J118" t="s">
        <v>502</v>
      </c>
      <c r="K118">
        <v>80</v>
      </c>
      <c r="L118">
        <v>20</v>
      </c>
      <c r="M118">
        <v>14</v>
      </c>
      <c r="N118">
        <v>5</v>
      </c>
      <c r="O118">
        <v>1.5</v>
      </c>
      <c r="P118">
        <v>100</v>
      </c>
      <c r="Q118">
        <v>20</v>
      </c>
      <c r="R118">
        <v>10</v>
      </c>
      <c r="S118">
        <v>1</v>
      </c>
      <c r="T118" t="s">
        <v>357</v>
      </c>
      <c r="U118">
        <v>-3</v>
      </c>
      <c r="V118" s="2" t="s">
        <v>450</v>
      </c>
      <c r="W118" s="2"/>
      <c r="X118" s="2"/>
      <c r="Y118" s="2"/>
      <c r="Z118" s="2"/>
      <c r="AA118" s="2"/>
      <c r="AB118" s="2"/>
      <c r="AC118" s="2"/>
      <c r="AD118" s="2"/>
      <c r="AE118" s="2"/>
      <c r="AM118">
        <v>6</v>
      </c>
      <c r="AP118" s="2">
        <f>(SQRT(K118*R118)*POWER((MIN(M118,20)+SQRT(MAX(M118-20,0))),0.9)*Data!$B$1)*(1-(S118-1))</f>
        <v>22.809800612857963</v>
      </c>
      <c r="AQ118" s="2"/>
      <c r="AR118" s="2">
        <f>((POWER((K118*K118*R118), 0.33)*LOG10(P118)*10*Data!$B$1)*S118)+AQ118</f>
        <v>57.826998441289433</v>
      </c>
      <c r="AS118" s="2">
        <f t="shared" si="53"/>
        <v>64.516129032258064</v>
      </c>
      <c r="AT118" s="2">
        <f t="shared" si="48"/>
        <v>0</v>
      </c>
      <c r="AV118" s="2">
        <v>1</v>
      </c>
      <c r="AW118" s="2">
        <v>1</v>
      </c>
      <c r="AX118" s="2">
        <f t="shared" si="54"/>
        <v>10</v>
      </c>
      <c r="AY118" s="2">
        <f t="shared" si="55"/>
        <v>10</v>
      </c>
      <c r="AZ118" s="3"/>
      <c r="BA118" s="3"/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40</v>
      </c>
      <c r="B119" t="s">
        <v>260</v>
      </c>
      <c r="C119" t="s">
        <v>361</v>
      </c>
      <c r="D119">
        <f>IF(E119 &gt; 2020, ((E119-2020)*4)+1610+G119,IF(E119 &gt; 1900, ((E119-1900)*10)+400+G119, ((E119-1730)*2)+G119))+VLOOKUP(I119,'ID Scheme'!$A$2:$B$7,2, FALSE)</f>
        <v>5862</v>
      </c>
      <c r="E119">
        <v>1986</v>
      </c>
      <c r="F119">
        <v>1</v>
      </c>
      <c r="G119">
        <v>2</v>
      </c>
      <c r="H119" t="s">
        <v>523</v>
      </c>
      <c r="I119" t="s">
        <v>14</v>
      </c>
      <c r="J119" t="s">
        <v>502</v>
      </c>
      <c r="K119">
        <v>65</v>
      </c>
      <c r="L119">
        <v>20</v>
      </c>
      <c r="M119">
        <v>14</v>
      </c>
      <c r="N119">
        <v>5</v>
      </c>
      <c r="O119">
        <v>1</v>
      </c>
      <c r="P119">
        <v>44</v>
      </c>
      <c r="Q119">
        <v>20</v>
      </c>
      <c r="R119">
        <v>4</v>
      </c>
      <c r="S119">
        <v>1</v>
      </c>
      <c r="T119" t="s">
        <v>357</v>
      </c>
      <c r="U119">
        <v>-4</v>
      </c>
      <c r="V119" s="2" t="s">
        <v>456</v>
      </c>
      <c r="W119" s="2"/>
      <c r="X119" s="2"/>
      <c r="Y119" s="2"/>
      <c r="Z119" s="2"/>
      <c r="AA119" s="2"/>
      <c r="AB119" s="2"/>
      <c r="AC119" s="2"/>
      <c r="AD119" s="2"/>
      <c r="AE119" s="2"/>
      <c r="AM119">
        <v>4</v>
      </c>
      <c r="AP119" s="2">
        <f>(SQRT(K119*R119)*POWER((MIN(M119,20)+SQRT(MAX(M119-20,0))),0.9)*Data!$B$1)*(1-(S119-1))</f>
        <v>13.003587055095952</v>
      </c>
      <c r="AQ119" s="2"/>
      <c r="AR119" s="2">
        <f>((POWER((K119*K119*R119), 0.33)*LOG10(P119)*10*Data!$B$1)*S119)+AQ119</f>
        <v>30.621120528083672</v>
      </c>
      <c r="AS119" s="2">
        <f t="shared" si="53"/>
        <v>52.41935483870968</v>
      </c>
      <c r="AT119" s="2">
        <f t="shared" si="48"/>
        <v>0</v>
      </c>
      <c r="AV119" s="2">
        <v>1</v>
      </c>
      <c r="AW119" s="2">
        <v>1</v>
      </c>
      <c r="AX119" s="2">
        <f t="shared" si="54"/>
        <v>4</v>
      </c>
      <c r="AY119" s="2">
        <f t="shared" si="55"/>
        <v>4</v>
      </c>
      <c r="AZ119" s="3"/>
      <c r="BA119" s="3"/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42</v>
      </c>
      <c r="B120" t="s">
        <v>214</v>
      </c>
      <c r="C120" t="s">
        <v>361</v>
      </c>
      <c r="D120">
        <f>IF(E120 &gt; 2020, ((E120-2020)*4)+1610+G120,IF(E120 &gt; 1900, ((E120-1900)*10)+400+G120, ((E120-1730)*2)+G120))+VLOOKUP(I120,'ID Scheme'!$A$2:$B$7,2, FALSE)</f>
        <v>6061</v>
      </c>
      <c r="E120">
        <v>2006</v>
      </c>
      <c r="F120">
        <v>1</v>
      </c>
      <c r="G120">
        <v>1</v>
      </c>
      <c r="H120" t="s">
        <v>523</v>
      </c>
      <c r="I120" t="s">
        <v>14</v>
      </c>
      <c r="J120" t="s">
        <v>502</v>
      </c>
      <c r="K120">
        <v>85</v>
      </c>
      <c r="L120">
        <v>-1</v>
      </c>
      <c r="M120">
        <v>15</v>
      </c>
      <c r="N120">
        <v>5</v>
      </c>
      <c r="O120">
        <v>2</v>
      </c>
      <c r="P120">
        <v>160</v>
      </c>
      <c r="Q120">
        <v>20</v>
      </c>
      <c r="R120">
        <v>12</v>
      </c>
      <c r="S120">
        <v>1</v>
      </c>
      <c r="T120" t="s">
        <v>357</v>
      </c>
      <c r="U120">
        <v>-4</v>
      </c>
      <c r="V120" s="2" t="s">
        <v>455</v>
      </c>
      <c r="W120" s="2"/>
      <c r="X120" s="2"/>
      <c r="Y120" s="2"/>
      <c r="Z120" s="2"/>
      <c r="AA120" s="2"/>
      <c r="AB120" s="2"/>
      <c r="AC120" s="2"/>
      <c r="AD120" s="2"/>
      <c r="AE120" s="2"/>
      <c r="AM120">
        <v>7</v>
      </c>
      <c r="AP120" s="2">
        <f>(SQRT(K120*R120)*POWER((MIN(M120,20)+SQRT(MAX(M120-20,0))),0.9)*Data!$B$1)*(1-(S120-1))</f>
        <v>27.405863002169326</v>
      </c>
      <c r="AQ120" s="2"/>
      <c r="AR120" s="2">
        <f>((POWER((K120*K120*R120), 0.33)*LOG10(P120)*10*Data!$B$1)*S120)+AQ120</f>
        <v>70.44380358335296</v>
      </c>
      <c r="AS120" s="2">
        <f t="shared" si="53"/>
        <v>68.548387096774192</v>
      </c>
      <c r="AT120" s="2">
        <f t="shared" si="48"/>
        <v>0</v>
      </c>
      <c r="AV120" s="2">
        <v>1</v>
      </c>
      <c r="AW120" s="2">
        <v>1</v>
      </c>
      <c r="AX120" s="2">
        <f t="shared" si="54"/>
        <v>12</v>
      </c>
      <c r="AY120" s="2">
        <f t="shared" si="55"/>
        <v>12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</row>
    <row r="121" spans="1:56" x14ac:dyDescent="0.25">
      <c r="A121" t="s">
        <v>41</v>
      </c>
      <c r="B121" t="s">
        <v>266</v>
      </c>
      <c r="C121" t="s">
        <v>361</v>
      </c>
      <c r="D121">
        <f>IF(E121 &gt; 2020, ((E121-2020)*4)+1610+G121,IF(E121 &gt; 1900, ((E121-1900)*10)+400+G121, ((E121-1730)*2)+G121))+VLOOKUP(I121,'ID Scheme'!$A$2:$B$7,2, FALSE)</f>
        <v>6121</v>
      </c>
      <c r="E121">
        <v>2012</v>
      </c>
      <c r="F121">
        <v>1</v>
      </c>
      <c r="G121">
        <v>1</v>
      </c>
      <c r="H121" t="s">
        <v>523</v>
      </c>
      <c r="I121" t="s">
        <v>14</v>
      </c>
      <c r="J121" t="s">
        <v>502</v>
      </c>
      <c r="K121">
        <v>92</v>
      </c>
      <c r="L121">
        <v>-1</v>
      </c>
      <c r="M121">
        <v>14</v>
      </c>
      <c r="N121">
        <v>5</v>
      </c>
      <c r="O121">
        <v>1.5</v>
      </c>
      <c r="P121">
        <v>125</v>
      </c>
      <c r="Q121">
        <v>20</v>
      </c>
      <c r="R121">
        <v>10</v>
      </c>
      <c r="S121">
        <v>1</v>
      </c>
      <c r="T121" t="s">
        <v>357</v>
      </c>
      <c r="U121">
        <v>-4</v>
      </c>
      <c r="V121" s="2" t="s">
        <v>454</v>
      </c>
      <c r="W121" s="2"/>
      <c r="X121" s="2"/>
      <c r="Y121" s="2"/>
      <c r="Z121" s="2"/>
      <c r="AA121" s="2"/>
      <c r="AB121" s="2"/>
      <c r="AC121" s="2"/>
      <c r="AD121" s="2"/>
      <c r="AE121" s="2"/>
      <c r="AM121">
        <v>6</v>
      </c>
      <c r="AP121" s="2">
        <f>(SQRT(K121*R121)*POWER((MIN(M121,20)+SQRT(MAX(M121-20,0))),0.9)*Data!$B$1)*(1-(S121-1))</f>
        <v>24.460786058466841</v>
      </c>
      <c r="AQ121" s="2"/>
      <c r="AR121" s="2">
        <f>((POWER((K121*K121*R121), 0.33)*LOG10(P121)*10*Data!$B$1)*S121)+AQ121</f>
        <v>66.487656097371513</v>
      </c>
      <c r="AS121" s="2">
        <f t="shared" si="53"/>
        <v>74.193548387096769</v>
      </c>
      <c r="AT121" s="2">
        <f t="shared" si="48"/>
        <v>0</v>
      </c>
      <c r="AV121" s="2">
        <v>1</v>
      </c>
      <c r="AW121" s="2">
        <v>1</v>
      </c>
      <c r="AX121" s="2">
        <f t="shared" si="54"/>
        <v>10</v>
      </c>
      <c r="AY121" s="2">
        <f t="shared" si="55"/>
        <v>10</v>
      </c>
      <c r="AZ121" s="3"/>
      <c r="BA121" s="3"/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49</v>
      </c>
      <c r="B122" t="s">
        <v>259</v>
      </c>
      <c r="C122" t="s">
        <v>362</v>
      </c>
      <c r="D122">
        <f>IF(E122 &gt; 2020, ((E122-2020)*4)+1610+G122,IF(E122 &gt; 1900, ((E122-1900)*10)+400+G122, ((E122-1730)*2)+G122))+VLOOKUP(I122,'ID Scheme'!$A$2:$B$7,2, FALSE)</f>
        <v>7581</v>
      </c>
      <c r="E122">
        <v>1958</v>
      </c>
      <c r="F122">
        <v>1</v>
      </c>
      <c r="G122">
        <v>1</v>
      </c>
      <c r="H122" t="s">
        <v>524</v>
      </c>
      <c r="I122" t="s">
        <v>48</v>
      </c>
      <c r="J122" t="s">
        <v>502</v>
      </c>
      <c r="K122">
        <v>75</v>
      </c>
      <c r="L122">
        <v>50</v>
      </c>
      <c r="M122">
        <v>15</v>
      </c>
      <c r="N122">
        <v>5</v>
      </c>
      <c r="O122">
        <v>1.6</v>
      </c>
      <c r="P122">
        <v>68</v>
      </c>
      <c r="Q122">
        <v>10</v>
      </c>
      <c r="R122">
        <v>4</v>
      </c>
      <c r="S122">
        <v>0.95</v>
      </c>
      <c r="T122" t="s">
        <v>357</v>
      </c>
      <c r="U122">
        <v>-4</v>
      </c>
      <c r="V122" s="2" t="s">
        <v>453</v>
      </c>
      <c r="W122" s="2"/>
      <c r="X122" s="2"/>
      <c r="Y122" s="2"/>
      <c r="Z122" s="2"/>
      <c r="AA122" s="2"/>
      <c r="AB122" s="2"/>
      <c r="AC122" s="2"/>
      <c r="AD122" s="2"/>
      <c r="AE122" s="2">
        <v>230</v>
      </c>
      <c r="AM122">
        <v>4</v>
      </c>
      <c r="AP122" s="2">
        <f>(SQRT(K122*R122)*POWER((MIN(M122,20)+SQRT(MAX(M122-20,0))),0.9)*Data!$B$1)*(1-(S122-1))</f>
        <v>15.606061820936905</v>
      </c>
      <c r="AQ122" s="2"/>
      <c r="AR122" s="2">
        <f>((POWER((K122*K122*R122), 0.33)*LOG10(P122)*10*Data!$B$1)*S122)+AQ122</f>
        <v>35.649315485846252</v>
      </c>
      <c r="AS122" s="2">
        <f t="shared" si="53"/>
        <v>60.483870967741936</v>
      </c>
      <c r="AT122" s="2">
        <f t="shared" si="48"/>
        <v>0</v>
      </c>
      <c r="AV122" s="2">
        <v>1</v>
      </c>
      <c r="AW122" s="2">
        <v>1</v>
      </c>
      <c r="AX122" s="2">
        <f t="shared" si="54"/>
        <v>4</v>
      </c>
      <c r="AY122" s="2">
        <f t="shared" si="55"/>
        <v>4</v>
      </c>
      <c r="AZ122" s="3"/>
      <c r="BA122" s="3"/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  <c r="BD122" t="s">
        <v>55</v>
      </c>
    </row>
    <row r="123" spans="1:56" x14ac:dyDescent="0.25">
      <c r="A123" t="s">
        <v>71</v>
      </c>
      <c r="B123" t="s">
        <v>210</v>
      </c>
      <c r="C123" t="s">
        <v>286</v>
      </c>
      <c r="D123">
        <f>IF(E123 &gt; 2020, ((E123-2020)*4)+1610+G123,IF(E123 &gt; 1900, ((E123-1900)*10)+400+G123, ((E123-1730)*2)+G123))+VLOOKUP(I123,'ID Scheme'!$A$2:$B$7,2, FALSE)</f>
        <v>7741</v>
      </c>
      <c r="E123">
        <v>1974</v>
      </c>
      <c r="F123">
        <v>6</v>
      </c>
      <c r="G123">
        <v>1</v>
      </c>
      <c r="H123" t="s">
        <v>524</v>
      </c>
      <c r="I123" t="s">
        <v>48</v>
      </c>
      <c r="J123" t="s">
        <v>502</v>
      </c>
      <c r="K123">
        <v>63</v>
      </c>
      <c r="L123">
        <v>22</v>
      </c>
      <c r="M123">
        <v>12</v>
      </c>
      <c r="N123">
        <v>5</v>
      </c>
      <c r="O123">
        <v>1.5</v>
      </c>
      <c r="P123">
        <v>55</v>
      </c>
      <c r="Q123">
        <v>20</v>
      </c>
      <c r="R123">
        <v>8</v>
      </c>
      <c r="S123">
        <v>1</v>
      </c>
      <c r="T123" t="s">
        <v>357</v>
      </c>
      <c r="U123">
        <v>-4</v>
      </c>
      <c r="V123" s="2" t="s">
        <v>452</v>
      </c>
      <c r="W123" s="2"/>
      <c r="X123" s="2"/>
      <c r="Y123" s="2"/>
      <c r="Z123" s="2"/>
      <c r="AA123" s="2"/>
      <c r="AB123" s="2"/>
      <c r="AC123" s="2"/>
      <c r="AD123" s="2"/>
      <c r="AE123" s="2"/>
      <c r="AM123">
        <v>5</v>
      </c>
      <c r="AP123" s="2">
        <f>(SQRT(K123*R123)*POWER((MIN(M123,20)+SQRT(MAX(M123-20,0))),0.9)*Data!$B$1)*(1-(S123-1))</f>
        <v>15.759399066413742</v>
      </c>
      <c r="AQ123" s="2"/>
      <c r="AR123" s="2">
        <f>((POWER((K123*K123*R123), 0.33)*LOG10(P123)*10*Data!$B$1)*S123)+AQ123</f>
        <v>39.928728984013709</v>
      </c>
      <c r="AS123" s="2">
        <f t="shared" si="53"/>
        <v>50.806451612903224</v>
      </c>
      <c r="AT123" s="2">
        <f t="shared" si="48"/>
        <v>0</v>
      </c>
      <c r="AV123" s="2">
        <v>1</v>
      </c>
      <c r="AW123" s="2">
        <v>1</v>
      </c>
      <c r="AX123" s="2">
        <f t="shared" si="54"/>
        <v>8</v>
      </c>
      <c r="AY123" s="2">
        <f t="shared" si="55"/>
        <v>8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</row>
    <row r="124" spans="1:56" x14ac:dyDescent="0.25">
      <c r="A124" t="s">
        <v>51</v>
      </c>
      <c r="B124" t="s">
        <v>202</v>
      </c>
      <c r="C124" t="s">
        <v>286</v>
      </c>
      <c r="D124">
        <f>IF(E124 &gt; 2020, ((E124-2020)*4)+1610+G124,IF(E124 &gt; 1900, ((E124-1900)*10)+400+G124, ((E124-1730)*2)+G124))+VLOOKUP(I124,'ID Scheme'!$A$2:$B$7,2, FALSE)</f>
        <v>7761</v>
      </c>
      <c r="E124">
        <v>1976</v>
      </c>
      <c r="F124">
        <v>9</v>
      </c>
      <c r="G124">
        <v>1</v>
      </c>
      <c r="H124" t="s">
        <v>524</v>
      </c>
      <c r="I124" t="s">
        <v>48</v>
      </c>
      <c r="J124" t="s">
        <v>502</v>
      </c>
      <c r="K124">
        <v>90</v>
      </c>
      <c r="L124">
        <v>18</v>
      </c>
      <c r="M124">
        <v>10</v>
      </c>
      <c r="N124">
        <v>4</v>
      </c>
      <c r="O124">
        <v>1.2</v>
      </c>
      <c r="P124">
        <v>73</v>
      </c>
      <c r="Q124">
        <v>20</v>
      </c>
      <c r="R124">
        <v>4</v>
      </c>
      <c r="S124">
        <v>1</v>
      </c>
      <c r="T124" t="s">
        <v>358</v>
      </c>
      <c r="U124">
        <v>-4</v>
      </c>
      <c r="V124" s="2" t="s">
        <v>451</v>
      </c>
      <c r="W124" s="2"/>
      <c r="X124" s="2"/>
      <c r="Y124" s="2"/>
      <c r="Z124" s="2"/>
      <c r="AA124" s="2"/>
      <c r="AB124" s="2"/>
      <c r="AC124" s="2"/>
      <c r="AD124" s="2"/>
      <c r="AE124" s="2">
        <v>275</v>
      </c>
      <c r="AM124">
        <v>5</v>
      </c>
      <c r="AP124" s="2">
        <f>(SQRT(K124*R124)*POWER((MIN(M124,20)+SQRT(MAX(M124-20,0))),0.9)*Data!$B$1)*(1-(S124-1))</f>
        <v>11.303488941793114</v>
      </c>
      <c r="AQ124" s="2"/>
      <c r="AR124" s="2">
        <f>((POWER((K124*K124*R124), 0.33)*LOG10(P124)*10*Data!$B$1)*S124)+AQ124</f>
        <v>43.035735424114051</v>
      </c>
      <c r="AS124" s="2">
        <f t="shared" si="53"/>
        <v>72.58064516129032</v>
      </c>
      <c r="AT124" s="2">
        <f t="shared" si="48"/>
        <v>0</v>
      </c>
      <c r="AV124" s="2">
        <v>1</v>
      </c>
      <c r="AW124" s="2">
        <v>1</v>
      </c>
      <c r="AX124" s="2">
        <f t="shared" si="54"/>
        <v>4</v>
      </c>
      <c r="AY124" s="2">
        <f t="shared" si="55"/>
        <v>4</v>
      </c>
      <c r="AZ124" s="3">
        <v>4.4000000000000004</v>
      </c>
      <c r="BA124" s="3">
        <v>1.8</v>
      </c>
      <c r="BB124" s="3">
        <v>1.5</v>
      </c>
      <c r="BC124" s="2" t="str">
        <f>CONCATENATE(
ROUND(AZ124*VLOOKUP(I124,'ID Scheme'!$A$2:$E$7,3),0), "x",
ROUND(BA124*VLOOKUP(I124,'ID Scheme'!$A$2:$E$7,5),0), "x",
ROUND(BB124*VLOOKUP(I124,'ID Scheme'!$A$2:$E$7,4),0))</f>
        <v>41x26x15</v>
      </c>
    </row>
    <row r="125" spans="1:56" x14ac:dyDescent="0.25">
      <c r="A125" t="s">
        <v>99</v>
      </c>
      <c r="B125" t="s">
        <v>269</v>
      </c>
      <c r="C125" t="s">
        <v>286</v>
      </c>
      <c r="D125">
        <f>IF(E125 &gt; 2020, ((E125-2020)*4)+1610+G125,IF(E125 &gt; 1900, ((E125-1900)*10)+400+G125, ((E125-1730)*2)+G125))+VLOOKUP(I125,'ID Scheme'!$A$2:$B$7,2, FALSE)</f>
        <v>7861</v>
      </c>
      <c r="E125">
        <v>1986</v>
      </c>
      <c r="F125">
        <v>2</v>
      </c>
      <c r="G125">
        <v>1</v>
      </c>
      <c r="H125" t="s">
        <v>524</v>
      </c>
      <c r="I125" t="s">
        <v>48</v>
      </c>
      <c r="J125" t="s">
        <v>502</v>
      </c>
      <c r="K125">
        <v>80</v>
      </c>
      <c r="L125">
        <v>26</v>
      </c>
      <c r="M125">
        <v>14</v>
      </c>
      <c r="N125">
        <v>5</v>
      </c>
      <c r="O125">
        <v>1.5</v>
      </c>
      <c r="P125">
        <v>100</v>
      </c>
      <c r="Q125">
        <v>20</v>
      </c>
      <c r="R125">
        <v>9</v>
      </c>
      <c r="S125">
        <v>1</v>
      </c>
      <c r="T125" t="s">
        <v>357</v>
      </c>
      <c r="U125">
        <v>-4</v>
      </c>
      <c r="V125" s="2" t="s">
        <v>457</v>
      </c>
      <c r="W125" s="2"/>
      <c r="X125" s="2"/>
      <c r="Y125" s="2"/>
      <c r="Z125" s="2"/>
      <c r="AA125" s="2"/>
      <c r="AB125" s="2"/>
      <c r="AC125" s="2"/>
      <c r="AD125" s="2"/>
      <c r="AE125" s="2"/>
      <c r="AM125">
        <v>6</v>
      </c>
      <c r="AP125" s="2">
        <f>(SQRT(K125*R125)*POWER((MIN(M125,20)+SQRT(MAX(M125-20,0))),0.9)*Data!$B$1)*(1-(S125-1))</f>
        <v>21.639276873280725</v>
      </c>
      <c r="AQ125" s="2"/>
      <c r="AR125" s="2">
        <f>((POWER((K125*K125*R125), 0.33)*LOG10(P125)*10*Data!$B$1)*S125)+AQ125</f>
        <v>55.850964649456358</v>
      </c>
      <c r="AS125" s="2">
        <f t="shared" si="53"/>
        <v>64.516129032258064</v>
      </c>
      <c r="AT125" s="2">
        <f t="shared" si="48"/>
        <v>0</v>
      </c>
      <c r="AV125" s="2">
        <v>1</v>
      </c>
      <c r="AW125" s="2">
        <v>1</v>
      </c>
      <c r="AX125" s="2">
        <f t="shared" si="54"/>
        <v>9</v>
      </c>
      <c r="AY125" s="2">
        <f t="shared" si="55"/>
        <v>9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</row>
    <row r="126" spans="1:56" x14ac:dyDescent="0.25">
      <c r="A126" t="s">
        <v>52</v>
      </c>
      <c r="B126" t="s">
        <v>222</v>
      </c>
      <c r="C126" t="s">
        <v>286</v>
      </c>
      <c r="D126">
        <f>IF(E126 &gt; 2020, ((E126-2020)*4)+1610+G126,IF(E126 &gt; 1900, ((E126-1900)*10)+400+G126, ((E126-1730)*2)+G126))+VLOOKUP(I126,'ID Scheme'!$A$2:$B$7,2, FALSE)</f>
        <v>7941</v>
      </c>
      <c r="E126">
        <v>1994</v>
      </c>
      <c r="F126">
        <v>4</v>
      </c>
      <c r="G126">
        <v>1</v>
      </c>
      <c r="H126" t="s">
        <v>524</v>
      </c>
      <c r="I126" t="s">
        <v>48</v>
      </c>
      <c r="J126" t="s">
        <v>502</v>
      </c>
      <c r="K126">
        <v>120</v>
      </c>
      <c r="L126">
        <v>15</v>
      </c>
      <c r="M126">
        <v>12</v>
      </c>
      <c r="N126">
        <v>4</v>
      </c>
      <c r="O126">
        <v>1.7</v>
      </c>
      <c r="P126">
        <v>168</v>
      </c>
      <c r="Q126">
        <v>20</v>
      </c>
      <c r="R126">
        <v>4</v>
      </c>
      <c r="S126">
        <v>1.05</v>
      </c>
      <c r="T126" t="s">
        <v>358</v>
      </c>
      <c r="U126">
        <v>-4</v>
      </c>
      <c r="V126" s="2" t="s">
        <v>449</v>
      </c>
      <c r="W126" s="2"/>
      <c r="X126" s="2"/>
      <c r="Y126" s="2"/>
      <c r="Z126" s="2"/>
      <c r="AA126" s="2"/>
      <c r="AB126" s="2"/>
      <c r="AC126" s="2"/>
      <c r="AD126" s="2"/>
      <c r="AE126" s="2">
        <v>275</v>
      </c>
      <c r="AM126">
        <v>5</v>
      </c>
      <c r="AP126" s="2">
        <f>(SQRT(K126*R126)*POWER((MIN(M126,20)+SQRT(MAX(M126-20,0))),0.9)*Data!$B$1)*(1-(S126-1))</f>
        <v>14.610618763611306</v>
      </c>
      <c r="AQ126" s="2"/>
      <c r="AR126" s="2">
        <f>((POWER((K126*K126*R126), 0.33)*LOG10(P126)*10*Data!$B$1)*S126)+AQ126</f>
        <v>65.249976764583593</v>
      </c>
      <c r="AS126" s="2">
        <f t="shared" si="53"/>
        <v>96.774193548387103</v>
      </c>
      <c r="AT126" s="2">
        <f t="shared" si="48"/>
        <v>0</v>
      </c>
      <c r="AV126" s="2">
        <v>1</v>
      </c>
      <c r="AW126" s="2">
        <v>1</v>
      </c>
      <c r="AX126" s="2">
        <f t="shared" si="54"/>
        <v>4</v>
      </c>
      <c r="AY126" s="2">
        <f t="shared" si="55"/>
        <v>4</v>
      </c>
      <c r="AZ126" s="3">
        <v>5</v>
      </c>
      <c r="BA126" s="3">
        <v>2</v>
      </c>
      <c r="BB126" s="3">
        <v>1.5</v>
      </c>
      <c r="BC126" s="2" t="str">
        <f>CONCATENATE(
ROUND(AZ126*VLOOKUP(I126,'ID Scheme'!$A$2:$E$7,3),0), "x",
ROUND(BA126*VLOOKUP(I126,'ID Scheme'!$A$2:$E$7,5),0), "x",
ROUND(BB126*VLOOKUP(I126,'ID Scheme'!$A$2:$E$7,4),0))</f>
        <v>47x29x15</v>
      </c>
    </row>
    <row r="127" spans="1:56" x14ac:dyDescent="0.25">
      <c r="A127" t="s">
        <v>50</v>
      </c>
      <c r="B127" t="s">
        <v>212</v>
      </c>
      <c r="C127" t="s">
        <v>362</v>
      </c>
      <c r="D127">
        <f>IF(E127 &gt; 2020, ((E127-2020)*4)+1610+G127,IF(E127 &gt; 1900, ((E127-1900)*10)+400+G127, ((E127-1730)*2)+G127))+VLOOKUP(I127,'ID Scheme'!$A$2:$B$7,2, FALSE)</f>
        <v>7971</v>
      </c>
      <c r="E127">
        <v>1997</v>
      </c>
      <c r="F127">
        <v>1</v>
      </c>
      <c r="G127">
        <v>1</v>
      </c>
      <c r="H127" t="s">
        <v>524</v>
      </c>
      <c r="I127" t="s">
        <v>48</v>
      </c>
      <c r="J127" t="s">
        <v>502</v>
      </c>
      <c r="K127">
        <v>81</v>
      </c>
      <c r="L127">
        <v>-1</v>
      </c>
      <c r="M127">
        <v>15</v>
      </c>
      <c r="N127">
        <v>5</v>
      </c>
      <c r="O127">
        <v>1.8</v>
      </c>
      <c r="P127">
        <v>88</v>
      </c>
      <c r="Q127">
        <v>12</v>
      </c>
      <c r="R127">
        <v>5</v>
      </c>
      <c r="S127">
        <v>0.95</v>
      </c>
      <c r="T127" t="s">
        <v>357</v>
      </c>
      <c r="U127">
        <v>-4</v>
      </c>
      <c r="V127" s="2" t="s">
        <v>448</v>
      </c>
      <c r="W127" s="2"/>
      <c r="X127" s="2"/>
      <c r="Y127" s="2"/>
      <c r="Z127" s="2"/>
      <c r="AA127" s="2"/>
      <c r="AB127" s="2"/>
      <c r="AC127" s="2"/>
      <c r="AD127" s="2"/>
      <c r="AE127" s="2">
        <v>230</v>
      </c>
      <c r="AM127">
        <v>4</v>
      </c>
      <c r="AP127" s="2">
        <f>(SQRT(K127*R127)*POWER((MIN(M127,20)+SQRT(MAX(M127-20,0))),0.9)*Data!$B$1)*(1-(S127-1))</f>
        <v>18.132605259711607</v>
      </c>
      <c r="AQ127" s="2"/>
      <c r="AR127" s="2">
        <f>((POWER((K127*K127*R127), 0.33)*LOG10(P127)*10*Data!$B$1)*S127)+AQ127</f>
        <v>42.839970188987628</v>
      </c>
      <c r="AS127" s="2">
        <f t="shared" si="53"/>
        <v>65.322580645161295</v>
      </c>
      <c r="AT127" s="2">
        <f t="shared" si="48"/>
        <v>0</v>
      </c>
      <c r="AV127" s="2">
        <v>1</v>
      </c>
      <c r="AW127" s="2">
        <v>1</v>
      </c>
      <c r="AX127" s="2">
        <f t="shared" si="54"/>
        <v>5</v>
      </c>
      <c r="AY127" s="2">
        <f t="shared" si="55"/>
        <v>5</v>
      </c>
      <c r="AZ127" s="3"/>
      <c r="BA127" s="3"/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56</v>
      </c>
    </row>
    <row r="128" spans="1:56" x14ac:dyDescent="0.25">
      <c r="A128" t="s">
        <v>54</v>
      </c>
      <c r="B128" t="s">
        <v>271</v>
      </c>
      <c r="C128" t="s">
        <v>286</v>
      </c>
      <c r="D128">
        <f>IF(E128 &gt; 2020, ((E128-2020)*4)+1610+G128,IF(E128 &gt; 1900, ((E128-1900)*10)+400+G128, ((E128-1730)*2)+G128))+VLOOKUP(I128,'ID Scheme'!$A$2:$B$7,2, FALSE)</f>
        <v>8041</v>
      </c>
      <c r="E128">
        <v>2004</v>
      </c>
      <c r="F128">
        <v>2</v>
      </c>
      <c r="G128">
        <v>1</v>
      </c>
      <c r="H128" t="s">
        <v>525</v>
      </c>
      <c r="I128" t="s">
        <v>48</v>
      </c>
      <c r="J128" t="s">
        <v>502</v>
      </c>
      <c r="K128">
        <v>145</v>
      </c>
      <c r="L128">
        <v>10</v>
      </c>
      <c r="M128">
        <v>14</v>
      </c>
      <c r="N128">
        <v>4</v>
      </c>
      <c r="O128">
        <v>1.5</v>
      </c>
      <c r="P128">
        <v>217</v>
      </c>
      <c r="Q128">
        <v>16</v>
      </c>
      <c r="R128">
        <v>4</v>
      </c>
      <c r="S128">
        <v>1</v>
      </c>
      <c r="T128" t="s">
        <v>359</v>
      </c>
      <c r="U128">
        <v>-4</v>
      </c>
      <c r="V128" s="2" t="s">
        <v>446</v>
      </c>
      <c r="W128" s="2"/>
      <c r="X128" s="2"/>
      <c r="Y128" s="2"/>
      <c r="Z128" s="2"/>
      <c r="AA128" s="2"/>
      <c r="AB128" s="2"/>
      <c r="AC128" s="2"/>
      <c r="AD128" s="2"/>
      <c r="AE128" s="2">
        <v>295</v>
      </c>
      <c r="AM128">
        <v>5</v>
      </c>
      <c r="AP128" s="2">
        <f>(SQRT(K128*R128)*POWER((MIN(M128,20)+SQRT(MAX(M128-20,0))),0.9)*Data!$B$1)*(1-(S128-1))</f>
        <v>19.421845378305154</v>
      </c>
      <c r="AQ128" s="2"/>
      <c r="AR128" s="2">
        <f>((POWER((K128*K128*R128), 0.33)*LOG10(P128)*10*Data!$B$1)*S128)+AQ128</f>
        <v>73.926857052811044</v>
      </c>
      <c r="AS128" s="2">
        <f t="shared" si="53"/>
        <v>116.93548387096774</v>
      </c>
      <c r="AT128" s="2">
        <f t="shared" si="48"/>
        <v>0</v>
      </c>
      <c r="AV128" s="2">
        <v>1</v>
      </c>
      <c r="AW128" s="2">
        <v>1</v>
      </c>
      <c r="AX128" s="2">
        <f t="shared" si="54"/>
        <v>4</v>
      </c>
      <c r="AY128" s="2">
        <f t="shared" si="55"/>
        <v>4</v>
      </c>
      <c r="AZ128" s="3"/>
      <c r="BA128" s="3"/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</row>
    <row r="129" spans="1:56" x14ac:dyDescent="0.25">
      <c r="A129" t="s">
        <v>53</v>
      </c>
      <c r="B129" t="s">
        <v>221</v>
      </c>
      <c r="C129" t="s">
        <v>286</v>
      </c>
      <c r="D129">
        <f>IF(E129 &gt; 2020, ((E129-2020)*4)+1610+G129,IF(E129 &gt; 1900, ((E129-1900)*10)+400+G129, ((E129-1730)*2)+G129))+VLOOKUP(I129,'ID Scheme'!$A$2:$B$7,2, FALSE)</f>
        <v>8091</v>
      </c>
      <c r="E129">
        <v>2009</v>
      </c>
      <c r="F129">
        <v>1</v>
      </c>
      <c r="G129">
        <v>1</v>
      </c>
      <c r="H129" t="s">
        <v>524</v>
      </c>
      <c r="I129" t="s">
        <v>48</v>
      </c>
      <c r="J129" t="s">
        <v>502</v>
      </c>
      <c r="K129">
        <v>105</v>
      </c>
      <c r="L129">
        <v>-1</v>
      </c>
      <c r="M129">
        <v>12</v>
      </c>
      <c r="N129">
        <v>4</v>
      </c>
      <c r="O129">
        <v>1.5</v>
      </c>
      <c r="P129">
        <v>134</v>
      </c>
      <c r="Q129">
        <v>20</v>
      </c>
      <c r="R129">
        <v>4</v>
      </c>
      <c r="S129">
        <v>0.85</v>
      </c>
      <c r="T129" t="s">
        <v>358</v>
      </c>
      <c r="U129">
        <v>-4</v>
      </c>
      <c r="V129" s="2" t="s">
        <v>445</v>
      </c>
      <c r="W129" s="2"/>
      <c r="X129" s="2"/>
      <c r="Y129" s="2"/>
      <c r="Z129" s="2"/>
      <c r="AA129" s="2"/>
      <c r="AB129" s="2"/>
      <c r="AC129" s="2"/>
      <c r="AD129" s="2"/>
      <c r="AE129" s="2">
        <v>275</v>
      </c>
      <c r="AM129">
        <v>5</v>
      </c>
      <c r="AP129" s="2">
        <f>(SQRT(K129*R129)*POWER((MIN(M129,20)+SQRT(MAX(M129-20,0))),0.9)*Data!$B$1)*(1-(S129-1))</f>
        <v>16.544241859351267</v>
      </c>
      <c r="AQ129" s="2"/>
      <c r="AR129" s="2">
        <f>((POWER((K129*K129*R129), 0.33)*LOG10(P129)*10*Data!$B$1)*S129)+AQ129</f>
        <v>46.231055712636888</v>
      </c>
      <c r="AS129" s="2">
        <f t="shared" si="53"/>
        <v>84.677419354838705</v>
      </c>
      <c r="AT129" s="2">
        <f t="shared" si="48"/>
        <v>0</v>
      </c>
      <c r="AV129" s="2">
        <v>1</v>
      </c>
      <c r="AW129" s="2">
        <v>1</v>
      </c>
      <c r="AX129" s="2">
        <f t="shared" si="54"/>
        <v>4</v>
      </c>
      <c r="AY129" s="2">
        <f t="shared" si="55"/>
        <v>4</v>
      </c>
      <c r="AZ129" s="3"/>
      <c r="BA129" s="3"/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</row>
    <row r="130" spans="1:56" x14ac:dyDescent="0.25">
      <c r="A130" t="s">
        <v>100</v>
      </c>
      <c r="B130" t="s">
        <v>270</v>
      </c>
      <c r="C130" t="s">
        <v>286</v>
      </c>
      <c r="D130">
        <f>IF(E130 &gt; 2020, ((E130-2020)*4)+1610+G130,IF(E130 &gt; 1900, ((E130-1900)*10)+400+G130, ((E130-1730)*2)+G130))+VLOOKUP(I130,'ID Scheme'!$A$2:$B$7,2, FALSE)</f>
        <v>8141</v>
      </c>
      <c r="E130">
        <v>2014</v>
      </c>
      <c r="F130">
        <v>1</v>
      </c>
      <c r="G130">
        <v>1</v>
      </c>
      <c r="H130" t="s">
        <v>524</v>
      </c>
      <c r="I130" t="s">
        <v>48</v>
      </c>
      <c r="J130" t="s">
        <v>502</v>
      </c>
      <c r="K130">
        <v>95</v>
      </c>
      <c r="L130">
        <v>-1</v>
      </c>
      <c r="M130">
        <v>12</v>
      </c>
      <c r="N130">
        <v>5</v>
      </c>
      <c r="O130">
        <v>1.5</v>
      </c>
      <c r="P130">
        <v>120</v>
      </c>
      <c r="Q130">
        <v>20</v>
      </c>
      <c r="R130">
        <v>9</v>
      </c>
      <c r="S130">
        <v>1</v>
      </c>
      <c r="T130" t="s">
        <v>358</v>
      </c>
      <c r="U130">
        <v>-4</v>
      </c>
      <c r="V130" s="2" t="s">
        <v>444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6</v>
      </c>
      <c r="AP130" s="2">
        <f>(SQRT(K130*R130)*POWER((MIN(M130,20)+SQRT(MAX(M130-20,0))),0.9)*Data!$B$1)*(1-(S130-1))</f>
        <v>20.52614734864143</v>
      </c>
      <c r="AQ130" s="2"/>
      <c r="AR130" s="2">
        <f>((POWER((K130*K130*R130), 0.33)*LOG10(P130)*10*Data!$B$1)*S130)+AQ130</f>
        <v>65.035610325244349</v>
      </c>
      <c r="AS130" s="2">
        <f t="shared" si="53"/>
        <v>76.612903225806448</v>
      </c>
      <c r="AT130" s="2">
        <f t="shared" si="48"/>
        <v>0</v>
      </c>
      <c r="AV130" s="2">
        <v>1</v>
      </c>
      <c r="AW130" s="2">
        <v>1</v>
      </c>
      <c r="AX130" s="2">
        <f t="shared" si="54"/>
        <v>9</v>
      </c>
      <c r="AY130" s="2">
        <f t="shared" si="55"/>
        <v>9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</row>
    <row r="131" spans="1:56" x14ac:dyDescent="0.25">
      <c r="A131" t="s">
        <v>261</v>
      </c>
      <c r="B131" t="s">
        <v>364</v>
      </c>
      <c r="C131" t="s">
        <v>369</v>
      </c>
      <c r="D131">
        <f>IF(E131 &gt; 2020, ((E131-2020)*4)+1610+G131,IF(E131 &gt; 1900, ((E131-1900)*10)+400+G131, ((E131-1730)*2)+G131))+VLOOKUP(I131,'ID Scheme'!$A$2:$B$7,2, FALSE)</f>
        <v>8161</v>
      </c>
      <c r="E131">
        <v>2016</v>
      </c>
      <c r="F131">
        <v>1</v>
      </c>
      <c r="G131">
        <v>1</v>
      </c>
      <c r="H131" t="s">
        <v>525</v>
      </c>
      <c r="I131" t="s">
        <v>48</v>
      </c>
      <c r="J131" t="s">
        <v>502</v>
      </c>
      <c r="K131">
        <v>155</v>
      </c>
      <c r="L131">
        <v>-1</v>
      </c>
      <c r="M131">
        <v>10</v>
      </c>
      <c r="N131">
        <v>4</v>
      </c>
      <c r="O131">
        <v>1.7</v>
      </c>
      <c r="P131">
        <v>310</v>
      </c>
      <c r="Q131">
        <v>22</v>
      </c>
      <c r="R131">
        <v>4</v>
      </c>
      <c r="S131">
        <v>1</v>
      </c>
      <c r="T131" t="s">
        <v>360</v>
      </c>
      <c r="U131">
        <v>-4</v>
      </c>
      <c r="V131" s="2" t="s">
        <v>447</v>
      </c>
      <c r="W131" s="2"/>
      <c r="X131" s="2"/>
      <c r="Y131" s="2"/>
      <c r="Z131" s="2"/>
      <c r="AA131" s="2"/>
      <c r="AB131" s="2"/>
      <c r="AC131" s="2"/>
      <c r="AD131" s="2"/>
      <c r="AE131" s="2">
        <v>335</v>
      </c>
      <c r="AM131">
        <v>5</v>
      </c>
      <c r="AP131" s="2">
        <f>(SQRT(K131*R131)*POWER((MIN(M131,20)+SQRT(MAX(M131-20,0))),0.9)*Data!$B$1)*(1-(S131-1))</f>
        <v>14.833960155247404</v>
      </c>
      <c r="AQ131" s="2"/>
      <c r="AR131" s="2">
        <f>((POWER((K131*K131*R131), 0.33)*LOG10(P131)*10*Data!$B$1)*S131)+AQ131</f>
        <v>82.375253472873595</v>
      </c>
      <c r="AS131" s="2">
        <f t="shared" si="53"/>
        <v>125</v>
      </c>
      <c r="AT131" s="2">
        <f t="shared" si="48"/>
        <v>0</v>
      </c>
      <c r="AV131" s="2">
        <v>1</v>
      </c>
      <c r="AW131" s="2">
        <v>1</v>
      </c>
      <c r="AX131" s="2">
        <f t="shared" si="54"/>
        <v>4</v>
      </c>
      <c r="AY131" s="2">
        <f t="shared" si="55"/>
        <v>4</v>
      </c>
      <c r="AZ131" s="3">
        <v>4.5999999999999996</v>
      </c>
      <c r="BA131" s="3">
        <v>1.8</v>
      </c>
      <c r="BB131" s="3">
        <v>1.4</v>
      </c>
      <c r="BC131" s="2" t="str">
        <f>CONCATENATE(
ROUND(AZ131*VLOOKUP(I131,'ID Scheme'!$A$2:$E$7,3),0), "x",
ROUND(BA131*VLOOKUP(I131,'ID Scheme'!$A$2:$E$7,5),0), "x",
ROUND(BB131*VLOOKUP(I131,'ID Scheme'!$A$2:$E$7,4),0))</f>
        <v>43x26x14</v>
      </c>
    </row>
    <row r="132" spans="1:56" x14ac:dyDescent="0.25">
      <c r="A132" t="s">
        <v>517</v>
      </c>
      <c r="B132" t="s">
        <v>518</v>
      </c>
      <c r="C132" t="s">
        <v>519</v>
      </c>
      <c r="D132">
        <f>IF(E132 &gt; 2020, ((E132-2020)*4)+1610+G132,IF(E132 &gt; 1900, ((E132-1900)*10)+400+G132, ((E132-1730)*2)+G132))+VLOOKUP(I132,'ID Scheme'!$A$2:$B$7,2, FALSE)</f>
        <v>6251</v>
      </c>
      <c r="E132">
        <v>2030</v>
      </c>
      <c r="F132">
        <v>1</v>
      </c>
      <c r="G132">
        <v>1</v>
      </c>
      <c r="H132" t="s">
        <v>525</v>
      </c>
      <c r="I132" t="s">
        <v>14</v>
      </c>
      <c r="J132" t="s">
        <v>502</v>
      </c>
      <c r="K132">
        <v>100</v>
      </c>
      <c r="L132">
        <v>-1</v>
      </c>
      <c r="M132">
        <v>10</v>
      </c>
      <c r="N132">
        <v>4</v>
      </c>
      <c r="O132">
        <v>2</v>
      </c>
      <c r="P132">
        <v>10</v>
      </c>
      <c r="Q132">
        <v>22</v>
      </c>
      <c r="R132">
        <v>1</v>
      </c>
      <c r="S132">
        <v>1</v>
      </c>
      <c r="T132" t="s">
        <v>288</v>
      </c>
      <c r="U132">
        <v>-4</v>
      </c>
      <c r="V132" s="2" t="s">
        <v>520</v>
      </c>
      <c r="W132" s="2"/>
      <c r="X132" s="2"/>
      <c r="Y132" s="2"/>
      <c r="Z132" s="2"/>
      <c r="AA132" s="2"/>
      <c r="AB132" s="2"/>
      <c r="AC132" s="2"/>
      <c r="AD132" s="2"/>
      <c r="AE132" s="2">
        <v>275</v>
      </c>
      <c r="AM132">
        <v>7</v>
      </c>
      <c r="AP132" s="2">
        <f>(SQRT(K132*R132)*POWER((MIN(M132,20)+SQRT(MAX(M132-20,0))),0.9)*Data!$B$1)*(1-(S132-1))</f>
        <v>5.9574617604321123</v>
      </c>
      <c r="AQ132" s="2">
        <v>-15</v>
      </c>
      <c r="AR132" s="2">
        <f>((POWER((K132*K132*R132), 0.33)*LOG10(P132)*10*Data!$B$1)*S132)+AQ132</f>
        <v>0.66972098140530001</v>
      </c>
      <c r="AS132" s="2">
        <f t="shared" si="53"/>
        <v>80.645161290322577</v>
      </c>
      <c r="AT132" s="2">
        <f t="shared" ref="AT132" si="60">AF132/1.24</f>
        <v>0</v>
      </c>
      <c r="AV132" s="2">
        <v>1</v>
      </c>
      <c r="AW132" s="2">
        <v>1</v>
      </c>
      <c r="AX132" s="2">
        <f t="shared" si="54"/>
        <v>1</v>
      </c>
      <c r="AY132" s="2">
        <f t="shared" si="55"/>
        <v>1</v>
      </c>
      <c r="AZ132" s="3">
        <v>4.5999999999999996</v>
      </c>
      <c r="BA132" s="3">
        <v>1.8</v>
      </c>
      <c r="BB132" s="3">
        <v>1.4</v>
      </c>
      <c r="BC132" s="2" t="str">
        <f>CONCATENATE(
ROUND(AZ132*VLOOKUP(I132,'ID Scheme'!$A$2:$E$7,3),0), "x",
ROUND(BA132*VLOOKUP(I132,'ID Scheme'!$A$2:$E$7,5),0), "x",
ROUND(BB132*VLOOKUP(I132,'ID Scheme'!$A$2:$E$7,4),0))</f>
        <v>43x26x14</v>
      </c>
    </row>
    <row r="133" spans="1:56" x14ac:dyDescent="0.25">
      <c r="A133" t="s">
        <v>105</v>
      </c>
      <c r="B133" t="s">
        <v>203</v>
      </c>
      <c r="C133" t="s">
        <v>325</v>
      </c>
      <c r="D133">
        <f>IF(E133 &gt; 2020, ((E133-2020)*4)+1610+G133,IF(E133 &gt; 1900, ((E133-1900)*10)+400+G133, ((E133-1730)*2)+G133))+VLOOKUP(I133,'ID Scheme'!$A$2:$B$7,2, FALSE)</f>
        <v>8861</v>
      </c>
      <c r="E133">
        <v>1860</v>
      </c>
      <c r="F133">
        <v>1</v>
      </c>
      <c r="G133">
        <v>1</v>
      </c>
      <c r="H133" t="s">
        <v>522</v>
      </c>
      <c r="I133" t="s">
        <v>104</v>
      </c>
      <c r="J133" t="s">
        <v>503</v>
      </c>
      <c r="K133">
        <v>18</v>
      </c>
      <c r="L133">
        <v>50</v>
      </c>
      <c r="M133">
        <v>35</v>
      </c>
      <c r="N133">
        <v>9</v>
      </c>
      <c r="O133">
        <v>8</v>
      </c>
      <c r="P133">
        <v>15</v>
      </c>
      <c r="Q133">
        <v>20</v>
      </c>
      <c r="R133">
        <v>24</v>
      </c>
      <c r="S133">
        <v>1</v>
      </c>
      <c r="T133" t="s">
        <v>288</v>
      </c>
      <c r="U133">
        <v>0</v>
      </c>
      <c r="V133" s="2" t="s">
        <v>437</v>
      </c>
      <c r="W133" s="2"/>
      <c r="X133" s="2"/>
      <c r="Y133" s="2"/>
      <c r="Z133" s="2"/>
      <c r="AA133" s="2"/>
      <c r="AB133" s="2"/>
      <c r="AC133" s="2"/>
      <c r="AD133" s="2"/>
      <c r="AE133" s="2"/>
      <c r="AG133" t="s">
        <v>407</v>
      </c>
      <c r="AI133" t="s">
        <v>489</v>
      </c>
      <c r="AJ133" t="s">
        <v>407</v>
      </c>
      <c r="AK133" t="s">
        <v>408</v>
      </c>
      <c r="AL133" t="s">
        <v>562</v>
      </c>
      <c r="AM133">
        <v>4</v>
      </c>
      <c r="AN133">
        <v>1</v>
      </c>
      <c r="AO133" t="s">
        <v>277</v>
      </c>
      <c r="AP133" s="2">
        <f>(SQRT(K133*R133)*POWER((MIN(M133,20)+SQRT(MAX(M133-20,0))),0.9)*Data!$B$1)*(1-(S133-1))</f>
        <v>27.096872159029786</v>
      </c>
      <c r="AQ133" s="2"/>
      <c r="AR133" s="2">
        <f>((POWER((K133*K133*R133), 0.33)*LOG10(P133)*10*Data!$B$1)*S133)+AQ133</f>
        <v>16.961015410572251</v>
      </c>
      <c r="AS133" s="2">
        <f t="shared" si="53"/>
        <v>14.516129032258064</v>
      </c>
      <c r="AT133" s="2">
        <f t="shared" si="48"/>
        <v>0</v>
      </c>
      <c r="AV133" s="2">
        <v>1</v>
      </c>
      <c r="AW133" s="2">
        <v>1</v>
      </c>
      <c r="AX133" s="2">
        <f t="shared" si="54"/>
        <v>24</v>
      </c>
      <c r="AY133" s="2">
        <f t="shared" si="55"/>
        <v>24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</row>
    <row r="134" spans="1:56" x14ac:dyDescent="0.25">
      <c r="A134" t="s">
        <v>106</v>
      </c>
      <c r="B134" t="s">
        <v>251</v>
      </c>
      <c r="C134" t="s">
        <v>292</v>
      </c>
      <c r="D134">
        <f>IF(E134 &gt; 2020, ((E134-2020)*4)+1610+G134,IF(E134 &gt; 1900, ((E134-1900)*10)+400+G134, ((E134-1730)*2)+G134))+VLOOKUP(I134,'ID Scheme'!$A$2:$B$7,2, FALSE)</f>
        <v>8887</v>
      </c>
      <c r="E134">
        <v>1873</v>
      </c>
      <c r="F134">
        <v>1</v>
      </c>
      <c r="G134">
        <v>1</v>
      </c>
      <c r="H134" t="s">
        <v>522</v>
      </c>
      <c r="I134" t="s">
        <v>104</v>
      </c>
      <c r="J134" t="s">
        <v>503</v>
      </c>
      <c r="K134">
        <v>20</v>
      </c>
      <c r="L134">
        <v>30</v>
      </c>
      <c r="M134">
        <v>30</v>
      </c>
      <c r="N134">
        <v>9</v>
      </c>
      <c r="O134">
        <v>9</v>
      </c>
      <c r="P134">
        <v>30</v>
      </c>
      <c r="Q134">
        <v>18</v>
      </c>
      <c r="R134">
        <v>50</v>
      </c>
      <c r="S134">
        <v>1</v>
      </c>
      <c r="T134" t="s">
        <v>289</v>
      </c>
      <c r="U134">
        <v>0</v>
      </c>
      <c r="V134" s="2" t="s">
        <v>424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40.120321127543804</v>
      </c>
      <c r="AQ134" s="2"/>
      <c r="AR134" s="2">
        <f>((POWER((K134*K134*R134), 0.33)*LOG10(P134)*10*Data!$B$1)*S134)+AQ134</f>
        <v>29.094929509594969</v>
      </c>
      <c r="AS134" s="2">
        <f t="shared" si="53"/>
        <v>16.129032258064516</v>
      </c>
      <c r="AT134" s="2">
        <f t="shared" si="48"/>
        <v>0</v>
      </c>
      <c r="AV134" s="2">
        <v>1</v>
      </c>
      <c r="AW134" s="2">
        <v>1</v>
      </c>
      <c r="AX134" s="2">
        <f t="shared" si="54"/>
        <v>50</v>
      </c>
      <c r="AY134" s="2">
        <f t="shared" si="55"/>
        <v>50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</row>
    <row r="135" spans="1:56" x14ac:dyDescent="0.25">
      <c r="A135" t="s">
        <v>108</v>
      </c>
      <c r="B135" t="s">
        <v>244</v>
      </c>
      <c r="C135" t="s">
        <v>292</v>
      </c>
      <c r="D135">
        <f>IF(E135 &gt; 2020, ((E135-2020)*4)+1610+G135,IF(E135 &gt; 1900, ((E135-1900)*10)+400+G135, ((E135-1730)*2)+G135))+VLOOKUP(I135,'ID Scheme'!$A$2:$B$7,2, FALSE)</f>
        <v>8911</v>
      </c>
      <c r="E135">
        <v>1885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21</v>
      </c>
      <c r="L135">
        <v>35</v>
      </c>
      <c r="M135">
        <v>30</v>
      </c>
      <c r="N135">
        <v>8</v>
      </c>
      <c r="O135">
        <v>7</v>
      </c>
      <c r="P135">
        <v>20</v>
      </c>
      <c r="Q135">
        <v>20</v>
      </c>
      <c r="R135">
        <v>32</v>
      </c>
      <c r="S135">
        <v>1</v>
      </c>
      <c r="T135" t="s">
        <v>366</v>
      </c>
      <c r="U135">
        <v>0</v>
      </c>
      <c r="V135" s="2" t="s">
        <v>436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32.8888764246744</v>
      </c>
      <c r="AQ135" s="2"/>
      <c r="AR135" s="2">
        <f>((POWER((K135*K135*R135), 0.33)*LOG10(P135)*10*Data!$B$1)*S135)+AQ135</f>
        <v>22.84087832220764</v>
      </c>
      <c r="AS135" s="2">
        <f t="shared" si="53"/>
        <v>16.935483870967744</v>
      </c>
      <c r="AT135" s="2">
        <f t="shared" si="48"/>
        <v>0</v>
      </c>
      <c r="AV135" s="2">
        <v>1</v>
      </c>
      <c r="AW135" s="2">
        <v>1</v>
      </c>
      <c r="AX135" s="2">
        <f t="shared" si="54"/>
        <v>32</v>
      </c>
      <c r="AY135" s="2">
        <f t="shared" si="55"/>
        <v>32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124</v>
      </c>
    </row>
    <row r="136" spans="1:56" x14ac:dyDescent="0.25">
      <c r="A136" t="s">
        <v>131</v>
      </c>
      <c r="B136" t="s">
        <v>250</v>
      </c>
      <c r="C136" t="s">
        <v>286</v>
      </c>
      <c r="D136">
        <f>IF(E136 &gt; 2020, ((E136-2020)*4)+1610+G136,IF(E136 &gt; 1900, ((E136-1900)*10)+400+G136, ((E136-1730)*2)+G136))+VLOOKUP(I136,'ID Scheme'!$A$2:$B$7,2, FALSE)</f>
        <v>8927</v>
      </c>
      <c r="E136">
        <v>1893</v>
      </c>
      <c r="F136">
        <v>3</v>
      </c>
      <c r="G136">
        <v>1</v>
      </c>
      <c r="H136" t="s">
        <v>522</v>
      </c>
      <c r="I136" t="s">
        <v>104</v>
      </c>
      <c r="J136" t="s">
        <v>504</v>
      </c>
      <c r="K136">
        <v>22</v>
      </c>
      <c r="L136">
        <v>35</v>
      </c>
      <c r="M136">
        <v>75</v>
      </c>
      <c r="N136">
        <v>9</v>
      </c>
      <c r="O136">
        <v>7.5</v>
      </c>
      <c r="P136">
        <v>50</v>
      </c>
      <c r="Q136">
        <v>20</v>
      </c>
      <c r="R136">
        <v>42</v>
      </c>
      <c r="S136">
        <v>1</v>
      </c>
      <c r="T136" t="s">
        <v>366</v>
      </c>
      <c r="U136">
        <v>0</v>
      </c>
      <c r="V136" s="2" t="s">
        <v>412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44.885261640010725</v>
      </c>
      <c r="AQ136" s="2"/>
      <c r="AR136" s="2">
        <f>((POWER((K136*K136*R136), 0.33)*LOG10(P136)*10*Data!$B$1)*S136)+AQ136</f>
        <v>33.644820060239276</v>
      </c>
      <c r="AS136" s="2">
        <f t="shared" si="53"/>
        <v>17.741935483870968</v>
      </c>
      <c r="AT136" s="2">
        <f t="shared" si="48"/>
        <v>0</v>
      </c>
      <c r="AV136" s="2">
        <v>1</v>
      </c>
      <c r="AW136" s="2">
        <v>1</v>
      </c>
      <c r="AX136" s="2">
        <f t="shared" si="54"/>
        <v>42</v>
      </c>
      <c r="AY136" s="2">
        <f t="shared" si="55"/>
        <v>42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130</v>
      </c>
    </row>
    <row r="137" spans="1:56" x14ac:dyDescent="0.25">
      <c r="A137" t="s">
        <v>116</v>
      </c>
      <c r="B137" t="s">
        <v>253</v>
      </c>
      <c r="C137" t="s">
        <v>286</v>
      </c>
      <c r="D137">
        <f>IF(E137 &gt; 2020, ((E137-2020)*4)+1610+G137,IF(E137 &gt; 1900, ((E137-1900)*10)+400+G137, ((E137-1730)*2)+G137))+VLOOKUP(I137,'ID Scheme'!$A$2:$B$7,2, FALSE)</f>
        <v>8929</v>
      </c>
      <c r="E137">
        <v>1894</v>
      </c>
      <c r="F137">
        <v>6</v>
      </c>
      <c r="G137">
        <v>1</v>
      </c>
      <c r="H137" t="s">
        <v>522</v>
      </c>
      <c r="I137" t="s">
        <v>104</v>
      </c>
      <c r="J137" t="s">
        <v>504</v>
      </c>
      <c r="K137">
        <v>22</v>
      </c>
      <c r="L137">
        <v>35</v>
      </c>
      <c r="M137">
        <v>75</v>
      </c>
      <c r="N137">
        <v>9</v>
      </c>
      <c r="O137">
        <v>7</v>
      </c>
      <c r="P137">
        <v>80</v>
      </c>
      <c r="Q137">
        <v>20</v>
      </c>
      <c r="R137">
        <v>36</v>
      </c>
      <c r="S137">
        <v>1</v>
      </c>
      <c r="T137" t="s">
        <v>366</v>
      </c>
      <c r="U137">
        <v>0</v>
      </c>
      <c r="V137" s="2" t="s">
        <v>413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41.555677409871805</v>
      </c>
      <c r="AQ137" s="2"/>
      <c r="AR137" s="2">
        <f>((POWER((K137*K137*R137), 0.33)*LOG10(P137)*10*Data!$B$1)*S137)+AQ137</f>
        <v>35.817839185344354</v>
      </c>
      <c r="AS137" s="2">
        <f t="shared" si="53"/>
        <v>17.741935483870968</v>
      </c>
      <c r="AT137" s="2">
        <f t="shared" si="48"/>
        <v>0</v>
      </c>
      <c r="AV137" s="2">
        <v>1</v>
      </c>
      <c r="AW137" s="2">
        <v>1</v>
      </c>
      <c r="AX137" s="2">
        <f t="shared" si="54"/>
        <v>36</v>
      </c>
      <c r="AY137" s="2">
        <f t="shared" si="55"/>
        <v>36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118</v>
      </c>
    </row>
    <row r="138" spans="1:56" x14ac:dyDescent="0.25">
      <c r="A138" t="s">
        <v>111</v>
      </c>
      <c r="B138" t="s">
        <v>248</v>
      </c>
      <c r="C138" t="s">
        <v>286</v>
      </c>
      <c r="D138">
        <f>IF(E138 &gt; 2020, ((E138-2020)*4)+1610+G138,IF(E138 &gt; 1900, ((E138-1900)*10)+400+G138, ((E138-1730)*2)+G138))+VLOOKUP(I138,'ID Scheme'!$A$2:$B$7,2, FALSE)</f>
        <v>8937</v>
      </c>
      <c r="E138">
        <v>1898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23</v>
      </c>
      <c r="L138">
        <v>35</v>
      </c>
      <c r="M138">
        <v>45</v>
      </c>
      <c r="N138">
        <v>11</v>
      </c>
      <c r="O138">
        <v>8</v>
      </c>
      <c r="P138">
        <v>80</v>
      </c>
      <c r="Q138">
        <v>20</v>
      </c>
      <c r="R138">
        <v>48</v>
      </c>
      <c r="S138">
        <v>1</v>
      </c>
      <c r="T138" t="s">
        <v>366</v>
      </c>
      <c r="U138">
        <v>0</v>
      </c>
      <c r="V138" s="2" t="s">
        <v>415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45.153540372471618</v>
      </c>
      <c r="AQ138" s="2"/>
      <c r="AR138" s="2">
        <f>((POWER((K138*K138*R138), 0.33)*LOG10(P138)*10*Data!$B$1)*S138)+AQ138</f>
        <v>40.55744311676029</v>
      </c>
      <c r="AS138" s="2">
        <f t="shared" si="53"/>
        <v>18.548387096774192</v>
      </c>
      <c r="AT138" s="2">
        <f t="shared" si="48"/>
        <v>0</v>
      </c>
      <c r="AV138" s="2">
        <v>1</v>
      </c>
      <c r="AW138" s="2">
        <v>1</v>
      </c>
      <c r="AX138" s="2">
        <f t="shared" si="54"/>
        <v>48</v>
      </c>
      <c r="AY138" s="2">
        <f t="shared" si="55"/>
        <v>48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118</v>
      </c>
    </row>
    <row r="139" spans="1:56" x14ac:dyDescent="0.25">
      <c r="A139" t="s">
        <v>117</v>
      </c>
      <c r="B139" t="s">
        <v>254</v>
      </c>
      <c r="C139" t="s">
        <v>286</v>
      </c>
      <c r="D139">
        <f>IF(E139 &gt; 2020, ((E139-2020)*4)+1610+G139,IF(E139 &gt; 1900, ((E139-1900)*10)+400+G139, ((E139-1730)*2)+G139))+VLOOKUP(I139,'ID Scheme'!$A$2:$B$7,2, FALSE)</f>
        <v>8939</v>
      </c>
      <c r="E139">
        <v>1899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24</v>
      </c>
      <c r="L139">
        <v>35</v>
      </c>
      <c r="M139">
        <v>65</v>
      </c>
      <c r="N139">
        <v>9</v>
      </c>
      <c r="O139">
        <v>7</v>
      </c>
      <c r="P139">
        <v>80</v>
      </c>
      <c r="Q139">
        <v>20</v>
      </c>
      <c r="R139">
        <v>48</v>
      </c>
      <c r="S139">
        <v>1</v>
      </c>
      <c r="T139" t="s">
        <v>366</v>
      </c>
      <c r="U139">
        <v>0</v>
      </c>
      <c r="V139" s="2" t="s">
        <v>414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48.95169319243255</v>
      </c>
      <c r="AQ139" s="2"/>
      <c r="AR139" s="2">
        <f>((POWER((K139*K139*R139), 0.33)*LOG10(P139)*10*Data!$B$1)*S139)+AQ139</f>
        <v>41.712826159953799</v>
      </c>
      <c r="AS139" s="2">
        <f t="shared" si="53"/>
        <v>19.35483870967742</v>
      </c>
      <c r="AT139" s="2">
        <f t="shared" si="48"/>
        <v>0</v>
      </c>
      <c r="AV139" s="2">
        <v>1</v>
      </c>
      <c r="AW139" s="2">
        <v>1</v>
      </c>
      <c r="AX139" s="2">
        <f t="shared" si="54"/>
        <v>48</v>
      </c>
      <c r="AY139" s="2">
        <f t="shared" si="55"/>
        <v>48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118</v>
      </c>
    </row>
    <row r="140" spans="1:56" x14ac:dyDescent="0.25">
      <c r="A140" t="s">
        <v>109</v>
      </c>
      <c r="B140" t="s">
        <v>252</v>
      </c>
      <c r="C140" t="s">
        <v>286</v>
      </c>
      <c r="D140">
        <f>IF(E140 &gt; 2020, ((E140-2020)*4)+1610+G140,IF(E140 &gt; 1900, ((E140-1900)*10)+400+G140, ((E140-1730)*2)+G140))+VLOOKUP(I140,'ID Scheme'!$A$2:$B$7,2, FALSE)</f>
        <v>9011</v>
      </c>
      <c r="E140">
        <v>1901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25</v>
      </c>
      <c r="L140">
        <v>35</v>
      </c>
      <c r="M140">
        <v>32</v>
      </c>
      <c r="N140">
        <v>7</v>
      </c>
      <c r="O140">
        <v>7.5</v>
      </c>
      <c r="P140">
        <v>60</v>
      </c>
      <c r="Q140">
        <v>20</v>
      </c>
      <c r="R140">
        <v>58</v>
      </c>
      <c r="S140">
        <v>1</v>
      </c>
      <c r="T140" t="s">
        <v>366</v>
      </c>
      <c r="U140">
        <v>0</v>
      </c>
      <c r="V140" s="2" t="s">
        <v>435</v>
      </c>
      <c r="W140" s="2"/>
      <c r="X140" s="2"/>
      <c r="Y140" s="2"/>
      <c r="Z140" s="2"/>
      <c r="AA140" s="2"/>
      <c r="AB140" s="2"/>
      <c r="AC140" s="2"/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48.877479495040532</v>
      </c>
      <c r="AQ140" s="2"/>
      <c r="AR140" s="2">
        <f>((POWER((K140*K140*R140), 0.33)*LOG10(P140)*10*Data!$B$1)*S140)+AQ140</f>
        <v>42.618838192592996</v>
      </c>
      <c r="AS140" s="2">
        <f t="shared" si="53"/>
        <v>20.161290322580644</v>
      </c>
      <c r="AT140" s="2">
        <f t="shared" ref="AT140:AT152" si="61">AF140/1.24</f>
        <v>0</v>
      </c>
      <c r="AV140" s="2">
        <v>1</v>
      </c>
      <c r="AW140" s="2">
        <v>1</v>
      </c>
      <c r="AX140" s="2">
        <f t="shared" si="54"/>
        <v>58</v>
      </c>
      <c r="AY140" s="2">
        <f t="shared" si="55"/>
        <v>58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  <c r="BD140" t="s">
        <v>125</v>
      </c>
    </row>
    <row r="141" spans="1:56" x14ac:dyDescent="0.25">
      <c r="A141" t="s">
        <v>119</v>
      </c>
      <c r="B141" t="s">
        <v>256</v>
      </c>
      <c r="C141" t="s">
        <v>292</v>
      </c>
      <c r="D141">
        <f>IF(E141 &gt; 2020, ((E141-2020)*4)+1610+G141,IF(E141 &gt; 1900, ((E141-1900)*10)+400+G141, ((E141-1730)*2)+G141))+VLOOKUP(I141,'ID Scheme'!$A$2:$B$7,2, FALSE)</f>
        <v>9111</v>
      </c>
      <c r="E141">
        <v>1911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22</v>
      </c>
      <c r="L141">
        <v>30</v>
      </c>
      <c r="M141">
        <v>30</v>
      </c>
      <c r="N141">
        <v>12</v>
      </c>
      <c r="O141">
        <v>6</v>
      </c>
      <c r="P141">
        <v>105</v>
      </c>
      <c r="Q141">
        <v>20</v>
      </c>
      <c r="R141">
        <v>68</v>
      </c>
      <c r="S141">
        <v>1</v>
      </c>
      <c r="T141" t="s">
        <v>366</v>
      </c>
      <c r="U141">
        <v>0</v>
      </c>
      <c r="V141" s="2" t="s">
        <v>416</v>
      </c>
      <c r="W141" s="2"/>
      <c r="X141" s="2"/>
      <c r="Y141" s="2"/>
      <c r="Z141" s="2"/>
      <c r="AA141" s="2"/>
      <c r="AB141" s="2"/>
      <c r="AC141" s="2"/>
      <c r="AD141" s="2"/>
      <c r="AE141" s="2"/>
      <c r="AM141">
        <v>8</v>
      </c>
      <c r="AN141">
        <v>1</v>
      </c>
      <c r="AP141" s="2">
        <f>(SQRT(K141*R141)*POWER((MIN(M141,20)+SQRT(MAX(M141-20,0))),0.9)*Data!$B$1)*(1-(S141-1))</f>
        <v>49.071597593682917</v>
      </c>
      <c r="AQ141" s="2"/>
      <c r="AR141" s="2">
        <f>((POWER((K141*K141*R141), 0.33)*LOG10(P141)*10*Data!$B$1)*S141)+AQ141</f>
        <v>46.924014917422397</v>
      </c>
      <c r="AS141" s="2">
        <f t="shared" si="53"/>
        <v>17.741935483870968</v>
      </c>
      <c r="AT141" s="2">
        <f t="shared" si="61"/>
        <v>0</v>
      </c>
      <c r="AV141" s="2">
        <v>1</v>
      </c>
      <c r="AW141" s="2">
        <v>1</v>
      </c>
      <c r="AX141" s="2">
        <f t="shared" si="54"/>
        <v>68</v>
      </c>
      <c r="AY141" s="2">
        <f t="shared" si="55"/>
        <v>68</v>
      </c>
      <c r="BB141" s="3"/>
      <c r="BC141" s="2" t="str">
        <f>CONCATENATE(
ROUND(AZ141*VLOOKUP(I141,'ID Scheme'!$A$2:$E$7,3),0), "x",
ROUND(BA141*VLOOKUP(I141,'ID Scheme'!$A$2:$E$7,5),0), "x",
ROUND(BB141*VLOOKUP(I141,'ID Scheme'!$A$2:$E$7,4),0))</f>
        <v>0x0x0</v>
      </c>
      <c r="BD141" t="s">
        <v>82</v>
      </c>
    </row>
    <row r="142" spans="1:56" x14ac:dyDescent="0.25">
      <c r="A142" t="s">
        <v>110</v>
      </c>
      <c r="B142" t="s">
        <v>220</v>
      </c>
      <c r="C142" t="s">
        <v>286</v>
      </c>
      <c r="D142">
        <f>IF(E142 &gt; 2020, ((E142-2020)*4)+1610+G142,IF(E142 &gt; 1900, ((E142-1900)*10)+400+G142, ((E142-1730)*2)+G142))+VLOOKUP(I142,'ID Scheme'!$A$2:$B$7,2, FALSE)</f>
        <v>9231</v>
      </c>
      <c r="E142">
        <v>1923</v>
      </c>
      <c r="F142">
        <v>1</v>
      </c>
      <c r="G142">
        <v>1</v>
      </c>
      <c r="H142" t="s">
        <v>522</v>
      </c>
      <c r="I142" t="s">
        <v>104</v>
      </c>
      <c r="J142" t="s">
        <v>504</v>
      </c>
      <c r="K142">
        <v>30</v>
      </c>
      <c r="L142">
        <v>38</v>
      </c>
      <c r="M142">
        <v>50</v>
      </c>
      <c r="N142">
        <v>9</v>
      </c>
      <c r="O142">
        <v>9</v>
      </c>
      <c r="P142">
        <v>80</v>
      </c>
      <c r="Q142">
        <v>20</v>
      </c>
      <c r="R142">
        <v>78</v>
      </c>
      <c r="S142">
        <v>1</v>
      </c>
      <c r="T142" t="s">
        <v>366</v>
      </c>
      <c r="U142">
        <v>0</v>
      </c>
      <c r="V142" s="2" t="s">
        <v>434</v>
      </c>
      <c r="W142" s="2"/>
      <c r="X142" s="2"/>
      <c r="Y142" s="2"/>
      <c r="Z142" s="2"/>
      <c r="AA142" s="2"/>
      <c r="AB142" s="2"/>
      <c r="AC142" s="2">
        <v>1</v>
      </c>
      <c r="AD142" s="2"/>
      <c r="AE142" s="2"/>
      <c r="AM142">
        <v>8</v>
      </c>
      <c r="AN142">
        <v>1</v>
      </c>
      <c r="AP142" s="2">
        <f>(SQRT(K142*R142)*POWER((MIN(M142,20)+SQRT(MAX(M142-20,0))),0.9)*Data!$B$1)*(1-(S142-1))</f>
        <v>66.866118123314507</v>
      </c>
      <c r="AQ142" s="2"/>
      <c r="AR142" s="2">
        <f>((POWER((K142*K142*R142), 0.33)*LOG10(P142)*10*Data!$B$1)*S142)+AQ142</f>
        <v>56.729876046306018</v>
      </c>
      <c r="AS142" s="2">
        <f t="shared" si="53"/>
        <v>24.193548387096776</v>
      </c>
      <c r="AT142" s="2">
        <f t="shared" si="61"/>
        <v>0</v>
      </c>
      <c r="AV142" s="2">
        <v>1</v>
      </c>
      <c r="AW142" s="2">
        <v>1</v>
      </c>
      <c r="AX142" s="2">
        <f t="shared" si="54"/>
        <v>78</v>
      </c>
      <c r="AY142" s="2">
        <f t="shared" si="55"/>
        <v>78</v>
      </c>
      <c r="BB142" s="3"/>
      <c r="BC142" s="2" t="str">
        <f>CONCATENATE(
ROUND(AZ142*VLOOKUP(I142,'ID Scheme'!$A$2:$E$7,3),0), "x",
ROUND(BA142*VLOOKUP(I142,'ID Scheme'!$A$2:$E$7,5),0), "x",
ROUND(BB142*VLOOKUP(I142,'ID Scheme'!$A$2:$E$7,4),0))</f>
        <v>0x0x0</v>
      </c>
    </row>
    <row r="143" spans="1:56" x14ac:dyDescent="0.25">
      <c r="A143" t="s">
        <v>120</v>
      </c>
      <c r="B143" t="s">
        <v>241</v>
      </c>
      <c r="C143" t="s">
        <v>286</v>
      </c>
      <c r="D143">
        <f>IF(E143 &gt; 2020, ((E143-2020)*4)+1610+G143,IF(E143 &gt; 1900, ((E143-1900)*10)+400+G143, ((E143-1730)*2)+G143))+VLOOKUP(I143,'ID Scheme'!$A$2:$B$7,2, FALSE)</f>
        <v>9341</v>
      </c>
      <c r="E143">
        <v>1934</v>
      </c>
      <c r="F143">
        <v>1</v>
      </c>
      <c r="G143">
        <v>1</v>
      </c>
      <c r="H143" t="s">
        <v>522</v>
      </c>
      <c r="I143" t="s">
        <v>104</v>
      </c>
      <c r="J143" t="s">
        <v>504</v>
      </c>
      <c r="K143">
        <v>35</v>
      </c>
      <c r="L143">
        <v>40</v>
      </c>
      <c r="M143">
        <v>55</v>
      </c>
      <c r="N143">
        <v>11</v>
      </c>
      <c r="O143">
        <v>11</v>
      </c>
      <c r="P143">
        <v>114</v>
      </c>
      <c r="Q143">
        <v>20</v>
      </c>
      <c r="R143">
        <v>92</v>
      </c>
      <c r="S143">
        <v>1</v>
      </c>
      <c r="T143" t="s">
        <v>366</v>
      </c>
      <c r="U143">
        <v>0</v>
      </c>
      <c r="V143" s="2" t="s">
        <v>417</v>
      </c>
      <c r="W143" s="2"/>
      <c r="X143" s="2"/>
      <c r="Y143" s="2"/>
      <c r="Z143" s="2"/>
      <c r="AA143" s="2"/>
      <c r="AB143" s="2"/>
      <c r="AC143" s="2"/>
      <c r="AD143" s="2"/>
      <c r="AE143" s="2"/>
      <c r="AM143">
        <v>8</v>
      </c>
      <c r="AN143">
        <v>1</v>
      </c>
      <c r="AP143" s="2">
        <f>(SQRT(K143*R143)*POWER((MIN(M143,20)+SQRT(MAX(M143-20,0))),0.9)*Data!$B$1)*(1-(S143-1))</f>
        <v>79.652897151473837</v>
      </c>
      <c r="AQ143" s="2"/>
      <c r="AR143" s="2">
        <f>((POWER((K143*K143*R143), 0.33)*LOG10(P143)*10*Data!$B$1)*S143)+AQ143</f>
        <v>71.682040289630535</v>
      </c>
      <c r="AS143" s="2">
        <f t="shared" si="53"/>
        <v>28.225806451612904</v>
      </c>
      <c r="AT143" s="2">
        <f t="shared" si="61"/>
        <v>0</v>
      </c>
      <c r="AV143" s="2">
        <v>1</v>
      </c>
      <c r="AW143" s="2">
        <v>1</v>
      </c>
      <c r="AX143" s="2">
        <f t="shared" si="54"/>
        <v>92</v>
      </c>
      <c r="AY143" s="2">
        <f t="shared" si="55"/>
        <v>92</v>
      </c>
      <c r="BB143" s="3"/>
      <c r="BC143" s="2" t="str">
        <f>CONCATENATE(
ROUND(AZ143*VLOOKUP(I143,'ID Scheme'!$A$2:$E$7,3),0), "x",
ROUND(BA143*VLOOKUP(I143,'ID Scheme'!$A$2:$E$7,5),0), "x",
ROUND(BB143*VLOOKUP(I143,'ID Scheme'!$A$2:$E$7,4),0))</f>
        <v>0x0x0</v>
      </c>
      <c r="BD143" t="s">
        <v>121</v>
      </c>
    </row>
    <row r="144" spans="1:56" x14ac:dyDescent="0.25">
      <c r="A144" t="s">
        <v>107</v>
      </c>
      <c r="B144" t="s">
        <v>245</v>
      </c>
      <c r="C144" t="s">
        <v>286</v>
      </c>
      <c r="D144">
        <f>IF(E144 &gt; 2020, ((E144-2020)*4)+1610+G144,IF(E144 &gt; 1900, ((E144-1900)*10)+400+G144, ((E144-1730)*2)+G144))+VLOOKUP(I144,'ID Scheme'!$A$2:$B$7,2, FALSE)</f>
        <v>9521</v>
      </c>
      <c r="E144">
        <v>1952</v>
      </c>
      <c r="F144">
        <v>1</v>
      </c>
      <c r="G144">
        <v>1</v>
      </c>
      <c r="H144" t="s">
        <v>522</v>
      </c>
      <c r="I144" t="s">
        <v>104</v>
      </c>
      <c r="J144" t="s">
        <v>504</v>
      </c>
      <c r="K144">
        <v>40</v>
      </c>
      <c r="L144">
        <v>20</v>
      </c>
      <c r="M144">
        <v>35</v>
      </c>
      <c r="N144">
        <v>11</v>
      </c>
      <c r="O144">
        <v>12</v>
      </c>
      <c r="P144">
        <v>180</v>
      </c>
      <c r="Q144">
        <v>28</v>
      </c>
      <c r="R144">
        <v>56</v>
      </c>
      <c r="S144">
        <v>1.1000000000000001</v>
      </c>
      <c r="T144" t="s">
        <v>366</v>
      </c>
      <c r="U144">
        <v>0</v>
      </c>
      <c r="V144" s="2" t="s">
        <v>418</v>
      </c>
      <c r="W144" s="2"/>
      <c r="X144" s="2"/>
      <c r="Y144" s="2"/>
      <c r="Z144" s="2"/>
      <c r="AA144" s="2"/>
      <c r="AB144" s="2"/>
      <c r="AC144" s="2"/>
      <c r="AD144" s="2"/>
      <c r="AE144" s="2"/>
      <c r="AM144">
        <v>8</v>
      </c>
      <c r="AN144">
        <v>1</v>
      </c>
      <c r="AP144" s="2">
        <f>(SQRT(K144*R144)*POWER((MIN(M144,20)+SQRT(MAX(M144-20,0))),0.9)*Data!$B$1)*(1-(S144-1))</f>
        <v>55.532062985015898</v>
      </c>
      <c r="AQ144" s="2"/>
      <c r="AR144" s="2">
        <f>((POWER((K144*K144*R144), 0.33)*LOG10(P144)*10*Data!$B$1)*S144)+AQ144</f>
        <v>80.152046772075309</v>
      </c>
      <c r="AS144" s="2">
        <f t="shared" si="53"/>
        <v>32.258064516129032</v>
      </c>
      <c r="AT144" s="2">
        <f t="shared" si="61"/>
        <v>0</v>
      </c>
      <c r="AV144" s="2">
        <v>1</v>
      </c>
      <c r="AW144" s="2">
        <v>1</v>
      </c>
      <c r="AX144" s="2">
        <f t="shared" si="54"/>
        <v>56</v>
      </c>
      <c r="AY144" s="2">
        <f t="shared" si="55"/>
        <v>56</v>
      </c>
      <c r="BB144" s="3"/>
      <c r="BC144" s="2" t="str">
        <f>CONCATENATE(
ROUND(AZ144*VLOOKUP(I144,'ID Scheme'!$A$2:$E$7,3),0), "x",
ROUND(BA144*VLOOKUP(I144,'ID Scheme'!$A$2:$E$7,5),0), "x",
ROUND(BB144*VLOOKUP(I144,'ID Scheme'!$A$2:$E$7,4),0))</f>
        <v>0x0x0</v>
      </c>
      <c r="BD144" t="s">
        <v>123</v>
      </c>
    </row>
    <row r="145" spans="1:56" x14ac:dyDescent="0.25">
      <c r="A145" t="s">
        <v>132</v>
      </c>
      <c r="B145" t="s">
        <v>255</v>
      </c>
      <c r="C145" t="s">
        <v>325</v>
      </c>
      <c r="D145">
        <f>IF(E145 &gt; 2020, ((E145-2020)*4)+1610+G145,IF(E145 &gt; 1900, ((E145-1900)*10)+400+G145, ((E145-1730)*2)+G145))+VLOOKUP(I145,'ID Scheme'!$A$2:$B$7,2, FALSE)</f>
        <v>9601</v>
      </c>
      <c r="E145">
        <v>1960</v>
      </c>
      <c r="F145">
        <v>1</v>
      </c>
      <c r="G145">
        <v>1</v>
      </c>
      <c r="H145" t="s">
        <v>522</v>
      </c>
      <c r="I145" t="s">
        <v>104</v>
      </c>
      <c r="J145" t="s">
        <v>504</v>
      </c>
      <c r="K145">
        <v>36</v>
      </c>
      <c r="L145">
        <v>30</v>
      </c>
      <c r="M145">
        <v>40</v>
      </c>
      <c r="N145">
        <v>12</v>
      </c>
      <c r="O145">
        <v>15</v>
      </c>
      <c r="P145">
        <v>114</v>
      </c>
      <c r="Q145">
        <v>20</v>
      </c>
      <c r="R145">
        <v>122</v>
      </c>
      <c r="S145">
        <v>1</v>
      </c>
      <c r="T145" t="s">
        <v>366</v>
      </c>
      <c r="U145">
        <v>0</v>
      </c>
      <c r="V145" s="2" t="s">
        <v>419</v>
      </c>
      <c r="W145" s="2"/>
      <c r="X145" s="2"/>
      <c r="Y145" s="2"/>
      <c r="Z145" s="2"/>
      <c r="AA145" s="2"/>
      <c r="AB145" s="2"/>
      <c r="AC145" s="2"/>
      <c r="AD145" s="2"/>
      <c r="AE145" s="2"/>
      <c r="AG145" t="s">
        <v>373</v>
      </c>
      <c r="AH145">
        <v>1</v>
      </c>
      <c r="AI145" t="s">
        <v>375</v>
      </c>
      <c r="AJ145" t="s">
        <v>373</v>
      </c>
      <c r="AK145" t="s">
        <v>376</v>
      </c>
      <c r="AL145" t="s">
        <v>550</v>
      </c>
      <c r="AM145">
        <v>8</v>
      </c>
      <c r="AN145">
        <v>1</v>
      </c>
      <c r="AP145" s="2">
        <f>(SQRT(K145*R145)*POWER((MIN(M145,20)+SQRT(MAX(M145-20,0))),0.9)*Data!$B$1)*(1-(S145-1))</f>
        <v>88.348080485686708</v>
      </c>
      <c r="AQ145" s="2"/>
      <c r="AR145" s="2">
        <f>((POWER((K145*K145*R145), 0.33)*LOG10(P145)*10*Data!$B$1)*S145)+AQ145</f>
        <v>80.155598368589864</v>
      </c>
      <c r="AS145" s="2">
        <f t="shared" ref="AS145:AS152" si="62">K145/1.24</f>
        <v>29.032258064516128</v>
      </c>
      <c r="AT145" s="2">
        <f t="shared" si="61"/>
        <v>0</v>
      </c>
      <c r="AU145" s="2">
        <v>2</v>
      </c>
      <c r="AV145" s="2">
        <v>2</v>
      </c>
      <c r="AW145" s="2">
        <v>2</v>
      </c>
      <c r="AX145" s="2">
        <f t="shared" ref="AX145:AX152" si="63">R145/AW145</f>
        <v>61</v>
      </c>
      <c r="AY145" s="2">
        <f t="shared" ref="AY145:AY152" si="64">(R145)/MAX(AV145-1, 1)</f>
        <v>122</v>
      </c>
      <c r="BB145" s="3"/>
      <c r="BC145" s="2" t="str">
        <f>CONCATENATE(
ROUND(AZ145*VLOOKUP(I145,'ID Scheme'!$A$2:$E$7,3),0), "x",
ROUND(BA145*VLOOKUP(I145,'ID Scheme'!$A$2:$E$7,5),0), "x",
ROUND(BB145*VLOOKUP(I145,'ID Scheme'!$A$2:$E$7,4),0))</f>
        <v>0x0x0</v>
      </c>
      <c r="BD145" t="s">
        <v>122</v>
      </c>
    </row>
    <row r="146" spans="1:56" x14ac:dyDescent="0.25">
      <c r="A146" t="s">
        <v>112</v>
      </c>
      <c r="B146" t="s">
        <v>206</v>
      </c>
      <c r="C146" t="s">
        <v>286</v>
      </c>
      <c r="D146">
        <f>IF(E146 &gt; 2020, ((E146-2020)*4)+1610+G146,IF(E146 &gt; 1900, ((E146-1900)*10)+400+G146, ((E146-1730)*2)+G146))+VLOOKUP(I146,'ID Scheme'!$A$2:$B$7,2, FALSE)</f>
        <v>9791</v>
      </c>
      <c r="E146">
        <v>1979</v>
      </c>
      <c r="F146">
        <v>6</v>
      </c>
      <c r="G146">
        <v>1</v>
      </c>
      <c r="H146" t="s">
        <v>522</v>
      </c>
      <c r="I146" t="s">
        <v>104</v>
      </c>
      <c r="J146" t="s">
        <v>504</v>
      </c>
      <c r="K146">
        <v>40</v>
      </c>
      <c r="L146">
        <v>25</v>
      </c>
      <c r="M146">
        <v>35</v>
      </c>
      <c r="N146">
        <v>11</v>
      </c>
      <c r="O146">
        <v>12</v>
      </c>
      <c r="P146">
        <v>114</v>
      </c>
      <c r="Q146">
        <v>20</v>
      </c>
      <c r="R146">
        <v>108</v>
      </c>
      <c r="S146">
        <v>1</v>
      </c>
      <c r="T146" t="s">
        <v>366</v>
      </c>
      <c r="U146">
        <v>0</v>
      </c>
      <c r="V146" s="2" t="s">
        <v>420</v>
      </c>
      <c r="W146" s="2"/>
      <c r="X146" s="2"/>
      <c r="Y146" s="2"/>
      <c r="Z146" s="2"/>
      <c r="AA146" s="2"/>
      <c r="AB146" s="2"/>
      <c r="AC146" s="2"/>
      <c r="AD146" s="2"/>
      <c r="AE146" s="2"/>
      <c r="AM146">
        <v>8</v>
      </c>
      <c r="AN146">
        <v>1</v>
      </c>
      <c r="AP146" s="2">
        <f>(SQRT(K146*R146)*POWER((MIN(M146,20)+SQRT(MAX(M146-20,0))),0.9)*Data!$B$1)*(1-(S146-1))</f>
        <v>85.687833488938395</v>
      </c>
      <c r="AQ146" s="2"/>
      <c r="AR146" s="2">
        <f>((POWER((K146*K146*R146), 0.33)*LOG10(P146)*10*Data!$B$1)*S146)+AQ146</f>
        <v>82.540082660234276</v>
      </c>
      <c r="AS146" s="2">
        <f t="shared" si="62"/>
        <v>32.258064516129032</v>
      </c>
      <c r="AT146" s="2">
        <f t="shared" si="61"/>
        <v>0</v>
      </c>
      <c r="AV146" s="2">
        <v>1</v>
      </c>
      <c r="AW146" s="2">
        <v>1</v>
      </c>
      <c r="AX146" s="2">
        <f t="shared" si="63"/>
        <v>108</v>
      </c>
      <c r="AY146" s="2">
        <f t="shared" si="64"/>
        <v>108</v>
      </c>
      <c r="BB146" s="3"/>
      <c r="BC146" s="2" t="str">
        <f>CONCATENATE(
ROUND(AZ146*VLOOKUP(I146,'ID Scheme'!$A$2:$E$7,3),0), "x",
ROUND(BA146*VLOOKUP(I146,'ID Scheme'!$A$2:$E$7,5),0), "x",
ROUND(BB146*VLOOKUP(I146,'ID Scheme'!$A$2:$E$7,4),0))</f>
        <v>0x0x0</v>
      </c>
      <c r="BD146" t="s">
        <v>121</v>
      </c>
    </row>
    <row r="147" spans="1:56" x14ac:dyDescent="0.25">
      <c r="A147" t="s">
        <v>113</v>
      </c>
      <c r="B147" t="s">
        <v>243</v>
      </c>
      <c r="C147" t="s">
        <v>286</v>
      </c>
      <c r="D147">
        <f>IF(E147 &gt; 2020, ((E147-2020)*4)+1610+G147,IF(E147 &gt; 1900, ((E147-1900)*10)+400+G147, ((E147-1730)*2)+G147))+VLOOKUP(I147,'ID Scheme'!$A$2:$B$7,2, FALSE)</f>
        <v>9841</v>
      </c>
      <c r="E147">
        <v>1984</v>
      </c>
      <c r="F147">
        <v>1</v>
      </c>
      <c r="G147">
        <v>1</v>
      </c>
      <c r="H147" t="s">
        <v>522</v>
      </c>
      <c r="I147" t="s">
        <v>104</v>
      </c>
      <c r="J147" t="s">
        <v>504</v>
      </c>
      <c r="K147">
        <v>43</v>
      </c>
      <c r="L147">
        <v>30</v>
      </c>
      <c r="M147">
        <v>40</v>
      </c>
      <c r="N147">
        <v>10</v>
      </c>
      <c r="O147">
        <v>8</v>
      </c>
      <c r="P147">
        <v>114</v>
      </c>
      <c r="Q147">
        <v>20</v>
      </c>
      <c r="R147">
        <v>70</v>
      </c>
      <c r="S147">
        <v>1</v>
      </c>
      <c r="T147" t="s">
        <v>366</v>
      </c>
      <c r="U147">
        <v>0</v>
      </c>
      <c r="V147" s="2" t="s">
        <v>421</v>
      </c>
      <c r="W147" s="2"/>
      <c r="X147" s="2"/>
      <c r="Y147" s="2"/>
      <c r="Z147" s="2"/>
      <c r="AA147" s="2"/>
      <c r="AB147" s="2"/>
      <c r="AC147" s="2"/>
      <c r="AD147" s="2"/>
      <c r="AE147" s="2"/>
      <c r="AM147">
        <v>8</v>
      </c>
      <c r="AN147">
        <v>1</v>
      </c>
      <c r="AP147" s="2">
        <f>(SQRT(K147*R147)*POWER((MIN(M147,20)+SQRT(MAX(M147-20,0))),0.9)*Data!$B$1)*(1-(S147-1))</f>
        <v>73.139030669847884</v>
      </c>
      <c r="AQ147" s="2"/>
      <c r="AR147" s="2">
        <f>((POWER((K147*K147*R147), 0.33)*LOG10(P147)*10*Data!$B$1)*S147)+AQ147</f>
        <v>75.032082395822727</v>
      </c>
      <c r="AS147" s="2">
        <f t="shared" si="62"/>
        <v>34.677419354838712</v>
      </c>
      <c r="AT147" s="2">
        <f t="shared" si="61"/>
        <v>0</v>
      </c>
      <c r="AV147" s="2">
        <v>1</v>
      </c>
      <c r="AW147" s="2">
        <v>1</v>
      </c>
      <c r="AX147" s="2">
        <f t="shared" si="63"/>
        <v>70</v>
      </c>
      <c r="AY147" s="2">
        <f t="shared" si="64"/>
        <v>70</v>
      </c>
      <c r="BB147" s="3"/>
      <c r="BC147" s="2" t="str">
        <f>CONCATENATE(
ROUND(AZ147*VLOOKUP(I147,'ID Scheme'!$A$2:$E$7,3),0), "x",
ROUND(BA147*VLOOKUP(I147,'ID Scheme'!$A$2:$E$7,5),0), "x",
ROUND(BB147*VLOOKUP(I147,'ID Scheme'!$A$2:$E$7,4),0))</f>
        <v>0x0x0</v>
      </c>
      <c r="BD147" t="s">
        <v>121</v>
      </c>
    </row>
    <row r="148" spans="1:56" x14ac:dyDescent="0.25">
      <c r="A148" t="s">
        <v>114</v>
      </c>
      <c r="B148" t="s">
        <v>247</v>
      </c>
      <c r="C148" t="s">
        <v>325</v>
      </c>
      <c r="D148">
        <f>IF(E148 &gt; 2020, ((E148-2020)*4)+1610+G148,IF(E148 &gt; 1900, ((E148-1900)*10)+400+G148, ((E148-1730)*2)+G148))+VLOOKUP(I148,'ID Scheme'!$A$2:$B$7,2, FALSE)</f>
        <v>9871</v>
      </c>
      <c r="E148">
        <v>1987</v>
      </c>
      <c r="F148">
        <v>1</v>
      </c>
      <c r="G148">
        <v>1</v>
      </c>
      <c r="H148" t="s">
        <v>522</v>
      </c>
      <c r="I148" t="s">
        <v>104</v>
      </c>
      <c r="J148" t="s">
        <v>504</v>
      </c>
      <c r="K148">
        <v>40</v>
      </c>
      <c r="L148">
        <v>28</v>
      </c>
      <c r="M148">
        <v>25</v>
      </c>
      <c r="N148">
        <v>14</v>
      </c>
      <c r="O148">
        <v>18</v>
      </c>
      <c r="P148">
        <v>375</v>
      </c>
      <c r="Q148">
        <v>20</v>
      </c>
      <c r="R148">
        <v>188</v>
      </c>
      <c r="S148">
        <v>1</v>
      </c>
      <c r="T148" t="s">
        <v>366</v>
      </c>
      <c r="U148">
        <v>0</v>
      </c>
      <c r="V148" s="2" t="s">
        <v>425</v>
      </c>
      <c r="W148" s="2"/>
      <c r="X148" s="2"/>
      <c r="Y148" s="2"/>
      <c r="Z148" s="2"/>
      <c r="AA148" s="2"/>
      <c r="AB148" s="2"/>
      <c r="AC148" s="2"/>
      <c r="AD148" s="2"/>
      <c r="AE148" s="2"/>
      <c r="AG148" t="s">
        <v>373</v>
      </c>
      <c r="AI148" t="s">
        <v>377</v>
      </c>
      <c r="AJ148" t="s">
        <v>378</v>
      </c>
      <c r="AK148" t="s">
        <v>379</v>
      </c>
      <c r="AL148" t="s">
        <v>551</v>
      </c>
      <c r="AM148">
        <v>8</v>
      </c>
      <c r="AN148">
        <v>1</v>
      </c>
      <c r="AP148" s="2">
        <f>(SQRT(K148*R148)*POWER((MIN(M148,20)+SQRT(MAX(M148-20,0))),0.9)*Data!$B$1)*(1-(S148-1))</f>
        <v>106.05285816833118</v>
      </c>
      <c r="AQ148" s="2"/>
      <c r="AR148" s="2">
        <f>((POWER((K148*K148*R148), 0.33)*LOG10(P148)*10*Data!$B$1)*S148)+AQ148</f>
        <v>124.02429472574501</v>
      </c>
      <c r="AS148" s="2">
        <f t="shared" si="62"/>
        <v>32.258064516129032</v>
      </c>
      <c r="AT148" s="2">
        <f t="shared" si="61"/>
        <v>0</v>
      </c>
      <c r="AU148" s="2">
        <v>4</v>
      </c>
      <c r="AV148" s="2">
        <v>4</v>
      </c>
      <c r="AW148" s="2">
        <v>4</v>
      </c>
      <c r="AX148" s="2">
        <f t="shared" si="63"/>
        <v>47</v>
      </c>
      <c r="AY148" s="2">
        <f t="shared" si="64"/>
        <v>62.666666666666664</v>
      </c>
      <c r="AZ148">
        <v>28</v>
      </c>
      <c r="BA148">
        <v>2.65</v>
      </c>
      <c r="BB148" s="3">
        <v>3.47</v>
      </c>
      <c r="BC148" s="2" t="str">
        <f>CONCATENATE(
ROUND(AZ148*VLOOKUP(I148,'ID Scheme'!$A$2:$E$7,3),0), "x",
ROUND(BA148*VLOOKUP(I148,'ID Scheme'!$A$2:$E$7,5),0), "x",
ROUND(BB148*VLOOKUP(I148,'ID Scheme'!$A$2:$E$7,4),0))</f>
        <v>262x38x34</v>
      </c>
      <c r="BD148" t="s">
        <v>128</v>
      </c>
    </row>
    <row r="149" spans="1:56" x14ac:dyDescent="0.25">
      <c r="A149" t="s">
        <v>126</v>
      </c>
      <c r="B149" t="s">
        <v>242</v>
      </c>
      <c r="C149" t="s">
        <v>325</v>
      </c>
      <c r="D149">
        <f>IF(E149 &gt; 2020, ((E149-2020)*4)+1610+G149,IF(E149 &gt; 1900, ((E149-1900)*10)+400+G149, ((E149-1730)*2)+G149))+VLOOKUP(I149,'ID Scheme'!$A$2:$B$7,2, FALSE)</f>
        <v>9981</v>
      </c>
      <c r="E149">
        <v>1998</v>
      </c>
      <c r="F149">
        <v>9</v>
      </c>
      <c r="G149">
        <v>1</v>
      </c>
      <c r="H149" t="s">
        <v>522</v>
      </c>
      <c r="I149" t="s">
        <v>104</v>
      </c>
      <c r="J149" t="s">
        <v>504</v>
      </c>
      <c r="K149">
        <v>50</v>
      </c>
      <c r="L149">
        <v>-1</v>
      </c>
      <c r="M149">
        <v>25</v>
      </c>
      <c r="N149">
        <v>14</v>
      </c>
      <c r="O149">
        <v>36</v>
      </c>
      <c r="P149">
        <v>480</v>
      </c>
      <c r="Q149">
        <v>20</v>
      </c>
      <c r="R149">
        <v>208</v>
      </c>
      <c r="S149">
        <v>1</v>
      </c>
      <c r="T149" t="s">
        <v>366</v>
      </c>
      <c r="U149">
        <v>0</v>
      </c>
      <c r="V149" s="2" t="s">
        <v>422</v>
      </c>
      <c r="W149" s="2"/>
      <c r="X149" s="2"/>
      <c r="Y149" s="2"/>
      <c r="Z149" s="2"/>
      <c r="AA149" s="2"/>
      <c r="AB149" s="2"/>
      <c r="AC149" s="2"/>
      <c r="AD149" s="2"/>
      <c r="AE149" s="2"/>
      <c r="AG149" t="s">
        <v>373</v>
      </c>
      <c r="AH149" t="s">
        <v>381</v>
      </c>
      <c r="AI149" s="5">
        <v>104104</v>
      </c>
      <c r="AJ149" t="s">
        <v>373</v>
      </c>
      <c r="AK149" t="s">
        <v>376</v>
      </c>
      <c r="AL149" t="s">
        <v>552</v>
      </c>
      <c r="AM149">
        <v>8</v>
      </c>
      <c r="AN149">
        <v>1</v>
      </c>
      <c r="AP149" s="2">
        <f>(SQRT(K149*R149)*POWER((MIN(M149,20)+SQRT(MAX(M149-20,0))),0.9)*Data!$B$1)*(1-(S149-1))</f>
        <v>124.71828400555908</v>
      </c>
      <c r="AQ149" s="2"/>
      <c r="AR149" s="2">
        <f>((POWER((K149*K149*R149), 0.33)*LOG10(P149)*10*Data!$B$1)*S149)+AQ149</f>
        <v>154.76696175306753</v>
      </c>
      <c r="AS149" s="2">
        <f t="shared" si="62"/>
        <v>40.322580645161288</v>
      </c>
      <c r="AT149" s="2">
        <f t="shared" si="61"/>
        <v>0</v>
      </c>
      <c r="AU149" s="2">
        <v>2</v>
      </c>
      <c r="AV149" s="2">
        <v>2</v>
      </c>
      <c r="AW149" s="2">
        <v>2</v>
      </c>
      <c r="AX149" s="2">
        <f t="shared" si="63"/>
        <v>104</v>
      </c>
      <c r="AY149" s="2">
        <f t="shared" si="64"/>
        <v>208</v>
      </c>
      <c r="AZ149">
        <v>30</v>
      </c>
      <c r="BA149">
        <v>2.65</v>
      </c>
      <c r="BB149" s="3">
        <v>3.67</v>
      </c>
      <c r="BC149" s="2" t="str">
        <f>CONCATENATE(
ROUND(AZ149*VLOOKUP(I149,'ID Scheme'!$A$2:$E$7,3),0), "x",
ROUND(BA149*VLOOKUP(I149,'ID Scheme'!$A$2:$E$7,5),0), "x",
ROUND(BB149*VLOOKUP(I149,'ID Scheme'!$A$2:$E$7,4),0))</f>
        <v>280x38x36</v>
      </c>
      <c r="BD149" t="s">
        <v>127</v>
      </c>
    </row>
    <row r="150" spans="1:56" x14ac:dyDescent="0.25">
      <c r="A150" t="s">
        <v>115</v>
      </c>
      <c r="B150" t="s">
        <v>246</v>
      </c>
      <c r="C150" t="s">
        <v>325</v>
      </c>
      <c r="D150">
        <f>IF(E150 &gt; 2020, ((E150-2020)*4)+1610+G150,IF(E150 &gt; 1900, ((E150-1900)*10)+400+G150, ((E150-1730)*2)+G150))+VLOOKUP(I150,'ID Scheme'!$A$2:$B$7,2, FALSE)</f>
        <v>10082</v>
      </c>
      <c r="E150">
        <v>2008</v>
      </c>
      <c r="F150">
        <v>1</v>
      </c>
      <c r="G150">
        <v>2</v>
      </c>
      <c r="H150" t="s">
        <v>522</v>
      </c>
      <c r="I150" t="s">
        <v>104</v>
      </c>
      <c r="J150" t="s">
        <v>504</v>
      </c>
      <c r="K150">
        <v>62</v>
      </c>
      <c r="L150">
        <v>-1</v>
      </c>
      <c r="M150">
        <v>25</v>
      </c>
      <c r="N150">
        <v>14</v>
      </c>
      <c r="O150">
        <v>36</v>
      </c>
      <c r="P150">
        <v>375</v>
      </c>
      <c r="Q150">
        <v>20</v>
      </c>
      <c r="R150">
        <v>284</v>
      </c>
      <c r="S150">
        <v>1</v>
      </c>
      <c r="T150" t="s">
        <v>366</v>
      </c>
      <c r="U150">
        <v>0</v>
      </c>
      <c r="V150" s="2" t="s">
        <v>427</v>
      </c>
      <c r="W150" s="2"/>
      <c r="X150" s="2"/>
      <c r="Y150" s="2"/>
      <c r="Z150" s="2"/>
      <c r="AA150" s="2"/>
      <c r="AB150" s="2"/>
      <c r="AC150" s="2"/>
      <c r="AD150" s="2"/>
      <c r="AE150" s="2"/>
      <c r="AG150" t="s">
        <v>373</v>
      </c>
      <c r="AH150" t="s">
        <v>401</v>
      </c>
      <c r="AI150" t="s">
        <v>382</v>
      </c>
      <c r="AJ150" t="s">
        <v>383</v>
      </c>
      <c r="AK150" t="s">
        <v>384</v>
      </c>
      <c r="AL150" t="s">
        <v>553</v>
      </c>
      <c r="AM150">
        <v>8</v>
      </c>
      <c r="AN150">
        <v>1</v>
      </c>
      <c r="AP150" s="2">
        <f>(SQRT(K150*R150)*POWER((MIN(M150,20)+SQRT(MAX(M150-20,0))),0.9)*Data!$B$1)*(1-(S150-1))</f>
        <v>162.28129769016738</v>
      </c>
      <c r="AQ150" s="2"/>
      <c r="AR150" s="2">
        <f>((POWER((K150*K150*R150), 0.33)*LOG10(P150)*10*Data!$B$1)*S150)+AQ150</f>
        <v>189.77921627665754</v>
      </c>
      <c r="AS150" s="2">
        <f t="shared" si="62"/>
        <v>50</v>
      </c>
      <c r="AT150" s="2">
        <f t="shared" si="61"/>
        <v>0</v>
      </c>
      <c r="AU150" s="2">
        <v>6</v>
      </c>
      <c r="AV150" s="2">
        <v>6</v>
      </c>
      <c r="AW150" s="2">
        <v>6</v>
      </c>
      <c r="AX150" s="2">
        <f t="shared" si="63"/>
        <v>47.333333333333336</v>
      </c>
      <c r="AY150" s="2">
        <f t="shared" si="64"/>
        <v>56.8</v>
      </c>
      <c r="AZ150">
        <v>32</v>
      </c>
      <c r="BA150">
        <v>2.65</v>
      </c>
      <c r="BB150" s="3">
        <v>3.42</v>
      </c>
      <c r="BC150" s="2" t="str">
        <f>CONCATENATE(
ROUND(AZ150*VLOOKUP(I150,'ID Scheme'!$A$2:$E$7,3),0), "x",
ROUND(BA150*VLOOKUP(I150,'ID Scheme'!$A$2:$E$7,5),0), "x",
ROUND(BB150*VLOOKUP(I150,'ID Scheme'!$A$2:$E$7,4),0))</f>
        <v>299x38x33</v>
      </c>
      <c r="BD150" t="s">
        <v>129</v>
      </c>
    </row>
    <row r="151" spans="1:56" x14ac:dyDescent="0.25">
      <c r="A151" t="s">
        <v>135</v>
      </c>
      <c r="B151" t="s">
        <v>249</v>
      </c>
      <c r="C151" t="s">
        <v>325</v>
      </c>
      <c r="D151">
        <f>IF(E151 &gt; 2020, ((E151-2020)*4)+1610+G151,IF(E151 &gt; 1900, ((E151-1900)*10)+400+G151, ((E151-1730)*2)+G151))+VLOOKUP(I151,'ID Scheme'!$A$2:$B$7,2, FALSE)</f>
        <v>10101</v>
      </c>
      <c r="E151">
        <v>2010</v>
      </c>
      <c r="F151">
        <v>11</v>
      </c>
      <c r="G151">
        <v>1</v>
      </c>
      <c r="H151" t="s">
        <v>522</v>
      </c>
      <c r="I151" t="s">
        <v>104</v>
      </c>
      <c r="J151" t="s">
        <v>504</v>
      </c>
      <c r="K151">
        <v>44</v>
      </c>
      <c r="L151">
        <v>-1</v>
      </c>
      <c r="M151">
        <v>25</v>
      </c>
      <c r="N151">
        <v>14</v>
      </c>
      <c r="O151">
        <v>41</v>
      </c>
      <c r="P151">
        <v>640</v>
      </c>
      <c r="Q151">
        <v>20</v>
      </c>
      <c r="R151">
        <v>225</v>
      </c>
      <c r="S151">
        <v>1</v>
      </c>
      <c r="T151" t="s">
        <v>366</v>
      </c>
      <c r="U151">
        <v>0</v>
      </c>
      <c r="V151" s="2" t="s">
        <v>423</v>
      </c>
      <c r="W151" s="2"/>
      <c r="X151" s="2"/>
      <c r="Y151" s="2"/>
      <c r="Z151" s="2"/>
      <c r="AA151" s="2"/>
      <c r="AB151" s="2"/>
      <c r="AC151" s="2"/>
      <c r="AD151" s="2"/>
      <c r="AE151" s="2"/>
      <c r="AG151" t="s">
        <v>385</v>
      </c>
      <c r="AH151" t="s">
        <v>402</v>
      </c>
      <c r="AI151" t="s">
        <v>386</v>
      </c>
      <c r="AJ151" t="s">
        <v>387</v>
      </c>
      <c r="AK151" t="s">
        <v>388</v>
      </c>
      <c r="AL151" t="s">
        <v>579</v>
      </c>
      <c r="AM151">
        <v>6</v>
      </c>
      <c r="AN151">
        <v>1</v>
      </c>
      <c r="AP151" s="2">
        <f>(SQRT(K151*R151)*POWER((MIN(M151,20)+SQRT(MAX(M151-20,0))),0.9)*Data!$B$1)*(1-(S151-1))</f>
        <v>121.68332110930714</v>
      </c>
      <c r="AQ151" s="2"/>
      <c r="AR151" s="2">
        <f>((POWER((K151*K151*R151), 0.33)*LOG10(P151)*10*Data!$B$1)*S151)+AQ151</f>
        <v>152.78326328641526</v>
      </c>
      <c r="AS151" s="2">
        <f t="shared" si="62"/>
        <v>35.483870967741936</v>
      </c>
      <c r="AT151" s="2">
        <f t="shared" si="61"/>
        <v>0</v>
      </c>
      <c r="AU151" s="2">
        <v>5</v>
      </c>
      <c r="AV151" s="2">
        <v>5</v>
      </c>
      <c r="AW151" s="2">
        <v>5</v>
      </c>
      <c r="AX151" s="2">
        <f t="shared" si="63"/>
        <v>45</v>
      </c>
      <c r="AY151" s="2">
        <f t="shared" si="64"/>
        <v>56.25</v>
      </c>
      <c r="BB151" s="3"/>
      <c r="BC151" s="2" t="str">
        <f>CONCATENATE(
ROUND(AZ151*VLOOKUP(I151,'ID Scheme'!$A$2:$E$7,3),0), "x",
ROUND(BA151*VLOOKUP(I151,'ID Scheme'!$A$2:$E$7,5),0), "x",
ROUND(BB151*VLOOKUP(I151,'ID Scheme'!$A$2:$E$7,4),0))</f>
        <v>0x0x0</v>
      </c>
      <c r="BD151" t="s">
        <v>136</v>
      </c>
    </row>
    <row r="152" spans="1:56" x14ac:dyDescent="0.25">
      <c r="A152" t="s">
        <v>133</v>
      </c>
      <c r="B152" t="s">
        <v>257</v>
      </c>
      <c r="C152" t="s">
        <v>325</v>
      </c>
      <c r="D152">
        <f>IF(E152 &gt; 2020, ((E152-2020)*4)+1610+G152,IF(E152 &gt; 1900, ((E152-1900)*10)+400+G152, ((E152-1730)*2)+G152))+VLOOKUP(I152,'ID Scheme'!$A$2:$B$7,2, FALSE)</f>
        <v>10171</v>
      </c>
      <c r="E152">
        <v>2017</v>
      </c>
      <c r="F152">
        <v>1</v>
      </c>
      <c r="G152">
        <v>1</v>
      </c>
      <c r="H152" t="s">
        <v>522</v>
      </c>
      <c r="I152" t="s">
        <v>104</v>
      </c>
      <c r="J152" t="s">
        <v>504</v>
      </c>
      <c r="K152">
        <v>62</v>
      </c>
      <c r="L152">
        <v>-1</v>
      </c>
      <c r="M152">
        <v>30</v>
      </c>
      <c r="N152">
        <v>12</v>
      </c>
      <c r="O152">
        <v>63</v>
      </c>
      <c r="P152">
        <v>1180</v>
      </c>
      <c r="Q152">
        <v>20</v>
      </c>
      <c r="R152">
        <v>238</v>
      </c>
      <c r="S152">
        <v>1</v>
      </c>
      <c r="T152" t="s">
        <v>366</v>
      </c>
      <c r="U152">
        <v>0</v>
      </c>
      <c r="V152" s="2" t="s">
        <v>426</v>
      </c>
      <c r="W152" s="2"/>
      <c r="X152" s="2"/>
      <c r="Y152" s="2"/>
      <c r="Z152" s="2"/>
      <c r="AA152" s="2"/>
      <c r="AB152" s="2"/>
      <c r="AC152" s="2"/>
      <c r="AD152" s="2"/>
      <c r="AE152" s="2"/>
      <c r="AG152" t="s">
        <v>389</v>
      </c>
      <c r="AH152" t="s">
        <v>403</v>
      </c>
      <c r="AI152" t="s">
        <v>390</v>
      </c>
      <c r="AJ152" t="s">
        <v>389</v>
      </c>
      <c r="AK152" t="s">
        <v>391</v>
      </c>
      <c r="AL152" t="s">
        <v>554</v>
      </c>
      <c r="AM152">
        <v>8</v>
      </c>
      <c r="AN152">
        <v>1</v>
      </c>
      <c r="AP152" s="2">
        <f>(SQRT(K152*R152)*POWER((MIN(M152,20)+SQRT(MAX(M152-20,0))),0.9)*Data!$B$1)*(1-(S152-1))</f>
        <v>154.11635315507084</v>
      </c>
      <c r="AQ152" s="2"/>
      <c r="AR152" s="2">
        <f>((POWER((K152*K152*R152), 0.33)*LOG10(P152)*10*Data!$B$1)*S152)+AQ152</f>
        <v>213.65580865997862</v>
      </c>
      <c r="AS152" s="2">
        <f t="shared" si="62"/>
        <v>50</v>
      </c>
      <c r="AT152" s="2">
        <f t="shared" si="61"/>
        <v>0</v>
      </c>
      <c r="AU152" s="2">
        <v>3</v>
      </c>
      <c r="AV152" s="2">
        <v>3</v>
      </c>
      <c r="AW152" s="2">
        <v>3</v>
      </c>
      <c r="AX152" s="2">
        <f t="shared" si="63"/>
        <v>79.333333333333329</v>
      </c>
      <c r="AY152" s="2">
        <f t="shared" si="64"/>
        <v>119</v>
      </c>
      <c r="AZ152">
        <v>37.200000000000003</v>
      </c>
      <c r="BA152">
        <v>2.65</v>
      </c>
      <c r="BB152" s="3">
        <v>3.6</v>
      </c>
      <c r="BC152" s="2" t="str">
        <f>CONCATENATE(
ROUND(AZ152*VLOOKUP(I152,'ID Scheme'!$A$2:$E$7,3),0), "x",
ROUND(BA152*VLOOKUP(I152,'ID Scheme'!$A$2:$E$7,5),0), "x",
ROUND(BB152*VLOOKUP(I152,'ID Scheme'!$A$2:$E$7,4),0))</f>
        <v>347x38x35</v>
      </c>
      <c r="BD152" t="s">
        <v>134</v>
      </c>
    </row>
  </sheetData>
  <autoFilter ref="A1:BD152" xr:uid="{56F55A87-583C-464E-B7D6-67124107F553}">
    <sortState xmlns:xlrd2="http://schemas.microsoft.com/office/spreadsheetml/2017/richdata2" ref="A2:BD152">
      <sortCondition ref="D1:D152"/>
    </sortState>
  </autoFilter>
  <sortState xmlns:xlrd2="http://schemas.microsoft.com/office/spreadsheetml/2017/richdata2" ref="A3:BD152">
    <sortCondition ref="D89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I1:I22 I24:I38 I40:I1048576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2021-01-24T16:58:52Z</dcterms:modified>
</cp:coreProperties>
</file>