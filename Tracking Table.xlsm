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timberwolfs_road_vehicles\"/>
    </mc:Choice>
  </mc:AlternateContent>
  <xr:revisionPtr revIDLastSave="0" documentId="13_ncr:1_{C4D23D46-C797-4F88-A78E-47156DD9782F}" xr6:coauthVersionLast="46" xr6:coauthVersionMax="46" xr10:uidLastSave="{00000000-0000-0000-0000-000000000000}"/>
  <bookViews>
    <workbookView xWindow="-4320" yWindow="1485" windowWidth="25815" windowHeight="11925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table!$A$1:$BD$144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102" i="1" l="1"/>
  <c r="AY102" i="1"/>
  <c r="AX102" i="1"/>
  <c r="AT102" i="1"/>
  <c r="AS102" i="1"/>
  <c r="AR102" i="1"/>
  <c r="AP102" i="1"/>
  <c r="D102" i="1"/>
  <c r="BC100" i="1"/>
  <c r="AY100" i="1"/>
  <c r="AX100" i="1"/>
  <c r="AT100" i="1"/>
  <c r="AS100" i="1"/>
  <c r="AR100" i="1"/>
  <c r="AP100" i="1"/>
  <c r="D100" i="1"/>
  <c r="BC17" i="1"/>
  <c r="AY17" i="1"/>
  <c r="AX17" i="1"/>
  <c r="AT17" i="1"/>
  <c r="AS17" i="1"/>
  <c r="AR17" i="1"/>
  <c r="AP17" i="1"/>
  <c r="D17" i="1"/>
  <c r="BC93" i="1"/>
  <c r="AY93" i="1"/>
  <c r="AX93" i="1"/>
  <c r="AT93" i="1"/>
  <c r="AS93" i="1"/>
  <c r="AR93" i="1"/>
  <c r="AP93" i="1"/>
  <c r="D93" i="1"/>
  <c r="BC94" i="1"/>
  <c r="AY94" i="1"/>
  <c r="AX94" i="1"/>
  <c r="AT94" i="1"/>
  <c r="AS94" i="1"/>
  <c r="AR94" i="1"/>
  <c r="AP94" i="1"/>
  <c r="D94" i="1"/>
  <c r="BC75" i="1"/>
  <c r="AY75" i="1"/>
  <c r="AX75" i="1"/>
  <c r="AT75" i="1"/>
  <c r="AS75" i="1"/>
  <c r="AR75" i="1"/>
  <c r="AP75" i="1"/>
  <c r="D75" i="1"/>
  <c r="BC84" i="1" l="1"/>
  <c r="AY84" i="1"/>
  <c r="AX84" i="1"/>
  <c r="AT84" i="1"/>
  <c r="AS84" i="1"/>
  <c r="AR84" i="1"/>
  <c r="AP84" i="1"/>
  <c r="D84" i="1"/>
  <c r="BC80" i="1"/>
  <c r="AY80" i="1"/>
  <c r="AX80" i="1"/>
  <c r="AT80" i="1"/>
  <c r="AS80" i="1"/>
  <c r="AR80" i="1"/>
  <c r="AP80" i="1"/>
  <c r="D80" i="1"/>
  <c r="BC37" i="1" l="1"/>
  <c r="AY37" i="1"/>
  <c r="AX37" i="1"/>
  <c r="AT37" i="1"/>
  <c r="AS37" i="1"/>
  <c r="AR37" i="1"/>
  <c r="AP37" i="1"/>
  <c r="D37" i="1"/>
  <c r="BC28" i="1"/>
  <c r="AY28" i="1"/>
  <c r="AX28" i="1"/>
  <c r="AT28" i="1"/>
  <c r="AS28" i="1"/>
  <c r="AR28" i="1"/>
  <c r="AP28" i="1"/>
  <c r="D28" i="1"/>
  <c r="BC52" i="1" l="1"/>
  <c r="AY52" i="1"/>
  <c r="AX52" i="1"/>
  <c r="AT52" i="1"/>
  <c r="AS52" i="1"/>
  <c r="AR52" i="1"/>
  <c r="AP52" i="1"/>
  <c r="D52" i="1"/>
  <c r="BC57" i="1"/>
  <c r="AY57" i="1"/>
  <c r="AX57" i="1"/>
  <c r="AT57" i="1"/>
  <c r="AS57" i="1"/>
  <c r="AR57" i="1"/>
  <c r="AP57" i="1"/>
  <c r="D57" i="1"/>
  <c r="BC34" i="1" l="1"/>
  <c r="AY34" i="1"/>
  <c r="AX34" i="1"/>
  <c r="AT34" i="1"/>
  <c r="AS34" i="1"/>
  <c r="AR34" i="1"/>
  <c r="AP34" i="1"/>
  <c r="D34" i="1"/>
  <c r="BC32" i="1"/>
  <c r="AY32" i="1"/>
  <c r="AX32" i="1"/>
  <c r="AT32" i="1"/>
  <c r="AS32" i="1"/>
  <c r="AR32" i="1"/>
  <c r="AP32" i="1"/>
  <c r="D32" i="1"/>
  <c r="AR43" i="1"/>
  <c r="AR44" i="1"/>
  <c r="AR45" i="1"/>
  <c r="AR46" i="1"/>
  <c r="AR47" i="1"/>
  <c r="AR48" i="1"/>
  <c r="AR49" i="1"/>
  <c r="AR50" i="1"/>
  <c r="AR51" i="1"/>
  <c r="AR53" i="1"/>
  <c r="AR54" i="1"/>
  <c r="AR55" i="1"/>
  <c r="AR56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6" i="1"/>
  <c r="AR77" i="1"/>
  <c r="AR78" i="1"/>
  <c r="AR79" i="1"/>
  <c r="AR81" i="1"/>
  <c r="AR82" i="1"/>
  <c r="AR83" i="1"/>
  <c r="AR85" i="1"/>
  <c r="AR86" i="1"/>
  <c r="AR87" i="1"/>
  <c r="AR88" i="1"/>
  <c r="AR89" i="1"/>
  <c r="AR90" i="1"/>
  <c r="AR91" i="1"/>
  <c r="AR92" i="1"/>
  <c r="AR95" i="1"/>
  <c r="AR96" i="1"/>
  <c r="AR97" i="1"/>
  <c r="AR98" i="1"/>
  <c r="AR99" i="1"/>
  <c r="AR101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5" i="1"/>
  <c r="AR6" i="1"/>
  <c r="AR7" i="1"/>
  <c r="AR8" i="1"/>
  <c r="AR9" i="1"/>
  <c r="AR10" i="1"/>
  <c r="AR12" i="1"/>
  <c r="AR13" i="1"/>
  <c r="AR15" i="1"/>
  <c r="AR16" i="1"/>
  <c r="AR18" i="1"/>
  <c r="AR19" i="1"/>
  <c r="AR20" i="1"/>
  <c r="AR22" i="1"/>
  <c r="AR23" i="1"/>
  <c r="AR24" i="1"/>
  <c r="AR25" i="1"/>
  <c r="AR26" i="1"/>
  <c r="AR30" i="1"/>
  <c r="AR36" i="1"/>
  <c r="AR38" i="1"/>
  <c r="AR39" i="1"/>
  <c r="AR40" i="1"/>
  <c r="AR41" i="1"/>
  <c r="AR42" i="1"/>
  <c r="BC124" i="1" l="1"/>
  <c r="AY124" i="1"/>
  <c r="AX124" i="1"/>
  <c r="AT124" i="1"/>
  <c r="AS124" i="1"/>
  <c r="AP124" i="1"/>
  <c r="D124" i="1"/>
  <c r="BC40" i="1" l="1"/>
  <c r="AY40" i="1"/>
  <c r="AX40" i="1"/>
  <c r="AT40" i="1"/>
  <c r="AS40" i="1"/>
  <c r="AP40" i="1"/>
  <c r="D40" i="1"/>
  <c r="BC43" i="1" l="1"/>
  <c r="AY43" i="1"/>
  <c r="AS42" i="1"/>
  <c r="AT42" i="1"/>
  <c r="AX42" i="1"/>
  <c r="AS43" i="1"/>
  <c r="AT43" i="1"/>
  <c r="AX43" i="1"/>
  <c r="AS44" i="1"/>
  <c r="AT44" i="1"/>
  <c r="AX44" i="1"/>
  <c r="AP43" i="1"/>
  <c r="D43" i="1"/>
  <c r="AX90" i="1" l="1"/>
  <c r="AX15" i="1"/>
  <c r="AX91" i="1"/>
  <c r="AX92" i="1"/>
  <c r="AX19" i="1"/>
  <c r="AX18" i="1"/>
  <c r="AX20" i="1"/>
  <c r="AX95" i="1"/>
  <c r="AX96" i="1"/>
  <c r="AX97" i="1"/>
  <c r="AX98" i="1"/>
  <c r="AX22" i="1"/>
  <c r="AX99" i="1"/>
  <c r="AX23" i="1"/>
  <c r="AX101" i="1"/>
  <c r="AX25" i="1"/>
  <c r="AX103" i="1"/>
  <c r="AX24" i="1"/>
  <c r="AX104" i="1"/>
  <c r="AX26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5" i="1"/>
  <c r="AX6" i="1"/>
  <c r="AX7" i="1"/>
  <c r="AX8" i="1"/>
  <c r="AX9" i="1"/>
  <c r="AX10" i="1"/>
  <c r="AX38" i="1"/>
  <c r="AX39" i="1"/>
  <c r="AX41" i="1"/>
  <c r="AX45" i="1"/>
  <c r="AX46" i="1"/>
  <c r="AX47" i="1"/>
  <c r="AX48" i="1"/>
  <c r="AX49" i="1"/>
  <c r="AX50" i="1"/>
  <c r="AX51" i="1"/>
  <c r="AX53" i="1"/>
  <c r="AX54" i="1"/>
  <c r="AX55" i="1"/>
  <c r="AX56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30" i="1"/>
  <c r="AX76" i="1"/>
  <c r="AX77" i="1"/>
  <c r="AX78" i="1"/>
  <c r="AX79" i="1"/>
  <c r="AX12" i="1"/>
  <c r="AX81" i="1"/>
  <c r="AX13" i="1"/>
  <c r="AX82" i="1"/>
  <c r="AX83" i="1"/>
  <c r="AX36" i="1"/>
  <c r="AX85" i="1"/>
  <c r="AX86" i="1"/>
  <c r="AX87" i="1"/>
  <c r="AX88" i="1"/>
  <c r="AX89" i="1"/>
  <c r="AX16" i="1"/>
  <c r="AY30" i="1"/>
  <c r="AY26" i="1"/>
  <c r="AY24" i="1"/>
  <c r="AY25" i="1"/>
  <c r="AY23" i="1"/>
  <c r="AY22" i="1"/>
  <c r="AY20" i="1"/>
  <c r="AY18" i="1"/>
  <c r="AY19" i="1"/>
  <c r="AY15" i="1"/>
  <c r="AY16" i="1"/>
  <c r="AY13" i="1"/>
  <c r="AY12" i="1"/>
  <c r="BC88" i="1" l="1"/>
  <c r="AY88" i="1"/>
  <c r="AT88" i="1"/>
  <c r="AS88" i="1"/>
  <c r="AP88" i="1"/>
  <c r="D88" i="1"/>
  <c r="BC13" i="1"/>
  <c r="AT13" i="1"/>
  <c r="AS13" i="1"/>
  <c r="AP13" i="1"/>
  <c r="D13" i="1"/>
  <c r="AP71" i="1" l="1"/>
  <c r="AP72" i="1"/>
  <c r="AP73" i="1"/>
  <c r="AP30" i="1"/>
  <c r="AP76" i="1"/>
  <c r="AP77" i="1"/>
  <c r="AP78" i="1"/>
  <c r="AP79" i="1"/>
  <c r="AP12" i="1"/>
  <c r="AP81" i="1"/>
  <c r="AP82" i="1"/>
  <c r="AP83" i="1"/>
  <c r="AP36" i="1"/>
  <c r="AP85" i="1"/>
  <c r="AP86" i="1"/>
  <c r="AP87" i="1"/>
  <c r="AP89" i="1"/>
  <c r="AP16" i="1"/>
  <c r="AP90" i="1"/>
  <c r="AP15" i="1"/>
  <c r="AP91" i="1"/>
  <c r="AP92" i="1"/>
  <c r="AP19" i="1"/>
  <c r="AP18" i="1"/>
  <c r="AP20" i="1"/>
  <c r="AP95" i="1"/>
  <c r="AP96" i="1"/>
  <c r="AP97" i="1"/>
  <c r="AP98" i="1"/>
  <c r="AP22" i="1"/>
  <c r="AP99" i="1"/>
  <c r="AP23" i="1"/>
  <c r="AP101" i="1"/>
  <c r="AP25" i="1"/>
  <c r="AP103" i="1"/>
  <c r="AP24" i="1"/>
  <c r="AP104" i="1"/>
  <c r="AP26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5" i="1"/>
  <c r="AP6" i="1"/>
  <c r="AP7" i="1"/>
  <c r="AP8" i="1"/>
  <c r="AP9" i="1"/>
  <c r="AP10" i="1"/>
  <c r="AP38" i="1"/>
  <c r="AP39" i="1"/>
  <c r="AP41" i="1"/>
  <c r="AP42" i="1"/>
  <c r="AP44" i="1"/>
  <c r="AP45" i="1"/>
  <c r="AP46" i="1"/>
  <c r="AP47" i="1"/>
  <c r="AP48" i="1"/>
  <c r="AP49" i="1"/>
  <c r="AP50" i="1"/>
  <c r="AP51" i="1"/>
  <c r="AP53" i="1"/>
  <c r="AP54" i="1"/>
  <c r="AP55" i="1"/>
  <c r="AP56" i="1"/>
  <c r="AP58" i="1"/>
  <c r="AP59" i="1"/>
  <c r="AP60" i="1"/>
  <c r="AP61" i="1"/>
  <c r="AP62" i="1"/>
  <c r="AP63" i="1"/>
  <c r="AP64" i="1"/>
  <c r="AP65" i="1"/>
  <c r="AP67" i="1"/>
  <c r="AP66" i="1"/>
  <c r="AP68" i="1"/>
  <c r="AP69" i="1"/>
  <c r="AP70" i="1"/>
  <c r="AP74" i="1"/>
  <c r="BC74" i="1"/>
  <c r="AY74" i="1"/>
  <c r="AT74" i="1"/>
  <c r="AS74" i="1"/>
  <c r="D74" i="1"/>
  <c r="AY39" i="1" l="1"/>
  <c r="AY41" i="1"/>
  <c r="AY42" i="1"/>
  <c r="AY44" i="1"/>
  <c r="AY45" i="1"/>
  <c r="AY46" i="1"/>
  <c r="AY47" i="1"/>
  <c r="AY48" i="1"/>
  <c r="AY49" i="1"/>
  <c r="AY50" i="1"/>
  <c r="AY51" i="1"/>
  <c r="AY53" i="1"/>
  <c r="AY54" i="1"/>
  <c r="AY55" i="1"/>
  <c r="AY56" i="1"/>
  <c r="AY58" i="1"/>
  <c r="AY59" i="1"/>
  <c r="AY60" i="1"/>
  <c r="AY61" i="1"/>
  <c r="AY62" i="1"/>
  <c r="AY63" i="1"/>
  <c r="AY64" i="1"/>
  <c r="AY65" i="1"/>
  <c r="AY67" i="1"/>
  <c r="AY66" i="1"/>
  <c r="AY68" i="1"/>
  <c r="AY69" i="1"/>
  <c r="AY70" i="1"/>
  <c r="AY71" i="1"/>
  <c r="AY72" i="1"/>
  <c r="AY73" i="1"/>
  <c r="AY76" i="1"/>
  <c r="AY77" i="1"/>
  <c r="AY78" i="1"/>
  <c r="AY79" i="1"/>
  <c r="AY81" i="1"/>
  <c r="AY82" i="1"/>
  <c r="AY83" i="1"/>
  <c r="AY36" i="1"/>
  <c r="AY85" i="1"/>
  <c r="AY86" i="1"/>
  <c r="AY87" i="1"/>
  <c r="AY89" i="1"/>
  <c r="AY90" i="1"/>
  <c r="AY91" i="1"/>
  <c r="AY92" i="1"/>
  <c r="AY95" i="1"/>
  <c r="AY96" i="1"/>
  <c r="AY97" i="1"/>
  <c r="AY98" i="1"/>
  <c r="AY99" i="1"/>
  <c r="AY101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5" i="1"/>
  <c r="AY6" i="1"/>
  <c r="AY7" i="1"/>
  <c r="AY8" i="1"/>
  <c r="AY9" i="1"/>
  <c r="AY10" i="1"/>
  <c r="AY38" i="1"/>
  <c r="BC66" i="1" l="1"/>
  <c r="BC68" i="1"/>
  <c r="AS63" i="1"/>
  <c r="AT63" i="1"/>
  <c r="AS64" i="1"/>
  <c r="AT64" i="1"/>
  <c r="AS65" i="1"/>
  <c r="AT65" i="1"/>
  <c r="AS67" i="1"/>
  <c r="AT67" i="1"/>
  <c r="AS66" i="1"/>
  <c r="AT66" i="1"/>
  <c r="D66" i="1"/>
  <c r="D68" i="1"/>
  <c r="D69" i="1"/>
  <c r="BC63" i="1" l="1"/>
  <c r="D62" i="1"/>
  <c r="D63" i="1"/>
  <c r="D64" i="1"/>
  <c r="D65" i="1"/>
  <c r="D67" i="1"/>
  <c r="AS55" i="1" l="1"/>
  <c r="AT55" i="1"/>
  <c r="AS56" i="1"/>
  <c r="AT56" i="1"/>
  <c r="AS58" i="1"/>
  <c r="AT58" i="1"/>
  <c r="AS59" i="1"/>
  <c r="AT59" i="1"/>
  <c r="AS60" i="1"/>
  <c r="AT60" i="1"/>
  <c r="AS61" i="1"/>
  <c r="AT61" i="1"/>
  <c r="AS62" i="1"/>
  <c r="AT62" i="1"/>
  <c r="AS68" i="1"/>
  <c r="AT68" i="1"/>
  <c r="AS69" i="1"/>
  <c r="AT69" i="1"/>
  <c r="AS70" i="1"/>
  <c r="AT70" i="1"/>
  <c r="AS71" i="1"/>
  <c r="AT71" i="1"/>
  <c r="AS72" i="1"/>
  <c r="AT72" i="1"/>
  <c r="AS73" i="1"/>
  <c r="AT73" i="1"/>
  <c r="AS30" i="1"/>
  <c r="AT30" i="1"/>
  <c r="AS76" i="1"/>
  <c r="AT76" i="1"/>
  <c r="AS77" i="1"/>
  <c r="AT77" i="1"/>
  <c r="AS78" i="1"/>
  <c r="AT78" i="1"/>
  <c r="AS79" i="1"/>
  <c r="AT79" i="1"/>
  <c r="AS12" i="1"/>
  <c r="AT12" i="1"/>
  <c r="AS81" i="1"/>
  <c r="AT81" i="1"/>
  <c r="AS82" i="1"/>
  <c r="AT82" i="1"/>
  <c r="AS83" i="1"/>
  <c r="AT83" i="1"/>
  <c r="AS36" i="1"/>
  <c r="AT36" i="1"/>
  <c r="AS85" i="1"/>
  <c r="AT85" i="1"/>
  <c r="AS86" i="1"/>
  <c r="AT86" i="1"/>
  <c r="AS87" i="1"/>
  <c r="AT87" i="1"/>
  <c r="AS89" i="1"/>
  <c r="AT89" i="1"/>
  <c r="AS16" i="1"/>
  <c r="AT16" i="1"/>
  <c r="AS90" i="1"/>
  <c r="AT90" i="1"/>
  <c r="AS15" i="1"/>
  <c r="AT15" i="1"/>
  <c r="AS91" i="1"/>
  <c r="AT91" i="1"/>
  <c r="AS92" i="1"/>
  <c r="AT92" i="1"/>
  <c r="AS19" i="1"/>
  <c r="AT19" i="1"/>
  <c r="AS18" i="1"/>
  <c r="AT18" i="1"/>
  <c r="AS20" i="1"/>
  <c r="AT20" i="1"/>
  <c r="AS95" i="1"/>
  <c r="AT95" i="1"/>
  <c r="AS96" i="1"/>
  <c r="AT96" i="1"/>
  <c r="AS97" i="1"/>
  <c r="AT97" i="1"/>
  <c r="AS98" i="1"/>
  <c r="AT98" i="1"/>
  <c r="AS22" i="1"/>
  <c r="AT22" i="1"/>
  <c r="AS99" i="1"/>
  <c r="AT99" i="1"/>
  <c r="AS23" i="1"/>
  <c r="AT23" i="1"/>
  <c r="AS101" i="1"/>
  <c r="AT101" i="1"/>
  <c r="AS25" i="1"/>
  <c r="AT25" i="1"/>
  <c r="AS103" i="1"/>
  <c r="AT103" i="1"/>
  <c r="AS24" i="1"/>
  <c r="AT24" i="1"/>
  <c r="AS104" i="1"/>
  <c r="AT104" i="1"/>
  <c r="AS26" i="1"/>
  <c r="AT26" i="1"/>
  <c r="AS105" i="1"/>
  <c r="AT105" i="1"/>
  <c r="AS106" i="1"/>
  <c r="AT106" i="1"/>
  <c r="AS107" i="1"/>
  <c r="AT107" i="1"/>
  <c r="AS108" i="1"/>
  <c r="AT108" i="1"/>
  <c r="AS109" i="1"/>
  <c r="AT109" i="1"/>
  <c r="AS110" i="1"/>
  <c r="AT110" i="1"/>
  <c r="AS111" i="1"/>
  <c r="AT111" i="1"/>
  <c r="AS112" i="1"/>
  <c r="AT112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S120" i="1"/>
  <c r="AT120" i="1"/>
  <c r="AS121" i="1"/>
  <c r="AT121" i="1"/>
  <c r="AS122" i="1"/>
  <c r="AT122" i="1"/>
  <c r="AS123" i="1"/>
  <c r="AT123" i="1"/>
  <c r="AS125" i="1"/>
  <c r="AT125" i="1"/>
  <c r="AS126" i="1"/>
  <c r="AT126" i="1"/>
  <c r="AS127" i="1"/>
  <c r="AT127" i="1"/>
  <c r="AS128" i="1"/>
  <c r="AT128" i="1"/>
  <c r="AS129" i="1"/>
  <c r="AT129" i="1"/>
  <c r="AS130" i="1"/>
  <c r="AT130" i="1"/>
  <c r="AS131" i="1"/>
  <c r="AT131" i="1"/>
  <c r="AS132" i="1"/>
  <c r="AT132" i="1"/>
  <c r="AS133" i="1"/>
  <c r="AT133" i="1"/>
  <c r="AS134" i="1"/>
  <c r="AT134" i="1"/>
  <c r="AS135" i="1"/>
  <c r="AT135" i="1"/>
  <c r="AS136" i="1"/>
  <c r="AT136" i="1"/>
  <c r="AS137" i="1"/>
  <c r="AT137" i="1"/>
  <c r="AS138" i="1"/>
  <c r="AT138" i="1"/>
  <c r="AS139" i="1"/>
  <c r="AT139" i="1"/>
  <c r="AS140" i="1"/>
  <c r="AT140" i="1"/>
  <c r="AS141" i="1"/>
  <c r="AT141" i="1"/>
  <c r="AS142" i="1"/>
  <c r="AT142" i="1"/>
  <c r="AS143" i="1"/>
  <c r="AT143" i="1"/>
  <c r="AS144" i="1"/>
  <c r="AT144" i="1"/>
  <c r="AS5" i="1"/>
  <c r="AT5" i="1"/>
  <c r="AS6" i="1"/>
  <c r="AT6" i="1"/>
  <c r="AS7" i="1"/>
  <c r="AT7" i="1"/>
  <c r="AS8" i="1"/>
  <c r="AT8" i="1"/>
  <c r="AS9" i="1"/>
  <c r="AT9" i="1"/>
  <c r="AS10" i="1"/>
  <c r="AT10" i="1"/>
  <c r="AS39" i="1"/>
  <c r="AT39" i="1"/>
  <c r="AS41" i="1"/>
  <c r="AT41" i="1"/>
  <c r="AS45" i="1"/>
  <c r="AT45" i="1"/>
  <c r="AS46" i="1"/>
  <c r="AT46" i="1"/>
  <c r="AS47" i="1"/>
  <c r="AT47" i="1"/>
  <c r="AS48" i="1"/>
  <c r="AT48" i="1"/>
  <c r="AS49" i="1"/>
  <c r="AT49" i="1"/>
  <c r="AS50" i="1"/>
  <c r="AT50" i="1"/>
  <c r="AS51" i="1"/>
  <c r="AT51" i="1"/>
  <c r="AS53" i="1"/>
  <c r="AT53" i="1"/>
  <c r="AS54" i="1"/>
  <c r="AT54" i="1"/>
  <c r="AT38" i="1"/>
  <c r="AS38" i="1"/>
  <c r="D39" i="1"/>
  <c r="D41" i="1"/>
  <c r="D42" i="1"/>
  <c r="D44" i="1"/>
  <c r="D45" i="1"/>
  <c r="D46" i="1"/>
  <c r="D47" i="1"/>
  <c r="D48" i="1"/>
  <c r="D49" i="1"/>
  <c r="D50" i="1"/>
  <c r="D51" i="1"/>
  <c r="D53" i="1"/>
  <c r="D54" i="1"/>
  <c r="D55" i="1"/>
  <c r="D56" i="1"/>
  <c r="D58" i="1"/>
  <c r="D59" i="1"/>
  <c r="D60" i="1"/>
  <c r="D61" i="1"/>
  <c r="D70" i="1"/>
  <c r="D71" i="1"/>
  <c r="D72" i="1"/>
  <c r="D73" i="1"/>
  <c r="D30" i="1"/>
  <c r="D76" i="1"/>
  <c r="D77" i="1"/>
  <c r="D78" i="1"/>
  <c r="D79" i="1"/>
  <c r="D12" i="1"/>
  <c r="D81" i="1"/>
  <c r="D82" i="1"/>
  <c r="D83" i="1"/>
  <c r="D36" i="1"/>
  <c r="D85" i="1"/>
  <c r="D86" i="1"/>
  <c r="D87" i="1"/>
  <c r="D89" i="1"/>
  <c r="D16" i="1"/>
  <c r="D90" i="1"/>
  <c r="D15" i="1"/>
  <c r="D91" i="1"/>
  <c r="D92" i="1"/>
  <c r="D19" i="1"/>
  <c r="D18" i="1"/>
  <c r="D20" i="1"/>
  <c r="D95" i="1"/>
  <c r="D96" i="1"/>
  <c r="D97" i="1"/>
  <c r="D98" i="1"/>
  <c r="D22" i="1"/>
  <c r="D99" i="1"/>
  <c r="D23" i="1"/>
  <c r="D101" i="1"/>
  <c r="D25" i="1"/>
  <c r="D103" i="1"/>
  <c r="D24" i="1"/>
  <c r="D104" i="1"/>
  <c r="D26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5" i="1"/>
  <c r="D6" i="1"/>
  <c r="D7" i="1"/>
  <c r="D8" i="1"/>
  <c r="D9" i="1"/>
  <c r="D10" i="1"/>
  <c r="D38" i="1"/>
  <c r="BC38" i="1"/>
  <c r="BC123" i="1"/>
  <c r="B3" i="2" l="1"/>
  <c r="B4" i="2"/>
  <c r="B5" i="2"/>
  <c r="B6" i="2"/>
  <c r="B7" i="2" s="1"/>
  <c r="BC9" i="1" l="1"/>
  <c r="BC10" i="1" l="1"/>
  <c r="BC8" i="1"/>
  <c r="BC7" i="1" l="1"/>
  <c r="BC6" i="1"/>
  <c r="BC39" i="1"/>
  <c r="BC41" i="1"/>
  <c r="BC42" i="1"/>
  <c r="BC46" i="1"/>
  <c r="BC44" i="1"/>
  <c r="BC45" i="1"/>
  <c r="BC47" i="1"/>
  <c r="BC48" i="1"/>
  <c r="BC49" i="1"/>
  <c r="BC50" i="1"/>
  <c r="BC51" i="1"/>
  <c r="BC53" i="1"/>
  <c r="BC54" i="1"/>
  <c r="BC55" i="1"/>
  <c r="BC56" i="1"/>
  <c r="BC58" i="1"/>
  <c r="BC59" i="1"/>
  <c r="BC60" i="1"/>
  <c r="BC61" i="1"/>
  <c r="BC62" i="1"/>
  <c r="BC64" i="1"/>
  <c r="BC65" i="1"/>
  <c r="BC67" i="1"/>
  <c r="BC69" i="1"/>
  <c r="BC70" i="1"/>
  <c r="BC71" i="1"/>
  <c r="BC72" i="1"/>
  <c r="BC73" i="1"/>
  <c r="BC30" i="1"/>
  <c r="BC76" i="1"/>
  <c r="BC77" i="1"/>
  <c r="BC78" i="1"/>
  <c r="BC79" i="1"/>
  <c r="BC12" i="1"/>
  <c r="BC81" i="1"/>
  <c r="BC82" i="1"/>
  <c r="BC83" i="1"/>
  <c r="BC36" i="1"/>
  <c r="BC85" i="1"/>
  <c r="BC86" i="1"/>
  <c r="BC87" i="1"/>
  <c r="BC89" i="1"/>
  <c r="BC16" i="1"/>
  <c r="BC90" i="1"/>
  <c r="BC15" i="1"/>
  <c r="BC91" i="1"/>
  <c r="BC92" i="1"/>
  <c r="BC19" i="1"/>
  <c r="BC18" i="1"/>
  <c r="BC20" i="1"/>
  <c r="BC95" i="1"/>
  <c r="BC96" i="1"/>
  <c r="BC97" i="1"/>
  <c r="BC98" i="1"/>
  <c r="BC22" i="1"/>
  <c r="BC99" i="1"/>
  <c r="BC23" i="1"/>
  <c r="BC101" i="1"/>
  <c r="BC25" i="1"/>
  <c r="BC103" i="1"/>
  <c r="BC24" i="1"/>
  <c r="BC104" i="1"/>
  <c r="BC26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5" i="1"/>
</calcChain>
</file>

<file path=xl/sharedStrings.xml><?xml version="1.0" encoding="utf-8"?>
<sst xmlns="http://schemas.openxmlformats.org/spreadsheetml/2006/main" count="1474" uniqueCount="626">
  <si>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</si>
  <si>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</si>
  <si>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</si>
  <si>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</si>
  <si>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</si>
  <si>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</si>
  <si>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</si>
  <si>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</si>
  <si>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</si>
  <si>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</si>
  <si>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</si>
  <si>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</si>
  <si>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</si>
  <si>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</si>
  <si>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</si>
  <si>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</si>
  <si>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</si>
  <si>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</si>
  <si>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</si>
  <si>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</si>
  <si>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</si>
  <si>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</si>
  <si>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</si>
  <si>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</si>
  <si>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</si>
  <si>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</si>
  <si>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</si>
  <si>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</si>
  <si>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</si>
  <si>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</si>
  <si>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</si>
  <si>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</si>
  <si>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</si>
  <si>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</si>
  <si>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</si>
  <si>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</si>
  <si>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</si>
  <si>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</si>
  <si>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</si>
  <si>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</si>
  <si>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</si>
  <si>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</si>
  <si>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</si>
  <si>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</si>
  <si>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</si>
  <si>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</si>
  <si>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</si>
  <si>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</si>
  <si>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</si>
  <si>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</si>
  <si>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</si>
  <si>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</si>
  <si>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</si>
  <si>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</si>
  <si>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</si>
  <si>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</si>
  <si>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</si>
  <si>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</si>
  <si>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</si>
  <si>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</si>
  <si>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</si>
  <si>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</si>
  <si>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</si>
  <si>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</si>
  <si>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</si>
  <si>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</si>
  <si>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</si>
  <si>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</si>
  <si>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</si>
  <si>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</si>
  <si>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</si>
  <si>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</si>
  <si>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</si>
  <si>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</si>
  <si>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</si>
  <si>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</si>
  <si>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</si>
  <si>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</si>
  <si>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</si>
  <si>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</si>
  <si>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</si>
  <si>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</si>
  <si>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</si>
  <si>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</si>
  <si>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</si>
  <si>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</si>
  <si>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</si>
  <si>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</si>
  <si>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</si>
  <si>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</si>
  <si>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</si>
  <si>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</si>
  <si>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</si>
  <si>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</si>
  <si>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</si>
  <si>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</si>
  <si>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</si>
  <si>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</si>
  <si>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</si>
  <si>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</si>
  <si>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</si>
  <si>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</si>
  <si>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</si>
  <si>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</si>
  <si>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</si>
  <si>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</si>
  <si>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</si>
  <si>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</si>
  <si>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</si>
  <si>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</si>
  <si>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</si>
  <si>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</si>
  <si>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</si>
  <si>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</si>
  <si>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</si>
  <si>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</si>
  <si>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</si>
  <si>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</si>
  <si>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</si>
  <si>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</si>
  <si>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</si>
  <si>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</si>
  <si>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</si>
  <si>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</si>
  <si>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</si>
  <si>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</si>
  <si>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</si>
  <si>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</si>
  <si>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</si>
  <si>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</si>
  <si>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</si>
  <si>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</si>
  <si>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</si>
  <si>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</si>
  <si>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</si>
  <si>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</si>
  <si>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</si>
  <si>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</si>
  <si>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</si>
  <si>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</si>
  <si>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</si>
  <si>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</si>
  <si>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</si>
  <si>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</si>
  <si>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</si>
  <si>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</si>
  <si>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</si>
  <si>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</si>
  <si>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</si>
  <si>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</si>
  <si>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</si>
  <si>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</si>
  <si>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</si>
  <si>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</si>
  <si>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</si>
  <si>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</si>
  <si>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</si>
  <si>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</si>
  <si>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</si>
  <si>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</si>
  <si>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</si>
  <si>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</si>
  <si>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</si>
  <si>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</si>
  <si>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</si>
  <si>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</si>
  <si>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</si>
  <si>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</si>
  <si>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</si>
  <si>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</si>
  <si>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</si>
  <si>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</si>
  <si>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</si>
  <si>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</si>
  <si>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</si>
  <si>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</si>
  <si>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</si>
  <si>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</si>
  <si>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</si>
  <si>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</si>
  <si>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</si>
  <si>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</si>
  <si>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</si>
  <si>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</si>
  <si>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</si>
  <si>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</si>
  <si>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</si>
  <si>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</si>
  <si>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</si>
  <si>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</si>
  <si>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</si>
  <si>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</si>
  <si>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</si>
  <si>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</si>
  <si>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</si>
  <si>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</si>
  <si>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</si>
  <si>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</si>
  <si>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</si>
  <si>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</si>
  <si>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</si>
  <si>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</si>
  <si>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</si>
  <si>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</si>
  <si>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</si>
  <si>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</si>
  <si>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</si>
  <si>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</si>
  <si>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</si>
  <si>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</si>
  <si>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</si>
  <si>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</si>
  <si>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</si>
  <si>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</si>
  <si>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</si>
  <si>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</si>
  <si>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</si>
  <si>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</si>
  <si>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</si>
  <si>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</si>
  <si>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</si>
  <si>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</si>
  <si>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</si>
  <si>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</si>
  <si>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</si>
  <si>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</si>
  <si>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</si>
  <si>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</si>
  <si>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</si>
  <si>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</si>
  <si>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</si>
  <si>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</si>
  <si>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</si>
  <si>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</si>
  <si>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</si>
  <si>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</si>
  <si>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</si>
  <si>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</si>
  <si>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</si>
  <si>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</si>
  <si>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</si>
  <si>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</si>
  <si>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</si>
  <si>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</si>
  <si>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</si>
  <si>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</si>
  <si>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</si>
  <si>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</si>
  <si>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</si>
  <si>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</si>
  <si>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</si>
  <si>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</si>
  <si>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</si>
  <si>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</si>
  <si>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</si>
  <si>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</si>
  <si>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</si>
  <si>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</si>
  <si>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</si>
  <si>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</si>
  <si>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</si>
  <si>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</si>
  <si>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</si>
  <si>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</si>
  <si>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</si>
  <si>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</si>
  <si>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</si>
  <si>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</si>
  <si>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</si>
  <si>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</si>
  <si>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</si>
  <si>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</si>
  <si>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</si>
  <si>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</si>
  <si>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</si>
  <si>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</si>
  <si>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</si>
  <si>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</si>
  <si>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intro_month</t>
  </si>
  <si>
    <t>model_life</t>
  </si>
  <si>
    <t>loading_speed</t>
  </si>
  <si>
    <t>weight</t>
  </si>
  <si>
    <t>running_cost_bias</t>
  </si>
  <si>
    <t>kmish_speed</t>
  </si>
  <si>
    <t>articulated_units</t>
  </si>
  <si>
    <t>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</si>
  <si>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</si>
  <si>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</si>
  <si>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</si>
  <si>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</si>
  <si>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</si>
  <si>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</si>
  <si>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</si>
  <si>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</si>
  <si>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</si>
  <si>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</si>
  <si>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</si>
  <si>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</si>
  <si>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</si>
  <si>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kmish_limiter_speed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</si>
  <si>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</si>
  <si>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</si>
  <si>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</si>
  <si>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</si>
  <si>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</si>
  <si>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</si>
  <si>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</si>
  <si>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</si>
  <si>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</si>
  <si>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</si>
  <si>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</si>
  <si>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</si>
  <si>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</si>
  <si>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</si>
  <si>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</si>
  <si>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</si>
  <si>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</si>
  <si>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</si>
  <si>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</si>
  <si>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</si>
  <si>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</si>
  <si>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</si>
  <si>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</si>
  <si>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</si>
  <si>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</si>
  <si>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</si>
  <si>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</si>
  <si>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</si>
  <si>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</si>
  <si>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</si>
  <si>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</si>
  <si>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</si>
  <si>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</si>
  <si>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</si>
  <si>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</si>
  <si>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</si>
  <si>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</si>
  <si>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</si>
  <si>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</si>
  <si>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</si>
  <si>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</si>
  <si>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</si>
  <si>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</si>
  <si>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</si>
  <si>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</si>
  <si>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The Saviem SM Europe was the result of a collaboration between Saviem and MAN, where Saviem supplied cabs and MAN provided engines. Although more common in France a few were used in the UK.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</si>
  <si>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</si>
  <si>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</si>
  <si>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</si>
  <si>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</si>
  <si>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</si>
  <si>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</si>
  <si>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</si>
  <si>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</si>
  <si>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</si>
  <si>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</si>
  <si>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</si>
  <si>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</si>
  <si>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</si>
  <si>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</si>
  <si>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</si>
  <si>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van</t>
  </si>
  <si>
    <t>taxi</t>
  </si>
  <si>
    <t>custom_cargo_aging</t>
  </si>
  <si>
    <t>bmw_f31</t>
  </si>
  <si>
    <t>is_tram</t>
  </si>
  <si>
    <t>electric</t>
  </si>
  <si>
    <t>horse_type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</si>
  <si>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</si>
  <si>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</si>
  <si>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</si>
  <si>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</si>
  <si>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</si>
  <si>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</si>
  <si>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</si>
  <si>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</si>
  <si>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</si>
  <si>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</si>
  <si>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</si>
  <si>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</si>
  <si>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</si>
  <si>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</si>
  <si>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</si>
  <si>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</si>
  <si>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</si>
  <si>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</si>
  <si>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</si>
  <si>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</si>
  <si>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</si>
  <si>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</si>
  <si>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</si>
  <si>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</si>
  <si>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</si>
  <si>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</si>
  <si>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</si>
  <si>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</si>
  <si>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</si>
  <si>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</si>
  <si>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</si>
  <si>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</si>
  <si>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</si>
  <si>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</si>
  <si>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</si>
  <si>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</si>
  <si>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</si>
  <si>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4,5,5,5,5,5</t>
  </si>
  <si>
    <t>1,11</t>
  </si>
  <si>
    <t>horses,</t>
  </si>
  <si>
    <t>4,8</t>
  </si>
  <si>
    <t>1,2,3</t>
  </si>
  <si>
    <t>Dray Trailer</t>
  </si>
  <si>
    <t>dray_trailer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</si>
  <si>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</si>
  <si>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</si>
  <si>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</si>
  <si>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</si>
  <si>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</si>
  <si>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</si>
  <si>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</si>
  <si>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</si>
  <si>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</si>
  <si>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</si>
  <si>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</si>
  <si>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</si>
  <si>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</si>
  <si>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</si>
  <si>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</si>
  <si>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</si>
  <si>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</si>
  <si>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</si>
  <si>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</si>
  <si>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</si>
  <si>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</si>
  <si>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</si>
  <si>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</si>
  <si>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</si>
  <si>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</si>
  <si>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</si>
  <si>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</si>
  <si>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</si>
  <si>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</si>
  <si>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</si>
  <si>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</si>
  <si>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</si>
  <si>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</si>
  <si>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</si>
  <si>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</si>
  <si>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</si>
  <si>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</si>
  <si>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</si>
  <si>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</si>
  <si>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</si>
  <si>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</si>
  <si>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</si>
  <si>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</si>
  <si>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</si>
  <si>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</si>
  <si>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</si>
  <si>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</si>
  <si>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</si>
  <si>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</si>
  <si>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</si>
  <si>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</si>
  <si>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</si>
  <si>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</si>
  <si>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</si>
  <si>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</si>
  <si>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</si>
  <si>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</si>
  <si>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</si>
  <si>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</si>
  <si>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</si>
  <si>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</si>
  <si>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</si>
  <si>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</si>
  <si>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</si>
  <si>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</si>
  <si>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</si>
  <si>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</si>
  <si>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</si>
  <si>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</si>
  <si>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</si>
  <si>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</si>
  <si>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</si>
  <si>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</si>
  <si>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</si>
  <si>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</si>
  <si>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</si>
  <si>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</si>
  <si>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</si>
  <si>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</si>
  <si>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</si>
  <si>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</si>
  <si>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</si>
  <si>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</si>
  <si>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</si>
  <si>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</si>
  <si>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</si>
  <si>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</si>
  <si>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</si>
  <si>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virtual_units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</si>
  <si>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</si>
  <si>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</si>
  <si>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</si>
  <si>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</si>
  <si>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</si>
  <si>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</si>
  <si>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</si>
  <si>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</si>
  <si>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</si>
  <si>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</si>
  <si>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</si>
  <si>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</si>
  <si>
    <t>ttd_len</t>
  </si>
  <si>
    <t>2 Horses</t>
  </si>
  <si>
    <t>5,5,5</t>
  </si>
  <si>
    <t>5,4</t>
  </si>
  <si>
    <t>Horse in a Zorb</t>
  </si>
  <si>
    <t>zorb_horse</t>
  </si>
  <si>
    <t>special/zorb_horse</t>
  </si>
  <si>
    <t>It is the business of the future to be dangerous. And to find new ways of transporting horses.</t>
  </si>
  <si>
    <t>enable_param</t>
  </si>
  <si>
    <t>enable_trams</t>
  </si>
  <si>
    <t>enable_lorries</t>
  </si>
  <si>
    <t>enable_buses</t>
  </si>
  <si>
    <t>enable_easter_eggs</t>
  </si>
  <si>
    <t>has_year_dependent_cargo</t>
  </si>
  <si>
    <t>5,5,5,5,5,5</t>
  </si>
  <si>
    <t>4,5,5,5</t>
  </si>
  <si>
    <t>cars</t>
  </si>
  <si>
    <t>layout</t>
  </si>
  <si>
    <t>y6,tram_trailer_flatbed,tram_trailer_goods,tram_trailer_flatbed</t>
  </si>
  <si>
    <t>j70,tram_trailer_flatbed,tram_trailer_goods,tram_trailer_flatbed,tram_trailer_goods,tram_trailer_flatbed</t>
  </si>
  <si>
    <t>y10,tram_trailer_flatbed,tram_trailer_goods,tram_trailer_flatbed,tram_trailer_goods,tram_trailer_flatbed</t>
  </si>
  <si>
    <t>fc_hibberd_planet,tram_trailer_flatbed,tram_trailer_goods,tram_trailer_flatbed,tram_trailer_goods,tram_trailer_flatbed</t>
  </si>
  <si>
    <t>drewry_shunter,tram_trailer_flatbed,tram_trailer_goods,tram_trailer_flatbed,tram_trailer_goods,tram_trailer_flatbed</t>
  </si>
  <si>
    <t>scammell_75_ton,prewar_trailer_flatbed</t>
  </si>
  <si>
    <t>beardmore_python,prewar_trailer_flatbed</t>
  </si>
  <si>
    <t>leyland_beaver,t45_trailer_goods</t>
  </si>
  <si>
    <t>guy_big_j4,t45_trailer_goods</t>
  </si>
  <si>
    <t>volvo_f10,t45_trailer_goods</t>
  </si>
  <si>
    <t>aec_mandator,t45_trailer_goods</t>
  </si>
  <si>
    <t>leyland_t45,t45_trailer_goods</t>
  </si>
  <si>
    <t>scania_3_series,modern_trailer_goods</t>
  </si>
  <si>
    <t>scania_4_series,modern_trailer_goods</t>
  </si>
  <si>
    <t>scania_r_series,modern_trailer_goods</t>
  </si>
  <si>
    <t>renault_magnum,modern_trailer_goods</t>
  </si>
  <si>
    <t>volvo_fm9,modern_trailer_goods</t>
  </si>
  <si>
    <t>scammell_scarab,scammell_scarab_trailer</t>
  </si>
  <si>
    <t>mercedes_citaro_front,mercedes_citaro_rear</t>
  </si>
  <si>
    <t>progress_twin_car_front,progress_twin_car_rear</t>
  </si>
  <si>
    <t>dlr_p86_front,dlr_p86_rear,dlr_p86_front,dlr_p86_rear</t>
  </si>
  <si>
    <t>bombardier_cr4000_front,bombardier_cr4000_rear</t>
  </si>
  <si>
    <t>dlr_b07_front,dlr_b07_rear,dlr_b07_front,dlr_b07_rear,dlr_b07_front,dlr_b07_rear</t>
  </si>
  <si>
    <t>vossloh_class_399_front,vossloh_class_399_mid,vossloh_class_399_rear</t>
  </si>
  <si>
    <t>tram_trailer_goods</t>
  </si>
  <si>
    <t>t45_trailer_goods</t>
  </si>
  <si>
    <t>modern_trailer_goods</t>
  </si>
  <si>
    <t>prewar_trailer_flatbed</t>
  </si>
  <si>
    <t>horses,stagecoach</t>
  </si>
  <si>
    <t>horses,dray_trailer</t>
  </si>
  <si>
    <t>horses,tram_trailer_flatbed,tram_trailer_goods</t>
  </si>
  <si>
    <t>horses,horse_tram</t>
  </si>
  <si>
    <t>articulated_lengths</t>
  </si>
  <si>
    <t>run_cost_modifier</t>
  </si>
  <si>
    <t>rubber_tyred_horse_cart</t>
  </si>
  <si>
    <t>rubber_tyred_horse_cart_flatbed</t>
  </si>
  <si>
    <t>Rubber Horse Cart Trailer</t>
  </si>
  <si>
    <t>Rubber-Tyred Horse Cart</t>
  </si>
  <si>
    <t>rubber_horse_cart</t>
  </si>
  <si>
    <t>horses,rubber_tyred_horse_cart</t>
  </si>
  <si>
    <t>Pneumatic tyres offered lower rolling resistance on bumpy ground, and more cushioning for delicate cargo.</t>
  </si>
  <si>
    <t>Rubber Tyred Cart</t>
  </si>
  <si>
    <t>rubber_tyred_cart</t>
  </si>
  <si>
    <t>Traction Engine</t>
  </si>
  <si>
    <t>traction_engine</t>
  </si>
  <si>
    <t>Traction engines were developed from portable steam engines, applying the power to the wheels so the engine could be driven to where it was needed without requiring horses.</t>
  </si>
  <si>
    <t>6,4,4</t>
  </si>
  <si>
    <t>traction_engine,rubber_tyred_cart,rubber_tyred_cart</t>
  </si>
  <si>
    <t>flexity_2_front,flexity_2_mid_1,flexity_2_mid_2,flexity_2_mid_1,flexity_2_rear</t>
  </si>
  <si>
    <t>roe_trolleybus</t>
  </si>
  <si>
    <t>Sunbeam F4A Roe</t>
  </si>
  <si>
    <t>Although most UK trolleybus systems were being (or had been) decommissioned by the early 1960s, new bodywork was still produced for the Sunbeam chassis.</t>
  </si>
  <si>
    <t>Sunbeam F4 Park Royal</t>
  </si>
  <si>
    <t>sunbeam_park_royal</t>
  </si>
  <si>
    <t>Sunbeam Commercial Vehicles had started as an independent manufacturer, but by the 1950s had been sold to Guy Motors, the resultant conglomerate being the largest British trolleybus manufacturer.</t>
  </si>
  <si>
    <t>3,8,2</t>
  </si>
  <si>
    <t>3,8</t>
  </si>
  <si>
    <t>Horse Cart Trailer</t>
  </si>
  <si>
    <t>Horse-Drawn Cart</t>
  </si>
  <si>
    <t>1 Horse</t>
  </si>
  <si>
    <t>horse_cart_trailer</t>
  </si>
  <si>
    <t>horse_cart</t>
  </si>
  <si>
    <t>Early two-wheeled horse carts used rigid shafts, with the horse itself balancing the weight of the cart.</t>
  </si>
  <si>
    <t>horse,horse_cart_trailer</t>
  </si>
  <si>
    <t>5,3</t>
  </si>
  <si>
    <t>Horse-Drawn Carriage</t>
  </si>
  <si>
    <t>horse_carriage</t>
  </si>
  <si>
    <t>Early carriages used unsprung solid axles and were uncomfortable to ride for more than short distances.</t>
  </si>
  <si>
    <t>horses,horse_carriage</t>
  </si>
  <si>
    <t>Vulcan Lorry</t>
  </si>
  <si>
    <t>vulcan_lorry</t>
  </si>
  <si>
    <t>Vulcan was a lorry manufacturer in Southport, whose vehicles were advertised on their dependability.</t>
  </si>
  <si>
    <t>Vulcan Mk.II</t>
  </si>
  <si>
    <t>vulcan_mk2</t>
  </si>
  <si>
    <t>The Vulcan Mk.II was sadly short-lived; parent company Tillings-Stevens was taken over by the Rootes Group in 1950, and by 1953 Rootes had developed their own range of heavy commercial vehicles.</t>
  </si>
  <si>
    <t>dennis_enviro_400_ev</t>
  </si>
  <si>
    <t>BYD/ADL Enviro400EV</t>
  </si>
  <si>
    <t>electric_with_bong</t>
  </si>
  <si>
    <t>The Enviro400 EV is a joint venture, using BYD's experience in producing all-electric buses to provide a city double decker that can run all day on a single charge.</t>
  </si>
  <si>
    <t>Seddon Atkinson 400</t>
  </si>
  <si>
    <t>seddon_atkinson_400</t>
  </si>
  <si>
    <t>The Seddon Atkinson 400 was one of the most popular trucks of the 1970s.</t>
  </si>
  <si>
    <t>ERF A-Series</t>
  </si>
  <si>
    <t>erf_a_series</t>
  </si>
  <si>
    <t>erf_lv</t>
  </si>
  <si>
    <t>ERF 8LV</t>
  </si>
  <si>
    <t>Often confused with the A series due to similar cabs, most rigid ERFs of the early 1970s were updated variants of the LV chassis.</t>
  </si>
  <si>
    <t>The A Series was a new, modular chassis design. All but a handful were built as 4x2 tractor units.</t>
  </si>
  <si>
    <t>erf_a_series,t45_trailer_goods</t>
  </si>
  <si>
    <t>Volvo FH12</t>
  </si>
  <si>
    <t>volvo_fh12</t>
  </si>
  <si>
    <t>Volvo's FH12 was a clean sheet design, and won Truck of the Year in 1994.</t>
  </si>
  <si>
    <t>DAF CF</t>
  </si>
  <si>
    <t>daf_cf</t>
  </si>
  <si>
    <t>DAF's CF is a large truck with many chassis options, a development of the earlier 65/75/85 series.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</si>
</sst>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44"/>
  <sheetViews>
    <sheetView tabSelected="1" zoomScaleNormal="100" workbookViewId="0">
      <pane xSplit="2910" ySplit="600" topLeftCell="P88" activePane="bottomRight"/>
      <selection pane="topRight" activeCell="AQ1" sqref="AQ1"/>
      <selection pane="bottomLeft" activeCell="A102" sqref="A102"/>
      <selection pane="bottomRight" activeCell="V102" sqref="V102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2" bestFit="1" customWidth="1"/>
    <col min="6" max="6" width="12" customWidth="1"/>
    <col min="7" max="8" width="12.85546875" customWidth="1"/>
    <col min="9" max="10" width="12.42578125" customWidth="1"/>
    <col min="11" max="11" width="12.5703125" customWidth="1"/>
    <col min="12" max="12" width="15.7109375" customWidth="1"/>
    <col min="13" max="13" width="13.7109375" bestFit="1" customWidth="1"/>
    <col min="14" max="14" width="15.7109375" customWidth="1"/>
    <col min="15" max="15" width="10.42578125" customWidth="1"/>
    <col min="16" max="16" width="9" bestFit="1" customWidth="1"/>
    <col min="17" max="17" width="5.7109375" customWidth="1"/>
    <col min="18" max="18" width="15.7109375" customWidth="1"/>
    <col min="19" max="19" width="19.140625" customWidth="1"/>
    <col min="20" max="20" width="11.5703125" customWidth="1"/>
    <col min="21" max="21" width="17.42578125" customWidth="1"/>
    <col min="22" max="23" width="14.85546875" customWidth="1"/>
    <col min="24" max="26" width="21" customWidth="1"/>
    <col min="27" max="31" width="23.7109375" customWidth="1"/>
    <col min="32" max="32" width="15.85546875" bestFit="1" customWidth="1"/>
    <col min="33" max="39" width="20.5703125" customWidth="1"/>
    <col min="40" max="40" width="9.85546875" bestFit="1" customWidth="1"/>
    <col min="41" max="41" width="9.85546875" customWidth="1"/>
    <col min="42" max="42" width="7.140625" bestFit="1" customWidth="1"/>
    <col min="43" max="43" width="7.140625" customWidth="1"/>
    <col min="44" max="44" width="14.85546875" bestFit="1" customWidth="1"/>
    <col min="45" max="46" width="14.85546875" style="2" customWidth="1"/>
    <col min="47" max="47" width="6.7109375" style="2" bestFit="1" customWidth="1"/>
    <col min="48" max="48" width="18.42578125" bestFit="1" customWidth="1"/>
    <col min="49" max="49" width="14.85546875" customWidth="1"/>
    <col min="50" max="50" width="19.140625" bestFit="1" customWidth="1"/>
    <col min="51" max="51" width="21.140625" bestFit="1" customWidth="1"/>
    <col min="52" max="55" width="12.5703125" customWidth="1"/>
  </cols>
  <sheetData>
    <row r="1" spans="1:56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148</v>
      </c>
      <c r="F1" s="1" t="s">
        <v>278</v>
      </c>
      <c r="G1" s="1" t="s">
        <v>149</v>
      </c>
      <c r="H1" s="1" t="s">
        <v>521</v>
      </c>
      <c r="I1" s="1" t="s">
        <v>9</v>
      </c>
      <c r="J1" s="1" t="s">
        <v>501</v>
      </c>
      <c r="K1" s="1" t="s">
        <v>150</v>
      </c>
      <c r="L1" s="1" t="s">
        <v>279</v>
      </c>
      <c r="M1" s="1" t="s">
        <v>152</v>
      </c>
      <c r="N1" s="1" t="s">
        <v>280</v>
      </c>
      <c r="O1" s="1" t="s">
        <v>281</v>
      </c>
      <c r="P1" s="1" t="s">
        <v>153</v>
      </c>
      <c r="Q1" s="1" t="s">
        <v>295</v>
      </c>
      <c r="R1" s="1" t="s">
        <v>151</v>
      </c>
      <c r="S1" s="1" t="s">
        <v>282</v>
      </c>
      <c r="T1" s="1" t="s">
        <v>287</v>
      </c>
      <c r="U1" s="1" t="s">
        <v>327</v>
      </c>
      <c r="V1" s="1" t="s">
        <v>272</v>
      </c>
      <c r="W1" s="1" t="s">
        <v>331</v>
      </c>
      <c r="X1" s="1" t="s">
        <v>344</v>
      </c>
      <c r="Y1" s="1" t="s">
        <v>393</v>
      </c>
      <c r="Z1" s="1" t="s">
        <v>526</v>
      </c>
      <c r="AA1" s="1" t="s">
        <v>488</v>
      </c>
      <c r="AB1" s="1" t="s">
        <v>347</v>
      </c>
      <c r="AC1" s="1" t="s">
        <v>368</v>
      </c>
      <c r="AD1" s="1" t="s">
        <v>350</v>
      </c>
      <c r="AE1" s="1" t="s">
        <v>363</v>
      </c>
      <c r="AF1" s="1" t="s">
        <v>298</v>
      </c>
      <c r="AG1" s="1" t="s">
        <v>380</v>
      </c>
      <c r="AH1" s="1" t="s">
        <v>398</v>
      </c>
      <c r="AI1" s="1" t="s">
        <v>370</v>
      </c>
      <c r="AJ1" s="1" t="s">
        <v>372</v>
      </c>
      <c r="AK1" s="1" t="s">
        <v>563</v>
      </c>
      <c r="AL1" s="1" t="s">
        <v>530</v>
      </c>
      <c r="AM1" s="1" t="s">
        <v>513</v>
      </c>
      <c r="AN1" s="1" t="s">
        <v>365</v>
      </c>
      <c r="AO1" s="1" t="s">
        <v>367</v>
      </c>
      <c r="AP1" s="1" t="s">
        <v>154</v>
      </c>
      <c r="AQ1" s="1" t="s">
        <v>564</v>
      </c>
      <c r="AR1" s="1" t="s">
        <v>155</v>
      </c>
      <c r="AS1" s="4" t="s">
        <v>283</v>
      </c>
      <c r="AT1" s="4" t="s">
        <v>299</v>
      </c>
      <c r="AU1" s="4" t="s">
        <v>529</v>
      </c>
      <c r="AV1" s="1" t="s">
        <v>284</v>
      </c>
      <c r="AW1" s="1" t="s">
        <v>500</v>
      </c>
      <c r="AX1" s="1" t="s">
        <v>285</v>
      </c>
      <c r="AY1" s="1" t="s">
        <v>395</v>
      </c>
      <c r="AZ1" s="1" t="s">
        <v>156</v>
      </c>
      <c r="BA1" s="1" t="s">
        <v>157</v>
      </c>
      <c r="BB1" s="1" t="s">
        <v>158</v>
      </c>
      <c r="BC1" s="1" t="s">
        <v>159</v>
      </c>
      <c r="BD1" s="1" t="s">
        <v>160</v>
      </c>
    </row>
    <row r="2" spans="1:56" x14ac:dyDescent="0.25">
      <c r="A2" t="s">
        <v>590</v>
      </c>
      <c r="B2" t="s">
        <v>288</v>
      </c>
      <c r="C2" t="s">
        <v>277</v>
      </c>
      <c r="D2">
        <v>0</v>
      </c>
      <c r="V2" s="2"/>
      <c r="W2" s="2"/>
      <c r="X2" s="2"/>
      <c r="Y2" s="2"/>
      <c r="Z2" s="2"/>
      <c r="AA2" s="2"/>
      <c r="AB2" s="2"/>
      <c r="AC2" s="2"/>
      <c r="AD2" s="2"/>
      <c r="AE2" s="2"/>
      <c r="AM2">
        <v>5</v>
      </c>
      <c r="AP2" s="2"/>
      <c r="AQ2" s="2"/>
      <c r="AR2" s="2"/>
      <c r="AV2" s="2"/>
      <c r="AW2" s="2"/>
      <c r="AX2" s="2"/>
      <c r="AY2" s="2"/>
      <c r="AZ2" s="3"/>
      <c r="BA2" s="3"/>
      <c r="BB2" s="3"/>
      <c r="BC2" s="2"/>
    </row>
    <row r="3" spans="1:56" x14ac:dyDescent="0.25">
      <c r="A3" t="s">
        <v>514</v>
      </c>
      <c r="B3" t="s">
        <v>277</v>
      </c>
      <c r="C3" t="s">
        <v>277</v>
      </c>
      <c r="D3">
        <v>0</v>
      </c>
      <c r="V3" s="2"/>
      <c r="W3" s="2"/>
      <c r="X3" s="2"/>
      <c r="Y3" s="2"/>
      <c r="Z3" s="2"/>
      <c r="AA3" s="2"/>
      <c r="AB3" s="2"/>
      <c r="AC3" s="2"/>
      <c r="AD3" s="2"/>
      <c r="AE3" s="2"/>
      <c r="AM3">
        <v>5</v>
      </c>
      <c r="AP3" s="2"/>
      <c r="AQ3" s="2"/>
      <c r="AR3" s="2"/>
      <c r="AV3" s="2"/>
      <c r="AW3" s="2"/>
      <c r="AX3" s="2"/>
      <c r="AY3" s="2"/>
      <c r="AZ3" s="3"/>
      <c r="BA3" s="3"/>
      <c r="BB3" s="3"/>
      <c r="BC3" s="2"/>
    </row>
    <row r="4" spans="1:56" x14ac:dyDescent="0.25">
      <c r="A4" t="s">
        <v>394</v>
      </c>
      <c r="B4" t="s">
        <v>392</v>
      </c>
      <c r="C4" t="s">
        <v>350</v>
      </c>
      <c r="D4">
        <v>0</v>
      </c>
      <c r="W4" t="s">
        <v>332</v>
      </c>
      <c r="Y4" t="s">
        <v>332</v>
      </c>
      <c r="Z4" t="s">
        <v>332</v>
      </c>
      <c r="AL4" t="s">
        <v>555</v>
      </c>
      <c r="AM4">
        <v>5</v>
      </c>
    </row>
    <row r="5" spans="1:56" x14ac:dyDescent="0.25">
      <c r="A5" t="s">
        <v>138</v>
      </c>
      <c r="B5" t="s">
        <v>204</v>
      </c>
      <c r="C5" t="s">
        <v>349</v>
      </c>
      <c r="D5">
        <f>IF(E5 &gt; 2020, ((E5-2020)*4)+1610+G5,IF(E5 &gt; 1900, ((E5-1900)*10)+400+G5, ((E5-1730)*2)+G5))+VLOOKUP(I5,'ID Scheme'!$A$2:$B$7,2, FALSE)</f>
        <v>10721</v>
      </c>
      <c r="E5">
        <v>1790</v>
      </c>
      <c r="F5">
        <v>1</v>
      </c>
      <c r="G5">
        <v>1</v>
      </c>
      <c r="H5" t="s">
        <v>522</v>
      </c>
      <c r="I5" t="s">
        <v>137</v>
      </c>
      <c r="J5" t="s">
        <v>503</v>
      </c>
      <c r="K5">
        <v>18</v>
      </c>
      <c r="L5">
        <v>110</v>
      </c>
      <c r="M5">
        <v>12</v>
      </c>
      <c r="N5">
        <v>5</v>
      </c>
      <c r="O5">
        <v>2</v>
      </c>
      <c r="P5">
        <v>15</v>
      </c>
      <c r="Q5">
        <v>20</v>
      </c>
      <c r="R5">
        <v>24</v>
      </c>
      <c r="S5">
        <v>1</v>
      </c>
      <c r="T5" t="s">
        <v>288</v>
      </c>
      <c r="U5">
        <v>0</v>
      </c>
      <c r="V5" s="2" t="s">
        <v>433</v>
      </c>
      <c r="W5" s="2" t="s">
        <v>332</v>
      </c>
      <c r="X5" s="2"/>
      <c r="Y5" s="2" t="s">
        <v>332</v>
      </c>
      <c r="Z5" s="2" t="s">
        <v>332</v>
      </c>
      <c r="AA5" s="2"/>
      <c r="AB5" s="2"/>
      <c r="AC5" s="2"/>
      <c r="AD5" s="2" t="s">
        <v>392</v>
      </c>
      <c r="AE5" s="2"/>
      <c r="AJ5" t="s">
        <v>409</v>
      </c>
      <c r="AK5" t="s">
        <v>515</v>
      </c>
      <c r="AL5" t="s">
        <v>561</v>
      </c>
      <c r="AM5">
        <v>5</v>
      </c>
      <c r="AN5">
        <v>1</v>
      </c>
      <c r="AO5" t="s">
        <v>277</v>
      </c>
      <c r="AP5" s="2">
        <f>(SQRT(K5*R5)*POWER((MIN(M5,20)+SQRT(MAX(M5-20,0))),0.9)*Data!$B$1)*(1-(S5-1))</f>
        <v>14.590368416022624</v>
      </c>
      <c r="AQ5" s="2"/>
      <c r="AR5" s="2">
        <f>((POWER((K5*K5*R5), 0.33)*LOG10(P5)*10*Data!$B$1)*S5)+AQ5</f>
        <v>16.961015410572251</v>
      </c>
      <c r="AS5" s="2">
        <f t="shared" ref="AS5:AS10" si="0">K5/1.24</f>
        <v>14.516129032258064</v>
      </c>
      <c r="AT5" s="2">
        <f t="shared" ref="AT5:AT10" si="1">AF5/1.24</f>
        <v>0</v>
      </c>
      <c r="AU5" s="2">
        <v>2</v>
      </c>
      <c r="AV5" s="2">
        <v>3</v>
      </c>
      <c r="AW5" s="2">
        <v>3</v>
      </c>
      <c r="AX5" s="2">
        <f t="shared" ref="AX5:AX10" si="2">R5/AW5</f>
        <v>8</v>
      </c>
      <c r="AY5" s="2">
        <f t="shared" ref="AY5:AY10" si="3">(R5)/MAX(AV5-1, 1)</f>
        <v>12</v>
      </c>
      <c r="BB5" s="3"/>
      <c r="BC5" s="2" t="str">
        <f>CONCATENATE(
ROUND(AZ5*VLOOKUP(I5,'ID Scheme'!$A$2:$E$7,3),0), "x",
ROUND(BA5*VLOOKUP(I5,'ID Scheme'!$A$2:$E$7,5),0), "x",
ROUND(BB5*VLOOKUP(I5,'ID Scheme'!$A$2:$E$7,4),0))</f>
        <v>0x0x0</v>
      </c>
    </row>
    <row r="6" spans="1:56" x14ac:dyDescent="0.25">
      <c r="A6" t="s">
        <v>140</v>
      </c>
      <c r="B6" t="s">
        <v>240</v>
      </c>
      <c r="C6" t="s">
        <v>349</v>
      </c>
      <c r="D6">
        <f>IF(E6 &gt; 2020, ((E6-2020)*4)+1610+G6,IF(E6 &gt; 1900, ((E6-1900)*10)+400+G6, ((E6-1730)*2)+G6))+VLOOKUP(I6,'ID Scheme'!$A$2:$B$7,2, FALSE)</f>
        <v>10907</v>
      </c>
      <c r="E6">
        <v>1883</v>
      </c>
      <c r="F6">
        <v>1</v>
      </c>
      <c r="G6">
        <v>1</v>
      </c>
      <c r="H6" t="s">
        <v>522</v>
      </c>
      <c r="I6" t="s">
        <v>137</v>
      </c>
      <c r="J6" t="s">
        <v>503</v>
      </c>
      <c r="K6">
        <v>22</v>
      </c>
      <c r="L6">
        <v>30</v>
      </c>
      <c r="M6">
        <v>30</v>
      </c>
      <c r="N6">
        <v>5</v>
      </c>
      <c r="O6">
        <v>19</v>
      </c>
      <c r="P6">
        <v>50</v>
      </c>
      <c r="Q6">
        <v>20</v>
      </c>
      <c r="R6">
        <v>36</v>
      </c>
      <c r="S6">
        <v>1</v>
      </c>
      <c r="T6" t="s">
        <v>289</v>
      </c>
      <c r="U6">
        <v>-1</v>
      </c>
      <c r="V6" s="2" t="s">
        <v>428</v>
      </c>
      <c r="W6" s="2" t="s">
        <v>332</v>
      </c>
      <c r="X6" s="2"/>
      <c r="Y6" s="2" t="s">
        <v>332</v>
      </c>
      <c r="Z6" s="2" t="s">
        <v>332</v>
      </c>
      <c r="AA6" s="2"/>
      <c r="AB6" s="2"/>
      <c r="AC6" s="2"/>
      <c r="AD6" s="2" t="s">
        <v>392</v>
      </c>
      <c r="AE6" s="2"/>
      <c r="AH6">
        <v>1</v>
      </c>
      <c r="AJ6" t="s">
        <v>397</v>
      </c>
      <c r="AK6" t="s">
        <v>528</v>
      </c>
      <c r="AL6" t="s">
        <v>531</v>
      </c>
      <c r="AM6">
        <v>4</v>
      </c>
      <c r="AN6">
        <v>1</v>
      </c>
      <c r="AP6" s="2">
        <f>(SQRT(K6*R6)*POWER((MIN(M6,20)+SQRT(MAX(M6-20,0))),0.9)*Data!$B$1)*(1-(S6-1))</f>
        <v>35.704831781745895</v>
      </c>
      <c r="AQ6" s="2"/>
      <c r="AR6" s="2">
        <f>((POWER((K6*K6*R6), 0.33)*LOG10(P6)*10*Data!$B$1)*S6)+AQ6</f>
        <v>31.97612031589599</v>
      </c>
      <c r="AS6" s="2">
        <f t="shared" si="0"/>
        <v>17.741935483870968</v>
      </c>
      <c r="AT6" s="2">
        <f t="shared" si="1"/>
        <v>0</v>
      </c>
      <c r="AU6" s="2">
        <v>3</v>
      </c>
      <c r="AV6" s="2">
        <v>4</v>
      </c>
      <c r="AW6" s="2">
        <v>4</v>
      </c>
      <c r="AX6" s="2">
        <f t="shared" si="2"/>
        <v>9</v>
      </c>
      <c r="AY6" s="2">
        <f t="shared" si="3"/>
        <v>12</v>
      </c>
      <c r="AZ6">
        <v>6</v>
      </c>
      <c r="BB6" s="3"/>
      <c r="BC6" s="2" t="str">
        <f>CONCATENATE(
ROUND(AZ6*VLOOKUP(I6,'ID Scheme'!$A$2:$E$7,3),0), "x",
ROUND(BA6*VLOOKUP(I6,'ID Scheme'!$A$2:$E$7,5),0), "x",
ROUND(BB6*VLOOKUP(I6,'ID Scheme'!$A$2:$E$7,4),0))</f>
        <v>56x0x0</v>
      </c>
    </row>
    <row r="7" spans="1:56" x14ac:dyDescent="0.25">
      <c r="A7" t="s">
        <v>139</v>
      </c>
      <c r="B7" t="s">
        <v>238</v>
      </c>
      <c r="C7" t="s">
        <v>349</v>
      </c>
      <c r="D7">
        <f>IF(E7 &gt; 2020, ((E7-2020)*4)+1610+G7,IF(E7 &gt; 1900, ((E7-1900)*10)+400+G7, ((E7-1730)*2)+G7))+VLOOKUP(I7,'ID Scheme'!$A$2:$B$7,2, FALSE)</f>
        <v>11031</v>
      </c>
      <c r="E7">
        <v>1903</v>
      </c>
      <c r="F7">
        <v>1</v>
      </c>
      <c r="G7">
        <v>1</v>
      </c>
      <c r="H7" t="s">
        <v>522</v>
      </c>
      <c r="I7" t="s">
        <v>137</v>
      </c>
      <c r="J7" t="s">
        <v>503</v>
      </c>
      <c r="K7">
        <v>22</v>
      </c>
      <c r="L7">
        <v>30</v>
      </c>
      <c r="M7">
        <v>30</v>
      </c>
      <c r="N7">
        <v>5</v>
      </c>
      <c r="O7">
        <v>24</v>
      </c>
      <c r="P7">
        <v>60</v>
      </c>
      <c r="Q7">
        <v>20</v>
      </c>
      <c r="R7">
        <v>60</v>
      </c>
      <c r="S7">
        <v>1</v>
      </c>
      <c r="T7" t="s">
        <v>289</v>
      </c>
      <c r="U7">
        <v>-1</v>
      </c>
      <c r="V7" s="2" t="s">
        <v>429</v>
      </c>
      <c r="W7" s="2" t="s">
        <v>332</v>
      </c>
      <c r="X7" s="2"/>
      <c r="Y7" s="2" t="s">
        <v>332</v>
      </c>
      <c r="Z7" s="2" t="s">
        <v>332</v>
      </c>
      <c r="AA7" s="2"/>
      <c r="AB7" s="2"/>
      <c r="AC7" s="2"/>
      <c r="AD7" s="2" t="s">
        <v>392</v>
      </c>
      <c r="AE7" s="2"/>
      <c r="AH7">
        <v>1</v>
      </c>
      <c r="AJ7" t="s">
        <v>396</v>
      </c>
      <c r="AK7" t="s">
        <v>405</v>
      </c>
      <c r="AL7" t="s">
        <v>532</v>
      </c>
      <c r="AM7">
        <v>4</v>
      </c>
      <c r="AN7">
        <v>1</v>
      </c>
      <c r="AP7" s="2">
        <f>(SQRT(K7*R7)*POWER((MIN(M7,20)+SQRT(MAX(M7-20,0))),0.9)*Data!$B$1)*(1-(S7-1))</f>
        <v>46.094739623279715</v>
      </c>
      <c r="AQ7" s="2"/>
      <c r="AR7" s="2">
        <f>((POWER((K7*K7*R7), 0.33)*LOG10(P7)*10*Data!$B$1)*S7)+AQ7</f>
        <v>39.61127712007552</v>
      </c>
      <c r="AS7" s="2">
        <f t="shared" si="0"/>
        <v>17.741935483870968</v>
      </c>
      <c r="AT7" s="2">
        <f t="shared" si="1"/>
        <v>0</v>
      </c>
      <c r="AU7" s="2">
        <v>5</v>
      </c>
      <c r="AV7" s="2">
        <v>6</v>
      </c>
      <c r="AW7" s="2">
        <v>6</v>
      </c>
      <c r="AX7" s="2">
        <f t="shared" si="2"/>
        <v>10</v>
      </c>
      <c r="AY7" s="2">
        <f t="shared" si="3"/>
        <v>12</v>
      </c>
      <c r="AZ7">
        <v>6</v>
      </c>
      <c r="BB7" s="3"/>
      <c r="BC7" s="2" t="str">
        <f>CONCATENATE(
ROUND(AZ7*VLOOKUP(I7,'ID Scheme'!$A$2:$E$7,3),0), "x",
ROUND(BA7*VLOOKUP(I7,'ID Scheme'!$A$2:$E$7,5),0), "x",
ROUND(BB7*VLOOKUP(I7,'ID Scheme'!$A$2:$E$7,4),0))</f>
        <v>56x0x0</v>
      </c>
    </row>
    <row r="8" spans="1:56" x14ac:dyDescent="0.25">
      <c r="A8" t="s">
        <v>141</v>
      </c>
      <c r="B8" t="s">
        <v>239</v>
      </c>
      <c r="C8" t="s">
        <v>349</v>
      </c>
      <c r="D8">
        <f>IF(E8 &gt; 2020, ((E8-2020)*4)+1610+G8,IF(E8 &gt; 1900, ((E8-1900)*10)+400+G8, ((E8-1730)*2)+G8))+VLOOKUP(I8,'ID Scheme'!$A$2:$B$7,2, FALSE)</f>
        <v>11301</v>
      </c>
      <c r="E8">
        <v>1930</v>
      </c>
      <c r="F8">
        <v>9</v>
      </c>
      <c r="G8">
        <v>1</v>
      </c>
      <c r="H8" t="s">
        <v>522</v>
      </c>
      <c r="I8" t="s">
        <v>137</v>
      </c>
      <c r="J8" t="s">
        <v>503</v>
      </c>
      <c r="K8">
        <v>24</v>
      </c>
      <c r="L8">
        <v>32</v>
      </c>
      <c r="M8">
        <v>26</v>
      </c>
      <c r="N8">
        <v>5</v>
      </c>
      <c r="O8">
        <v>24</v>
      </c>
      <c r="P8">
        <v>200</v>
      </c>
      <c r="Q8">
        <v>20</v>
      </c>
      <c r="R8">
        <v>60</v>
      </c>
      <c r="S8">
        <v>1</v>
      </c>
      <c r="T8" t="s">
        <v>289</v>
      </c>
      <c r="U8">
        <v>0</v>
      </c>
      <c r="V8" s="2" t="s">
        <v>430</v>
      </c>
      <c r="W8" s="2" t="s">
        <v>332</v>
      </c>
      <c r="X8" s="2"/>
      <c r="Y8" s="2" t="s">
        <v>332</v>
      </c>
      <c r="Z8" s="2" t="s">
        <v>332</v>
      </c>
      <c r="AA8" s="2"/>
      <c r="AB8" s="2"/>
      <c r="AC8" s="2"/>
      <c r="AD8" s="2" t="s">
        <v>392</v>
      </c>
      <c r="AE8" s="2"/>
      <c r="AH8">
        <v>1</v>
      </c>
      <c r="AJ8" t="s">
        <v>396</v>
      </c>
      <c r="AK8" t="s">
        <v>527</v>
      </c>
      <c r="AL8" t="s">
        <v>533</v>
      </c>
      <c r="AM8">
        <v>5</v>
      </c>
      <c r="AN8">
        <v>1</v>
      </c>
      <c r="AP8" s="2">
        <f>(SQRT(K8*R8)*POWER((MIN(M8,20)+SQRT(MAX(M8-20,0))),0.9)*Data!$B$1)*(1-(S8-1))</f>
        <v>46.808889320396581</v>
      </c>
      <c r="AQ8" s="2"/>
      <c r="AR8" s="2">
        <f>((POWER((K8*K8*R8), 0.33)*LOG10(P8)*10*Data!$B$1)*S8)+AQ8</f>
        <v>54.289129200123334</v>
      </c>
      <c r="AS8" s="2">
        <f t="shared" si="0"/>
        <v>19.35483870967742</v>
      </c>
      <c r="AT8" s="2">
        <f t="shared" si="1"/>
        <v>0</v>
      </c>
      <c r="AU8" s="2">
        <v>5</v>
      </c>
      <c r="AV8" s="2">
        <v>6</v>
      </c>
      <c r="AW8" s="2">
        <v>6</v>
      </c>
      <c r="AX8" s="2">
        <f t="shared" si="2"/>
        <v>10</v>
      </c>
      <c r="AY8" s="2">
        <f t="shared" si="3"/>
        <v>12</v>
      </c>
      <c r="AZ8">
        <v>7</v>
      </c>
      <c r="BB8" s="3"/>
      <c r="BC8" s="2" t="str">
        <f>CONCATENATE(
ROUND(AZ8*VLOOKUP(I8,'ID Scheme'!$A$2:$E$7,3),0), "x",
ROUND(BA8*VLOOKUP(I8,'ID Scheme'!$A$2:$E$7,5),0), "x",
ROUND(BB8*VLOOKUP(I8,'ID Scheme'!$A$2:$E$7,4),0))</f>
        <v>65x0x0</v>
      </c>
    </row>
    <row r="9" spans="1:56" x14ac:dyDescent="0.25">
      <c r="A9" t="s">
        <v>143</v>
      </c>
      <c r="B9" t="s">
        <v>237</v>
      </c>
      <c r="C9" t="s">
        <v>349</v>
      </c>
      <c r="D9">
        <f>IF(E9 &gt; 2020, ((E9-2020)*4)+1610+G9,IF(E9 &gt; 1900, ((E9-1900)*10)+400+G9, ((E9-1730)*2)+G9))+VLOOKUP(I9,'ID Scheme'!$A$2:$B$7,2, FALSE)</f>
        <v>11481</v>
      </c>
      <c r="E9">
        <v>1948</v>
      </c>
      <c r="F9">
        <v>1</v>
      </c>
      <c r="G9">
        <v>1</v>
      </c>
      <c r="H9" t="s">
        <v>522</v>
      </c>
      <c r="I9" t="s">
        <v>137</v>
      </c>
      <c r="J9" t="s">
        <v>503</v>
      </c>
      <c r="K9">
        <v>25</v>
      </c>
      <c r="L9">
        <v>-1</v>
      </c>
      <c r="M9">
        <v>30</v>
      </c>
      <c r="N9">
        <v>5</v>
      </c>
      <c r="O9">
        <v>22</v>
      </c>
      <c r="P9">
        <v>123</v>
      </c>
      <c r="Q9">
        <v>20</v>
      </c>
      <c r="R9">
        <v>60</v>
      </c>
      <c r="S9">
        <v>1</v>
      </c>
      <c r="T9" t="s">
        <v>290</v>
      </c>
      <c r="U9">
        <v>-1</v>
      </c>
      <c r="V9" s="2" t="s">
        <v>432</v>
      </c>
      <c r="W9" s="2" t="s">
        <v>332</v>
      </c>
      <c r="X9" s="2"/>
      <c r="Y9" s="2" t="s">
        <v>332</v>
      </c>
      <c r="Z9" s="2" t="s">
        <v>332</v>
      </c>
      <c r="AA9" s="2"/>
      <c r="AB9" s="2"/>
      <c r="AC9" s="2"/>
      <c r="AD9" s="2" t="s">
        <v>392</v>
      </c>
      <c r="AE9" s="2"/>
      <c r="AH9">
        <v>1</v>
      </c>
      <c r="AJ9" t="s">
        <v>396</v>
      </c>
      <c r="AK9" t="s">
        <v>405</v>
      </c>
      <c r="AL9" t="s">
        <v>534</v>
      </c>
      <c r="AM9">
        <v>4</v>
      </c>
      <c r="AN9">
        <v>1</v>
      </c>
      <c r="AP9" s="2">
        <f>(SQRT(K9*R9)*POWER((MIN(M9,20)+SQRT(MAX(M9-20,0))),0.9)*Data!$B$1)*(1-(S9-1))</f>
        <v>49.137157539542891</v>
      </c>
      <c r="AQ9" s="2"/>
      <c r="AR9" s="2">
        <f>((POWER((K9*K9*R9), 0.33)*LOG10(P9)*10*Data!$B$1)*S9)+AQ9</f>
        <v>50.654513648978117</v>
      </c>
      <c r="AS9" s="2">
        <f t="shared" si="0"/>
        <v>20.161290322580644</v>
      </c>
      <c r="AT9" s="2">
        <f t="shared" si="1"/>
        <v>0</v>
      </c>
      <c r="AU9" s="2">
        <v>5</v>
      </c>
      <c r="AV9" s="2">
        <v>6</v>
      </c>
      <c r="AW9" s="2">
        <v>6</v>
      </c>
      <c r="AX9" s="2">
        <f t="shared" si="2"/>
        <v>10</v>
      </c>
      <c r="AY9" s="2">
        <f t="shared" si="3"/>
        <v>12</v>
      </c>
      <c r="AZ9">
        <v>6</v>
      </c>
      <c r="BB9" s="3"/>
      <c r="BC9" s="2" t="str">
        <f>CONCATENATE(
ROUND(AZ9*VLOOKUP(I9,'ID Scheme'!$A$2:$E$7,3),0), "x",
ROUND(BA9*VLOOKUP(I9,'ID Scheme'!$A$2:$E$7,5),0), "x",
ROUND(BB9*VLOOKUP(I9,'ID Scheme'!$A$2:$E$7,4),0))</f>
        <v>56x0x0</v>
      </c>
    </row>
    <row r="10" spans="1:56" x14ac:dyDescent="0.25">
      <c r="A10" t="s">
        <v>142</v>
      </c>
      <c r="B10" t="s">
        <v>236</v>
      </c>
      <c r="C10" t="s">
        <v>349</v>
      </c>
      <c r="D10">
        <f>IF(E10 &gt; 2020, ((E10-2020)*4)+1610+G10,IF(E10 &gt; 1900, ((E10-1900)*10)+400+G10, ((E10-1730)*2)+G10))+VLOOKUP(I10,'ID Scheme'!$A$2:$B$7,2, FALSE)</f>
        <v>11522</v>
      </c>
      <c r="E10">
        <v>1952</v>
      </c>
      <c r="F10">
        <v>1</v>
      </c>
      <c r="G10">
        <v>2</v>
      </c>
      <c r="H10" t="s">
        <v>522</v>
      </c>
      <c r="I10" t="s">
        <v>137</v>
      </c>
      <c r="J10" t="s">
        <v>503</v>
      </c>
      <c r="K10">
        <v>27</v>
      </c>
      <c r="L10">
        <v>-1</v>
      </c>
      <c r="M10">
        <v>26</v>
      </c>
      <c r="N10">
        <v>5</v>
      </c>
      <c r="O10">
        <v>31</v>
      </c>
      <c r="P10">
        <v>152</v>
      </c>
      <c r="Q10">
        <v>20</v>
      </c>
      <c r="R10">
        <v>60</v>
      </c>
      <c r="S10">
        <v>1</v>
      </c>
      <c r="T10" t="s">
        <v>290</v>
      </c>
      <c r="U10">
        <v>-1</v>
      </c>
      <c r="V10" s="2" t="s">
        <v>431</v>
      </c>
      <c r="W10" s="2" t="s">
        <v>332</v>
      </c>
      <c r="X10" s="2"/>
      <c r="Y10" s="2" t="s">
        <v>332</v>
      </c>
      <c r="Z10" s="2" t="s">
        <v>332</v>
      </c>
      <c r="AA10" s="2"/>
      <c r="AB10" s="2"/>
      <c r="AC10" s="2"/>
      <c r="AD10" s="2" t="s">
        <v>392</v>
      </c>
      <c r="AE10" s="2"/>
      <c r="AH10">
        <v>1</v>
      </c>
      <c r="AJ10" t="s">
        <v>396</v>
      </c>
      <c r="AK10" t="s">
        <v>527</v>
      </c>
      <c r="AL10" t="s">
        <v>535</v>
      </c>
      <c r="AM10">
        <v>5</v>
      </c>
      <c r="AN10">
        <v>1</v>
      </c>
      <c r="AP10" s="2">
        <f>(SQRT(K10*R10)*POWER((MIN(M10,20)+SQRT(MAX(M10-20,0))),0.9)*Data!$B$1)*(1-(S10-1))</f>
        <v>49.648324587394477</v>
      </c>
      <c r="AQ10" s="2"/>
      <c r="AR10" s="2">
        <f>((POWER((K10*K10*R10), 0.33)*LOG10(P10)*10*Data!$B$1)*S10)+AQ10</f>
        <v>55.638430948840913</v>
      </c>
      <c r="AS10" s="2">
        <f t="shared" si="0"/>
        <v>21.774193548387096</v>
      </c>
      <c r="AT10" s="2">
        <f t="shared" si="1"/>
        <v>0</v>
      </c>
      <c r="AU10" s="2">
        <v>5</v>
      </c>
      <c r="AV10" s="2">
        <v>6</v>
      </c>
      <c r="AW10" s="2">
        <v>6</v>
      </c>
      <c r="AX10" s="2">
        <f t="shared" si="2"/>
        <v>10</v>
      </c>
      <c r="AY10" s="2">
        <f t="shared" si="3"/>
        <v>12</v>
      </c>
      <c r="AZ10">
        <v>7</v>
      </c>
      <c r="BB10" s="3"/>
      <c r="BC10" s="2" t="str">
        <f>CONCATENATE(
ROUND(AZ10*VLOOKUP(I10,'ID Scheme'!$A$2:$E$7,3),0), "x",
ROUND(BA10*VLOOKUP(I10,'ID Scheme'!$A$2:$E$7,5),0), "x",
ROUND(BB10*VLOOKUP(I10,'ID Scheme'!$A$2:$E$7,4),0))</f>
        <v>65x0x0</v>
      </c>
    </row>
    <row r="11" spans="1:56" x14ac:dyDescent="0.25">
      <c r="A11" t="s">
        <v>352</v>
      </c>
      <c r="B11" t="s">
        <v>351</v>
      </c>
      <c r="C11" t="s">
        <v>350</v>
      </c>
      <c r="D11">
        <v>0</v>
      </c>
      <c r="W11" t="s">
        <v>332</v>
      </c>
      <c r="AA11" t="s">
        <v>332</v>
      </c>
      <c r="AL11" t="s">
        <v>558</v>
      </c>
      <c r="AM11">
        <v>8</v>
      </c>
      <c r="AR11" s="2"/>
    </row>
    <row r="12" spans="1:56" x14ac:dyDescent="0.25">
      <c r="A12" t="s">
        <v>70</v>
      </c>
      <c r="B12" t="s">
        <v>230</v>
      </c>
      <c r="C12" t="s">
        <v>349</v>
      </c>
      <c r="D12">
        <f>IF(E12 &gt; 2020, ((E12-2020)*4)+1610+G12,IF(E12 &gt; 1900, ((E12-1900)*10)+400+G12, ((E12-1730)*2)+G12))+VLOOKUP(I12,'ID Scheme'!$A$2:$B$7,2, FALSE)</f>
        <v>3201</v>
      </c>
      <c r="E12">
        <v>1920</v>
      </c>
      <c r="F12">
        <v>4</v>
      </c>
      <c r="G12">
        <v>1</v>
      </c>
      <c r="H12" t="s">
        <v>523</v>
      </c>
      <c r="I12" t="s">
        <v>13</v>
      </c>
      <c r="J12" t="s">
        <v>502</v>
      </c>
      <c r="K12">
        <v>18</v>
      </c>
      <c r="L12">
        <v>20</v>
      </c>
      <c r="M12">
        <v>18</v>
      </c>
      <c r="N12">
        <v>5</v>
      </c>
      <c r="O12">
        <v>5</v>
      </c>
      <c r="P12">
        <v>80</v>
      </c>
      <c r="Q12">
        <v>20</v>
      </c>
      <c r="R12">
        <v>28</v>
      </c>
      <c r="S12">
        <v>1</v>
      </c>
      <c r="T12" t="s">
        <v>290</v>
      </c>
      <c r="U12">
        <v>-4</v>
      </c>
      <c r="V12" s="2" t="s">
        <v>480</v>
      </c>
      <c r="W12" s="2"/>
      <c r="X12" s="2"/>
      <c r="Y12" s="2"/>
      <c r="Z12" s="2"/>
      <c r="AA12" s="2" t="s">
        <v>332</v>
      </c>
      <c r="AB12" s="2"/>
      <c r="AC12" s="2"/>
      <c r="AD12" s="2" t="s">
        <v>351</v>
      </c>
      <c r="AE12" s="2"/>
      <c r="AH12" t="s">
        <v>400</v>
      </c>
      <c r="AJ12" t="s">
        <v>404</v>
      </c>
      <c r="AK12" t="s">
        <v>587</v>
      </c>
      <c r="AL12" t="s">
        <v>536</v>
      </c>
      <c r="AM12">
        <v>2</v>
      </c>
      <c r="AP12" s="2">
        <f>(SQRT(K12*R12)*POWER((MIN(M12,20)+SQRT(MAX(M12-20,0))),0.9)*Data!$B$1)*(1-(S12-1))</f>
        <v>22.69978721594271</v>
      </c>
      <c r="AQ12" s="2"/>
      <c r="AR12" s="2">
        <f>((POWER((K12*K12*R12), 0.33)*LOG10(P12)*10*Data!$B$1)*S12)+AQ12</f>
        <v>28.877699401096308</v>
      </c>
      <c r="AS12" s="2">
        <f>K12/1.24</f>
        <v>14.516129032258064</v>
      </c>
      <c r="AT12" s="2">
        <f>AF12/1.24</f>
        <v>0</v>
      </c>
      <c r="AV12" s="2">
        <v>2</v>
      </c>
      <c r="AW12" s="2">
        <v>2</v>
      </c>
      <c r="AX12" s="2">
        <f>R12/AW12</f>
        <v>14</v>
      </c>
      <c r="AY12" s="2">
        <f>(R12)/MAX(AV12-1, 1)</f>
        <v>28</v>
      </c>
      <c r="AZ12" s="3">
        <v>3.4</v>
      </c>
      <c r="BA12" s="3">
        <v>2</v>
      </c>
      <c r="BB12" s="3">
        <v>2.5</v>
      </c>
      <c r="BC12" s="2" t="str">
        <f>CONCATENATE(
ROUND(AZ12*VLOOKUP(I12,'ID Scheme'!$A$2:$E$7,3),0), "x",
ROUND(BA12*VLOOKUP(I12,'ID Scheme'!$A$2:$E$7,5),0), "x",
ROUND(BB12*VLOOKUP(I12,'ID Scheme'!$A$2:$E$7,4),0))</f>
        <v>32x29x24</v>
      </c>
    </row>
    <row r="13" spans="1:56" x14ac:dyDescent="0.25">
      <c r="A13" t="s">
        <v>493</v>
      </c>
      <c r="B13" t="s">
        <v>494</v>
      </c>
      <c r="C13" t="s">
        <v>349</v>
      </c>
      <c r="D13">
        <f>IF(E13 &gt; 2020, ((E13-2020)*4)+1610+G13,IF(E13 &gt; 1900, ((E13-1900)*10)+400+G13, ((E13-1730)*2)+G13))+VLOOKUP(I13,'ID Scheme'!$A$2:$B$7,2, FALSE)</f>
        <v>3321</v>
      </c>
      <c r="E13">
        <v>1932</v>
      </c>
      <c r="F13">
        <v>6</v>
      </c>
      <c r="G13">
        <v>1</v>
      </c>
      <c r="H13" t="s">
        <v>523</v>
      </c>
      <c r="I13" t="s">
        <v>13</v>
      </c>
      <c r="J13" t="s">
        <v>502</v>
      </c>
      <c r="K13">
        <v>32</v>
      </c>
      <c r="L13">
        <v>20</v>
      </c>
      <c r="M13">
        <v>15</v>
      </c>
      <c r="N13">
        <v>5</v>
      </c>
      <c r="O13">
        <v>4.5</v>
      </c>
      <c r="P13">
        <v>65</v>
      </c>
      <c r="Q13">
        <v>20</v>
      </c>
      <c r="R13">
        <v>30</v>
      </c>
      <c r="S13">
        <v>1</v>
      </c>
      <c r="T13" t="s">
        <v>290</v>
      </c>
      <c r="U13">
        <v>-4</v>
      </c>
      <c r="V13" s="2" t="s">
        <v>495</v>
      </c>
      <c r="W13" s="2"/>
      <c r="X13" s="2"/>
      <c r="Y13" s="2"/>
      <c r="Z13" s="2"/>
      <c r="AA13" s="2" t="s">
        <v>332</v>
      </c>
      <c r="AB13" s="2"/>
      <c r="AC13" s="2"/>
      <c r="AD13" s="2" t="s">
        <v>351</v>
      </c>
      <c r="AE13" s="2"/>
      <c r="AH13" t="s">
        <v>400</v>
      </c>
      <c r="AJ13" t="s">
        <v>404</v>
      </c>
      <c r="AK13" t="s">
        <v>587</v>
      </c>
      <c r="AL13" t="s">
        <v>537</v>
      </c>
      <c r="AM13">
        <v>2</v>
      </c>
      <c r="AP13" s="2">
        <f>(SQRT(K13*R13)*POWER((MIN(M13,20)+SQRT(MAX(M13-20,0))),0.9)*Data!$B$1)*(1-(S13-1))</f>
        <v>26.587592451565005</v>
      </c>
      <c r="AQ13" s="2"/>
      <c r="AR13" s="2">
        <f>((POWER((K13*K13*R13), 0.33)*LOG10(P13)*10*Data!$B$1)*S13)+AQ13</f>
        <v>41.142181123813366</v>
      </c>
      <c r="AS13" s="2">
        <f>K13/1.24</f>
        <v>25.806451612903228</v>
      </c>
      <c r="AT13" s="2">
        <f>AF13/1.24</f>
        <v>0</v>
      </c>
      <c r="AV13" s="2">
        <v>2</v>
      </c>
      <c r="AW13" s="2">
        <v>2</v>
      </c>
      <c r="AX13" s="2">
        <f>R13/AW13</f>
        <v>15</v>
      </c>
      <c r="AY13" s="2">
        <f>(R13)/MAX(AV13-1, 1)</f>
        <v>30</v>
      </c>
      <c r="AZ13" s="3">
        <v>3.4</v>
      </c>
      <c r="BA13" s="3">
        <v>2</v>
      </c>
      <c r="BB13" s="3">
        <v>2.5</v>
      </c>
      <c r="BC13" s="2" t="str">
        <f>CONCATENATE(
ROUND(AZ13*VLOOKUP(I13,'ID Scheme'!$A$2:$E$7,3),0), "x",
ROUND(BA13*VLOOKUP(I13,'ID Scheme'!$A$2:$E$7,5),0), "x",
ROUND(BB13*VLOOKUP(I13,'ID Scheme'!$A$2:$E$7,4),0))</f>
        <v>32x29x24</v>
      </c>
    </row>
    <row r="14" spans="1:56" x14ac:dyDescent="0.25">
      <c r="A14" t="s">
        <v>355</v>
      </c>
      <c r="B14" t="s">
        <v>353</v>
      </c>
      <c r="C14" t="s">
        <v>350</v>
      </c>
      <c r="D14">
        <v>0</v>
      </c>
      <c r="W14" t="s">
        <v>332</v>
      </c>
      <c r="X14" t="s">
        <v>332</v>
      </c>
      <c r="AL14" t="s">
        <v>556</v>
      </c>
      <c r="AM14">
        <v>8</v>
      </c>
      <c r="AR14" s="2"/>
    </row>
    <row r="15" spans="1:56" x14ac:dyDescent="0.25">
      <c r="A15" t="s">
        <v>2</v>
      </c>
      <c r="B15" t="s">
        <v>208</v>
      </c>
      <c r="C15" t="s">
        <v>349</v>
      </c>
      <c r="D15">
        <f>IF(E15 &gt; 2020, ((E15-2020)*4)+1610+G15,IF(E15 &gt; 1900, ((E15-1900)*10)+400+G15, ((E15-1730)*2)+G15))+VLOOKUP(I15,'ID Scheme'!$A$2:$B$7,2, FALSE)</f>
        <v>3651</v>
      </c>
      <c r="E15">
        <v>1965</v>
      </c>
      <c r="F15">
        <v>6</v>
      </c>
      <c r="G15">
        <v>1</v>
      </c>
      <c r="H15" t="s">
        <v>523</v>
      </c>
      <c r="I15" t="s">
        <v>13</v>
      </c>
      <c r="J15" t="s">
        <v>502</v>
      </c>
      <c r="K15">
        <v>55</v>
      </c>
      <c r="L15">
        <v>20</v>
      </c>
      <c r="M15">
        <v>15</v>
      </c>
      <c r="N15">
        <v>5</v>
      </c>
      <c r="O15">
        <v>9.5</v>
      </c>
      <c r="P15">
        <v>140</v>
      </c>
      <c r="Q15">
        <v>20</v>
      </c>
      <c r="R15">
        <v>36</v>
      </c>
      <c r="S15">
        <v>1</v>
      </c>
      <c r="T15" t="s">
        <v>290</v>
      </c>
      <c r="U15">
        <v>-4</v>
      </c>
      <c r="V15" s="2" t="s">
        <v>474</v>
      </c>
      <c r="W15" s="2"/>
      <c r="X15" s="2" t="s">
        <v>332</v>
      </c>
      <c r="Y15" s="2"/>
      <c r="Z15" s="2"/>
      <c r="AA15" s="2"/>
      <c r="AB15" s="2"/>
      <c r="AC15" s="2"/>
      <c r="AD15" s="2" t="s">
        <v>353</v>
      </c>
      <c r="AE15" s="2"/>
      <c r="AH15">
        <v>1</v>
      </c>
      <c r="AJ15" t="s">
        <v>409</v>
      </c>
      <c r="AK15" t="s">
        <v>586</v>
      </c>
      <c r="AL15" t="s">
        <v>538</v>
      </c>
      <c r="AM15">
        <v>2</v>
      </c>
      <c r="AP15" s="2">
        <f>(SQRT(K15*R15)*POWER((MIN(M15,20)+SQRT(MAX(M15-20,0))),0.9)*Data!$B$1)*(1-(S15-1))</f>
        <v>38.183522614659189</v>
      </c>
      <c r="AQ15" s="2"/>
      <c r="AR15" s="2">
        <f>((POWER((K15*K15*R15), 0.33)*LOG10(P15)*10*Data!$B$1)*S15)+AQ15</f>
        <v>73.949644689024566</v>
      </c>
      <c r="AS15" s="2">
        <f t="shared" ref="AS15:AS20" si="4">K15/1.24</f>
        <v>44.354838709677416</v>
      </c>
      <c r="AT15" s="2">
        <f t="shared" ref="AT15:AT20" si="5">AF15/1.24</f>
        <v>0</v>
      </c>
      <c r="AV15" s="2">
        <v>2</v>
      </c>
      <c r="AW15" s="2">
        <v>3</v>
      </c>
      <c r="AX15" s="2">
        <f t="shared" ref="AX15:AX20" si="6">R15/AW15</f>
        <v>12</v>
      </c>
      <c r="AY15" s="2">
        <f t="shared" ref="AY15:AY20" si="7">(R15)/MAX(AV15-1, 1)</f>
        <v>36</v>
      </c>
      <c r="AZ15" s="3"/>
      <c r="BA15" s="3"/>
      <c r="BB15" s="3"/>
      <c r="BC15" s="2" t="str">
        <f>CONCATENATE(
ROUND(AZ15*VLOOKUP(I15,'ID Scheme'!$A$2:$E$7,3),0), "x",
ROUND(BA15*VLOOKUP(I15,'ID Scheme'!$A$2:$E$7,5),0), "x",
ROUND(BB15*VLOOKUP(I15,'ID Scheme'!$A$2:$E$7,4),0))</f>
        <v>0x0x0</v>
      </c>
    </row>
    <row r="16" spans="1:56" x14ac:dyDescent="0.25">
      <c r="A16" t="s">
        <v>19</v>
      </c>
      <c r="B16" t="s">
        <v>226</v>
      </c>
      <c r="C16" t="s">
        <v>349</v>
      </c>
      <c r="D16">
        <f>IF(E16 &gt; 2020, ((E16-2020)*4)+1610+G16,IF(E16 &gt; 1900, ((E16-1900)*10)+400+G16, ((E16-1730)*2)+G16))+VLOOKUP(I16,'ID Scheme'!$A$2:$B$7,2, FALSE)</f>
        <v>3641</v>
      </c>
      <c r="E16">
        <v>1964</v>
      </c>
      <c r="F16">
        <v>9</v>
      </c>
      <c r="G16">
        <v>1</v>
      </c>
      <c r="H16" t="s">
        <v>523</v>
      </c>
      <c r="I16" t="s">
        <v>13</v>
      </c>
      <c r="J16" t="s">
        <v>502</v>
      </c>
      <c r="K16">
        <v>57</v>
      </c>
      <c r="L16">
        <v>20</v>
      </c>
      <c r="M16">
        <v>15</v>
      </c>
      <c r="N16">
        <v>5</v>
      </c>
      <c r="O16">
        <v>9.5</v>
      </c>
      <c r="P16">
        <v>192</v>
      </c>
      <c r="Q16">
        <v>20</v>
      </c>
      <c r="R16">
        <v>36</v>
      </c>
      <c r="S16">
        <v>1</v>
      </c>
      <c r="T16" t="s">
        <v>290</v>
      </c>
      <c r="U16">
        <v>-4</v>
      </c>
      <c r="V16" s="2" t="s">
        <v>343</v>
      </c>
      <c r="W16" s="2"/>
      <c r="X16" s="2" t="s">
        <v>332</v>
      </c>
      <c r="Y16" s="2"/>
      <c r="Z16" s="2"/>
      <c r="AA16" s="2"/>
      <c r="AB16" s="2"/>
      <c r="AC16" s="2"/>
      <c r="AD16" s="2" t="s">
        <v>353</v>
      </c>
      <c r="AE16" s="2"/>
      <c r="AF16">
        <v>56</v>
      </c>
      <c r="AH16">
        <v>1</v>
      </c>
      <c r="AJ16" t="s">
        <v>409</v>
      </c>
      <c r="AK16" t="s">
        <v>586</v>
      </c>
      <c r="AL16" t="s">
        <v>539</v>
      </c>
      <c r="AM16">
        <v>2</v>
      </c>
      <c r="AP16" s="2">
        <f>(SQRT(K16*R16)*POWER((MIN(M16,20)+SQRT(MAX(M16-20,0))),0.9)*Data!$B$1)*(1-(S16-1))</f>
        <v>38.871569362349888</v>
      </c>
      <c r="AQ16" s="2"/>
      <c r="AR16" s="2">
        <f>((POWER((K16*K16*R16), 0.33)*LOG10(P16)*10*Data!$B$1)*S16)+AQ16</f>
        <v>80.552997117621018</v>
      </c>
      <c r="AS16" s="2">
        <f t="shared" si="4"/>
        <v>45.967741935483872</v>
      </c>
      <c r="AT16" s="2">
        <f t="shared" si="5"/>
        <v>45.161290322580648</v>
      </c>
      <c r="AV16" s="2">
        <v>2</v>
      </c>
      <c r="AW16" s="2">
        <v>3</v>
      </c>
      <c r="AX16" s="2">
        <f t="shared" si="6"/>
        <v>12</v>
      </c>
      <c r="AY16" s="2">
        <f t="shared" si="7"/>
        <v>36</v>
      </c>
      <c r="AZ16" s="3"/>
      <c r="BA16" s="3"/>
      <c r="BB16" s="3"/>
      <c r="BC16" s="2" t="str">
        <f>CONCATENATE(
ROUND(AZ16*VLOOKUP(I16,'ID Scheme'!$A$2:$E$7,3),0), "x",
ROUND(BA16*VLOOKUP(I16,'ID Scheme'!$A$2:$E$7,5),0), "x",
ROUND(BB16*VLOOKUP(I16,'ID Scheme'!$A$2:$E$7,4),0))</f>
        <v>0x0x0</v>
      </c>
    </row>
    <row r="17" spans="1:56" x14ac:dyDescent="0.25">
      <c r="A17" t="s">
        <v>613</v>
      </c>
      <c r="B17" t="s">
        <v>614</v>
      </c>
      <c r="C17" t="s">
        <v>349</v>
      </c>
      <c r="D17">
        <f>IF(E17 &gt; 2020, ((E17-2020)*4)+1610+G17,IF(E17 &gt; 1900, ((E17-1900)*10)+400+G17, ((E17-1730)*2)+G17))+VLOOKUP(I17,'ID Scheme'!$A$2:$B$7,2, FALSE)</f>
        <v>3721</v>
      </c>
      <c r="E17">
        <v>1972</v>
      </c>
      <c r="F17">
        <v>3</v>
      </c>
      <c r="G17">
        <v>1</v>
      </c>
      <c r="H17" t="s">
        <v>523</v>
      </c>
      <c r="I17" t="s">
        <v>13</v>
      </c>
      <c r="J17" t="s">
        <v>502</v>
      </c>
      <c r="K17">
        <v>55</v>
      </c>
      <c r="L17">
        <v>22</v>
      </c>
      <c r="M17">
        <v>18</v>
      </c>
      <c r="N17">
        <v>5</v>
      </c>
      <c r="O17">
        <v>9.5</v>
      </c>
      <c r="P17">
        <v>220</v>
      </c>
      <c r="Q17">
        <v>20</v>
      </c>
      <c r="R17">
        <v>39</v>
      </c>
      <c r="S17">
        <v>1</v>
      </c>
      <c r="T17" t="s">
        <v>290</v>
      </c>
      <c r="U17">
        <v>-4</v>
      </c>
      <c r="V17" s="2" t="s">
        <v>618</v>
      </c>
      <c r="W17" s="2"/>
      <c r="X17" s="2" t="s">
        <v>332</v>
      </c>
      <c r="Y17" s="2"/>
      <c r="Z17" s="2"/>
      <c r="AA17" s="2"/>
      <c r="AB17" s="2"/>
      <c r="AC17" s="2"/>
      <c r="AD17" s="2" t="s">
        <v>353</v>
      </c>
      <c r="AE17" s="2"/>
      <c r="AF17">
        <v>56</v>
      </c>
      <c r="AH17">
        <v>1</v>
      </c>
      <c r="AJ17" t="s">
        <v>409</v>
      </c>
      <c r="AK17" t="s">
        <v>586</v>
      </c>
      <c r="AL17" t="s">
        <v>619</v>
      </c>
      <c r="AM17">
        <v>2</v>
      </c>
      <c r="AP17" s="2">
        <f>(SQRT(K17*R17)*POWER((MIN(M17,20)+SQRT(MAX(M17-20,0))),0.9)*Data!$B$1)*(1-(S17-1))</f>
        <v>46.82956959430053</v>
      </c>
      <c r="AQ17" s="2"/>
      <c r="AR17" s="2">
        <f>((POWER((K17*K17*R17), 0.33)*LOG10(P17)*10*Data!$B$1)*S17)+AQ17</f>
        <v>82.873794341980769</v>
      </c>
      <c r="AS17" s="2">
        <f t="shared" si="4"/>
        <v>44.354838709677416</v>
      </c>
      <c r="AT17" s="2">
        <f t="shared" si="5"/>
        <v>45.161290322580648</v>
      </c>
      <c r="AV17" s="2">
        <v>2</v>
      </c>
      <c r="AW17" s="2">
        <v>3</v>
      </c>
      <c r="AX17" s="2">
        <f t="shared" si="6"/>
        <v>13</v>
      </c>
      <c r="AY17" s="2">
        <f t="shared" si="7"/>
        <v>39</v>
      </c>
      <c r="AZ17" s="3"/>
      <c r="BA17" s="3"/>
      <c r="BB17" s="3"/>
      <c r="BC17" s="2" t="str">
        <f>CONCATENATE(
ROUND(AZ17*VLOOKUP(I17,'ID Scheme'!$A$2:$E$7,3),0), "x",
ROUND(BA17*VLOOKUP(I17,'ID Scheme'!$A$2:$E$7,5),0), "x",
ROUND(BB17*VLOOKUP(I17,'ID Scheme'!$A$2:$E$7,4),0))</f>
        <v>0x0x0</v>
      </c>
    </row>
    <row r="18" spans="1:56" x14ac:dyDescent="0.25">
      <c r="A18" t="s">
        <v>95</v>
      </c>
      <c r="B18" t="s">
        <v>223</v>
      </c>
      <c r="C18" t="s">
        <v>349</v>
      </c>
      <c r="D18">
        <f>IF(E18 &gt; 2020, ((E18-2020)*4)+1610+G18,IF(E18 &gt; 1900, ((E18-1900)*10)+400+G18, ((E18-1730)*2)+G18))+VLOOKUP(I18,'ID Scheme'!$A$2:$B$7,2, FALSE)</f>
        <v>3771</v>
      </c>
      <c r="E18">
        <v>1977</v>
      </c>
      <c r="F18">
        <v>1</v>
      </c>
      <c r="G18">
        <v>1</v>
      </c>
      <c r="H18" t="s">
        <v>523</v>
      </c>
      <c r="I18" t="s">
        <v>13</v>
      </c>
      <c r="J18" t="s">
        <v>502</v>
      </c>
      <c r="K18">
        <v>60</v>
      </c>
      <c r="L18">
        <v>16</v>
      </c>
      <c r="M18">
        <v>18</v>
      </c>
      <c r="N18">
        <v>5</v>
      </c>
      <c r="O18">
        <v>9.5</v>
      </c>
      <c r="P18">
        <v>280</v>
      </c>
      <c r="Q18">
        <v>20</v>
      </c>
      <c r="R18">
        <v>39</v>
      </c>
      <c r="S18">
        <v>1</v>
      </c>
      <c r="T18" t="s">
        <v>290</v>
      </c>
      <c r="U18">
        <v>-3</v>
      </c>
      <c r="V18" s="2" t="s">
        <v>476</v>
      </c>
      <c r="W18" s="2"/>
      <c r="X18" s="2" t="s">
        <v>332</v>
      </c>
      <c r="Y18" s="2"/>
      <c r="Z18" s="2"/>
      <c r="AA18" s="2"/>
      <c r="AB18" s="2"/>
      <c r="AC18" s="2"/>
      <c r="AD18" s="2" t="s">
        <v>353</v>
      </c>
      <c r="AE18" s="2"/>
      <c r="AF18">
        <v>56</v>
      </c>
      <c r="AH18">
        <v>1</v>
      </c>
      <c r="AJ18" t="s">
        <v>409</v>
      </c>
      <c r="AK18" t="s">
        <v>586</v>
      </c>
      <c r="AL18" t="s">
        <v>540</v>
      </c>
      <c r="AM18">
        <v>2</v>
      </c>
      <c r="AP18" s="2">
        <f>(SQRT(K18*R18)*POWER((MIN(M18,20)+SQRT(MAX(M18-20,0))),0.9)*Data!$B$1)*(1-(S18-1))</f>
        <v>48.911890226340333</v>
      </c>
      <c r="AQ18" s="2"/>
      <c r="AR18" s="2">
        <f>((POWER((K18*K18*R18), 0.33)*LOG10(P18)*10*Data!$B$1)*S18)+AQ18</f>
        <v>91.696851682976998</v>
      </c>
      <c r="AS18" s="2">
        <f t="shared" si="4"/>
        <v>48.387096774193552</v>
      </c>
      <c r="AT18" s="2">
        <f t="shared" si="5"/>
        <v>45.161290322580648</v>
      </c>
      <c r="AV18" s="2">
        <v>2</v>
      </c>
      <c r="AW18" s="2">
        <v>3</v>
      </c>
      <c r="AX18" s="2">
        <f t="shared" si="6"/>
        <v>13</v>
      </c>
      <c r="AY18" s="2">
        <f t="shared" si="7"/>
        <v>39</v>
      </c>
      <c r="AZ18" s="3"/>
      <c r="BA18" s="3"/>
      <c r="BB18" s="3"/>
      <c r="BC18" s="2" t="str">
        <f>CONCATENATE(
ROUND(AZ18*VLOOKUP(I18,'ID Scheme'!$A$2:$E$7,3),0), "x",
ROUND(BA18*VLOOKUP(I18,'ID Scheme'!$A$2:$E$7,5),0), "x",
ROUND(BB18*VLOOKUP(I18,'ID Scheme'!$A$2:$E$7,4),0))</f>
        <v>0x0x0</v>
      </c>
      <c r="BD18" t="s">
        <v>96</v>
      </c>
    </row>
    <row r="19" spans="1:56" x14ac:dyDescent="0.25">
      <c r="A19" t="s">
        <v>5</v>
      </c>
      <c r="B19" t="s">
        <v>191</v>
      </c>
      <c r="C19" t="s">
        <v>349</v>
      </c>
      <c r="D19">
        <f>IF(E19 &gt; 2020, ((E19-2020)*4)+1610+G19,IF(E19 &gt; 1900, ((E19-1900)*10)+400+G19, ((E19-1730)*2)+G19))+VLOOKUP(I19,'ID Scheme'!$A$2:$B$7,2, FALSE)</f>
        <v>3681</v>
      </c>
      <c r="E19">
        <v>1968</v>
      </c>
      <c r="F19">
        <v>1</v>
      </c>
      <c r="G19">
        <v>1</v>
      </c>
      <c r="H19" t="s">
        <v>523</v>
      </c>
      <c r="I19" t="s">
        <v>13</v>
      </c>
      <c r="J19" t="s">
        <v>502</v>
      </c>
      <c r="K19">
        <v>68</v>
      </c>
      <c r="L19">
        <v>10</v>
      </c>
      <c r="M19">
        <v>15</v>
      </c>
      <c r="N19">
        <v>5</v>
      </c>
      <c r="O19">
        <v>10</v>
      </c>
      <c r="P19">
        <v>247</v>
      </c>
      <c r="Q19">
        <v>25</v>
      </c>
      <c r="R19">
        <v>36</v>
      </c>
      <c r="S19">
        <v>1</v>
      </c>
      <c r="T19" t="s">
        <v>296</v>
      </c>
      <c r="U19">
        <v>-3</v>
      </c>
      <c r="V19" s="2" t="s">
        <v>475</v>
      </c>
      <c r="W19" s="2"/>
      <c r="X19" s="2" t="s">
        <v>332</v>
      </c>
      <c r="Y19" s="2"/>
      <c r="Z19" s="2"/>
      <c r="AA19" s="2"/>
      <c r="AB19" s="2"/>
      <c r="AC19" s="2"/>
      <c r="AD19" s="2" t="s">
        <v>353</v>
      </c>
      <c r="AE19" s="2"/>
      <c r="AF19">
        <v>56</v>
      </c>
      <c r="AH19">
        <v>1</v>
      </c>
      <c r="AJ19" t="s">
        <v>409</v>
      </c>
      <c r="AK19" t="s">
        <v>586</v>
      </c>
      <c r="AL19" t="s">
        <v>541</v>
      </c>
      <c r="AM19">
        <v>2</v>
      </c>
      <c r="AP19" s="2">
        <f>(SQRT(K19*R19)*POWER((MIN(M19,20)+SQRT(MAX(M19-20,0))),0.9)*Data!$B$1)*(1-(S19-1))</f>
        <v>42.456980398337514</v>
      </c>
      <c r="AQ19" s="2">
        <v>15</v>
      </c>
      <c r="AR19" s="2">
        <f>((POWER((K19*K19*R19), 0.33)*LOG10(P19)*10*Data!$B$1)*S19)+AQ19</f>
        <v>109.83849808071786</v>
      </c>
      <c r="AS19" s="2">
        <f t="shared" si="4"/>
        <v>54.838709677419352</v>
      </c>
      <c r="AT19" s="2">
        <f t="shared" si="5"/>
        <v>45.161290322580648</v>
      </c>
      <c r="AV19" s="2">
        <v>2</v>
      </c>
      <c r="AW19" s="2">
        <v>3</v>
      </c>
      <c r="AX19" s="2">
        <f t="shared" si="6"/>
        <v>12</v>
      </c>
      <c r="AY19" s="2">
        <f t="shared" si="7"/>
        <v>36</v>
      </c>
      <c r="AZ19" s="3"/>
      <c r="BA19" s="3"/>
      <c r="BB19" s="3"/>
      <c r="BC19" s="2" t="str">
        <f>CONCATENATE(
ROUND(AZ19*VLOOKUP(I19,'ID Scheme'!$A$2:$E$7,3),0), "x",
ROUND(BA19*VLOOKUP(I19,'ID Scheme'!$A$2:$E$7,5),0), "x",
ROUND(BB19*VLOOKUP(I19,'ID Scheme'!$A$2:$E$7,4),0))</f>
        <v>0x0x0</v>
      </c>
    </row>
    <row r="20" spans="1:56" x14ac:dyDescent="0.25">
      <c r="A20" t="s">
        <v>6</v>
      </c>
      <c r="B20" t="s">
        <v>211</v>
      </c>
      <c r="C20" t="s">
        <v>349</v>
      </c>
      <c r="D20">
        <f>IF(E20 &gt; 2020, ((E20-2020)*4)+1610+G20,IF(E20 &gt; 1900, ((E20-1900)*10)+400+G20, ((E20-1730)*2)+G20))+VLOOKUP(I20,'ID Scheme'!$A$2:$B$7,2, FALSE)</f>
        <v>3801</v>
      </c>
      <c r="E20">
        <v>1980</v>
      </c>
      <c r="F20">
        <v>1</v>
      </c>
      <c r="G20">
        <v>1</v>
      </c>
      <c r="H20" t="s">
        <v>523</v>
      </c>
      <c r="I20" t="s">
        <v>13</v>
      </c>
      <c r="J20" t="s">
        <v>502</v>
      </c>
      <c r="K20">
        <v>62</v>
      </c>
      <c r="L20">
        <v>20</v>
      </c>
      <c r="M20">
        <v>17</v>
      </c>
      <c r="N20">
        <v>5</v>
      </c>
      <c r="O20">
        <v>11.5</v>
      </c>
      <c r="P20">
        <v>350</v>
      </c>
      <c r="Q20">
        <v>20</v>
      </c>
      <c r="R20">
        <v>42</v>
      </c>
      <c r="S20">
        <v>1</v>
      </c>
      <c r="T20" t="s">
        <v>300</v>
      </c>
      <c r="U20">
        <v>-3</v>
      </c>
      <c r="V20" s="2" t="s">
        <v>477</v>
      </c>
      <c r="W20" s="2"/>
      <c r="X20" s="2" t="s">
        <v>332</v>
      </c>
      <c r="Y20" s="2"/>
      <c r="Z20" s="2"/>
      <c r="AA20" s="2"/>
      <c r="AB20" s="2"/>
      <c r="AC20" s="2"/>
      <c r="AD20" s="2" t="s">
        <v>353</v>
      </c>
      <c r="AE20" s="2"/>
      <c r="AF20">
        <v>56</v>
      </c>
      <c r="AH20">
        <v>1</v>
      </c>
      <c r="AJ20" t="s">
        <v>409</v>
      </c>
      <c r="AK20" t="s">
        <v>586</v>
      </c>
      <c r="AL20" t="s">
        <v>542</v>
      </c>
      <c r="AM20">
        <v>2</v>
      </c>
      <c r="AP20" s="2">
        <f>(SQRT(K20*R20)*POWER((MIN(M20,20)+SQRT(MAX(M20-20,0))),0.9)*Data!$B$1)*(1-(S20-1))</f>
        <v>49.010121885450587</v>
      </c>
      <c r="AQ20" s="2"/>
      <c r="AR20" s="2">
        <f>((POWER((K20*K20*R20), 0.33)*LOG10(P20)*10*Data!$B$1)*S20)+AQ20</f>
        <v>99.825332904493919</v>
      </c>
      <c r="AS20" s="2">
        <f t="shared" si="4"/>
        <v>50</v>
      </c>
      <c r="AT20" s="2">
        <f t="shared" si="5"/>
        <v>45.161290322580648</v>
      </c>
      <c r="AV20" s="2">
        <v>2</v>
      </c>
      <c r="AW20" s="2">
        <v>3</v>
      </c>
      <c r="AX20" s="2">
        <f t="shared" si="6"/>
        <v>14</v>
      </c>
      <c r="AY20" s="2">
        <f t="shared" si="7"/>
        <v>42</v>
      </c>
      <c r="AZ20" s="3"/>
      <c r="BA20" s="3"/>
      <c r="BB20" s="3"/>
      <c r="BC20" s="2" t="str">
        <f>CONCATENATE(
ROUND(AZ20*VLOOKUP(I20,'ID Scheme'!$A$2:$E$7,3),0), "x",
ROUND(BA20*VLOOKUP(I20,'ID Scheme'!$A$2:$E$7,5),0), "x",
ROUND(BB20*VLOOKUP(I20,'ID Scheme'!$A$2:$E$7,4),0))</f>
        <v>0x0x0</v>
      </c>
    </row>
    <row r="21" spans="1:56" x14ac:dyDescent="0.25">
      <c r="A21" t="s">
        <v>356</v>
      </c>
      <c r="B21" t="s">
        <v>354</v>
      </c>
      <c r="C21" t="s">
        <v>350</v>
      </c>
      <c r="D21">
        <v>0</v>
      </c>
      <c r="W21" t="s">
        <v>332</v>
      </c>
      <c r="X21" t="s">
        <v>332</v>
      </c>
      <c r="AL21" t="s">
        <v>557</v>
      </c>
      <c r="AM21">
        <v>8</v>
      </c>
      <c r="AR21" s="2"/>
    </row>
    <row r="22" spans="1:56" x14ac:dyDescent="0.25">
      <c r="A22" t="s">
        <v>16</v>
      </c>
      <c r="B22" t="s">
        <v>231</v>
      </c>
      <c r="C22" t="s">
        <v>349</v>
      </c>
      <c r="D22">
        <f>IF(E22 &gt; 2020, ((E22-2020)*4)+1610+G22,IF(E22 &gt; 1900, ((E22-1900)*10)+400+G22, ((E22-1730)*2)+G22))+VLOOKUP(I22,'ID Scheme'!$A$2:$B$7,2, FALSE)</f>
        <v>3871</v>
      </c>
      <c r="E22">
        <v>1987</v>
      </c>
      <c r="F22">
        <v>1</v>
      </c>
      <c r="G22">
        <v>1</v>
      </c>
      <c r="H22" t="s">
        <v>523</v>
      </c>
      <c r="I22" t="s">
        <v>13</v>
      </c>
      <c r="J22" t="s">
        <v>502</v>
      </c>
      <c r="K22">
        <v>65</v>
      </c>
      <c r="L22">
        <v>14</v>
      </c>
      <c r="M22">
        <v>15</v>
      </c>
      <c r="N22">
        <v>5</v>
      </c>
      <c r="O22">
        <v>12</v>
      </c>
      <c r="P22">
        <v>420</v>
      </c>
      <c r="Q22">
        <v>18</v>
      </c>
      <c r="R22">
        <v>45</v>
      </c>
      <c r="S22">
        <v>1</v>
      </c>
      <c r="T22" t="s">
        <v>300</v>
      </c>
      <c r="U22">
        <v>-3</v>
      </c>
      <c r="V22" s="2" t="s">
        <v>468</v>
      </c>
      <c r="W22" s="2"/>
      <c r="X22" s="2" t="s">
        <v>332</v>
      </c>
      <c r="Y22" s="2"/>
      <c r="Z22" s="2"/>
      <c r="AA22" s="2"/>
      <c r="AB22" s="2"/>
      <c r="AC22" s="2"/>
      <c r="AD22" s="2" t="s">
        <v>354</v>
      </c>
      <c r="AE22" s="2"/>
      <c r="AF22">
        <v>56</v>
      </c>
      <c r="AH22">
        <v>1</v>
      </c>
      <c r="AJ22" t="s">
        <v>409</v>
      </c>
      <c r="AK22" t="s">
        <v>586</v>
      </c>
      <c r="AL22" t="s">
        <v>543</v>
      </c>
      <c r="AM22">
        <v>2</v>
      </c>
      <c r="AP22" s="2">
        <f>(SQRT(K22*R22)*POWER((MIN(M22,20)+SQRT(MAX(M22-20,0))),0.9)*Data!$B$1)*(1-(S22-1))</f>
        <v>46.409440397444101</v>
      </c>
      <c r="AQ22" s="2"/>
      <c r="AR22" s="2">
        <f>((POWER((K22*K22*R22), 0.33)*LOG10(P22)*10*Data!$B$1)*S22)+AQ22</f>
        <v>108.63850295590133</v>
      </c>
      <c r="AS22" s="2">
        <f>K22/1.24</f>
        <v>52.41935483870968</v>
      </c>
      <c r="AT22" s="2">
        <f>AF22/1.24</f>
        <v>45.161290322580648</v>
      </c>
      <c r="AV22" s="2">
        <v>2</v>
      </c>
      <c r="AW22" s="2">
        <v>3</v>
      </c>
      <c r="AX22" s="2">
        <f>R22/AW22</f>
        <v>15</v>
      </c>
      <c r="AY22" s="2">
        <f>(R22)/MAX(AV22-1, 1)</f>
        <v>45</v>
      </c>
      <c r="AZ22" s="3"/>
      <c r="BA22" s="3"/>
      <c r="BB22" s="3"/>
      <c r="BC22" s="2" t="str">
        <f>CONCATENATE(
ROUND(AZ22*VLOOKUP(I22,'ID Scheme'!$A$2:$E$7,3),0), "x",
ROUND(BA22*VLOOKUP(I22,'ID Scheme'!$A$2:$E$7,5),0), "x",
ROUND(BB22*VLOOKUP(I22,'ID Scheme'!$A$2:$E$7,4),0))</f>
        <v>0x0x0</v>
      </c>
    </row>
    <row r="23" spans="1:56" x14ac:dyDescent="0.25">
      <c r="A23" t="s">
        <v>17</v>
      </c>
      <c r="B23" t="s">
        <v>232</v>
      </c>
      <c r="C23" t="s">
        <v>349</v>
      </c>
      <c r="D23">
        <f>IF(E23 &gt; 2020, ((E23-2020)*4)+1610+G23,IF(E23 &gt; 1900, ((E23-1900)*10)+400+G23, ((E23-1730)*2)+G23))+VLOOKUP(I23,'ID Scheme'!$A$2:$B$7,2, FALSE)</f>
        <v>3951</v>
      </c>
      <c r="E23">
        <v>1995</v>
      </c>
      <c r="F23">
        <v>6</v>
      </c>
      <c r="G23">
        <v>1</v>
      </c>
      <c r="H23" t="s">
        <v>523</v>
      </c>
      <c r="I23" t="s">
        <v>13</v>
      </c>
      <c r="J23" t="s">
        <v>502</v>
      </c>
      <c r="K23">
        <v>68</v>
      </c>
      <c r="L23">
        <v>12</v>
      </c>
      <c r="M23">
        <v>15</v>
      </c>
      <c r="N23">
        <v>5</v>
      </c>
      <c r="O23">
        <v>12.5</v>
      </c>
      <c r="P23">
        <v>420</v>
      </c>
      <c r="Q23">
        <v>20</v>
      </c>
      <c r="R23">
        <v>48</v>
      </c>
      <c r="S23">
        <v>1</v>
      </c>
      <c r="T23" t="s">
        <v>300</v>
      </c>
      <c r="U23">
        <v>-3</v>
      </c>
      <c r="V23" s="2" t="s">
        <v>469</v>
      </c>
      <c r="W23" s="2"/>
      <c r="X23" s="2" t="s">
        <v>332</v>
      </c>
      <c r="Y23" s="2"/>
      <c r="Z23" s="2"/>
      <c r="AA23" s="2"/>
      <c r="AB23" s="2"/>
      <c r="AC23" s="2"/>
      <c r="AD23" s="2" t="s">
        <v>354</v>
      </c>
      <c r="AE23" s="2"/>
      <c r="AF23">
        <v>56</v>
      </c>
      <c r="AH23">
        <v>1</v>
      </c>
      <c r="AJ23" t="s">
        <v>409</v>
      </c>
      <c r="AK23" t="s">
        <v>586</v>
      </c>
      <c r="AL23" t="s">
        <v>544</v>
      </c>
      <c r="AM23">
        <v>2</v>
      </c>
      <c r="AP23" s="2">
        <f>(SQRT(K23*R23)*POWER((MIN(M23,20)+SQRT(MAX(M23-20,0))),0.9)*Data!$B$1)*(1-(S23-1))</f>
        <v>49.025098123917665</v>
      </c>
      <c r="AQ23" s="2"/>
      <c r="AR23" s="2">
        <f>((POWER((K23*K23*R23), 0.33)*LOG10(P23)*10*Data!$B$1)*S23)+AQ23</f>
        <v>114.33160972754995</v>
      </c>
      <c r="AS23" s="2">
        <f>K23/1.24</f>
        <v>54.838709677419352</v>
      </c>
      <c r="AT23" s="2">
        <f>AF23/1.24</f>
        <v>45.161290322580648</v>
      </c>
      <c r="AV23" s="2">
        <v>2</v>
      </c>
      <c r="AW23" s="2">
        <v>3</v>
      </c>
      <c r="AX23" s="2">
        <f>R23/AW23</f>
        <v>16</v>
      </c>
      <c r="AY23" s="2">
        <f>(R23)/MAX(AV23-1, 1)</f>
        <v>48</v>
      </c>
      <c r="AZ23" s="3"/>
      <c r="BA23" s="3"/>
      <c r="BB23" s="3"/>
      <c r="BC23" s="2" t="str">
        <f>CONCATENATE(
ROUND(AZ23*VLOOKUP(I23,'ID Scheme'!$A$2:$E$7,3),0), "x",
ROUND(BA23*VLOOKUP(I23,'ID Scheme'!$A$2:$E$7,5),0), "x",
ROUND(BB23*VLOOKUP(I23,'ID Scheme'!$A$2:$E$7,4),0))</f>
        <v>0x0x0</v>
      </c>
    </row>
    <row r="24" spans="1:56" x14ac:dyDescent="0.25">
      <c r="A24" t="s">
        <v>18</v>
      </c>
      <c r="B24" t="s">
        <v>233</v>
      </c>
      <c r="C24" t="s">
        <v>349</v>
      </c>
      <c r="D24">
        <f>IF(E24 &gt; 2020, ((E24-2020)*4)+1610+G24,IF(E24 &gt; 1900, ((E24-1900)*10)+400+G24, ((E24-1730)*2)+G24))+VLOOKUP(I24,'ID Scheme'!$A$2:$B$7,2, FALSE)</f>
        <v>4041</v>
      </c>
      <c r="E24">
        <v>2004</v>
      </c>
      <c r="F24">
        <v>6</v>
      </c>
      <c r="G24">
        <v>1</v>
      </c>
      <c r="H24" t="s">
        <v>523</v>
      </c>
      <c r="I24" t="s">
        <v>13</v>
      </c>
      <c r="J24" t="s">
        <v>502</v>
      </c>
      <c r="K24">
        <v>72</v>
      </c>
      <c r="L24">
        <v>-1</v>
      </c>
      <c r="M24">
        <v>15</v>
      </c>
      <c r="N24">
        <v>5</v>
      </c>
      <c r="O24">
        <v>12.5</v>
      </c>
      <c r="P24">
        <v>580</v>
      </c>
      <c r="Q24">
        <v>20</v>
      </c>
      <c r="R24">
        <v>54</v>
      </c>
      <c r="S24">
        <v>1</v>
      </c>
      <c r="T24" t="s">
        <v>300</v>
      </c>
      <c r="U24">
        <v>-3</v>
      </c>
      <c r="V24" s="2" t="s">
        <v>464</v>
      </c>
      <c r="W24" s="2"/>
      <c r="X24" s="2" t="s">
        <v>332</v>
      </c>
      <c r="Y24" s="2"/>
      <c r="Z24" s="2"/>
      <c r="AA24" s="2"/>
      <c r="AB24" s="2"/>
      <c r="AC24" s="2"/>
      <c r="AD24" s="2" t="s">
        <v>354</v>
      </c>
      <c r="AE24" s="2"/>
      <c r="AF24">
        <v>56</v>
      </c>
      <c r="AH24">
        <v>1</v>
      </c>
      <c r="AJ24" t="s">
        <v>409</v>
      </c>
      <c r="AK24" t="s">
        <v>586</v>
      </c>
      <c r="AL24" t="s">
        <v>545</v>
      </c>
      <c r="AM24">
        <v>2</v>
      </c>
      <c r="AP24" s="2">
        <f>(SQRT(K24*R24)*POWER((MIN(M24,20)+SQRT(MAX(M24-20,0))),0.9)*Data!$B$1)*(1-(S24-1))</f>
        <v>53.506497671783663</v>
      </c>
      <c r="AQ24" s="2"/>
      <c r="AR24" s="2">
        <f>((POWER((K24*K24*R24), 0.33)*LOG10(P24)*10*Data!$B$1)*S24)+AQ24</f>
        <v>130.02857541304473</v>
      </c>
      <c r="AS24" s="2">
        <f>K24/1.24</f>
        <v>58.064516129032256</v>
      </c>
      <c r="AT24" s="2">
        <f>AF24/1.24</f>
        <v>45.161290322580648</v>
      </c>
      <c r="AV24" s="2">
        <v>2</v>
      </c>
      <c r="AW24" s="2">
        <v>3</v>
      </c>
      <c r="AX24" s="2">
        <f>R24/AW24</f>
        <v>18</v>
      </c>
      <c r="AY24" s="2">
        <f>(R24)/MAX(AV24-1, 1)</f>
        <v>54</v>
      </c>
      <c r="AZ24" s="3"/>
      <c r="BA24" s="3"/>
      <c r="BB24" s="3"/>
      <c r="BC24" s="2" t="str">
        <f>CONCATENATE(
ROUND(AZ24*VLOOKUP(I24,'ID Scheme'!$A$2:$E$7,3),0), "x",
ROUND(BA24*VLOOKUP(I24,'ID Scheme'!$A$2:$E$7,5),0), "x",
ROUND(BB24*VLOOKUP(I24,'ID Scheme'!$A$2:$E$7,4),0))</f>
        <v>0x0x0</v>
      </c>
    </row>
    <row r="25" spans="1:56" x14ac:dyDescent="0.25">
      <c r="A25" t="s">
        <v>84</v>
      </c>
      <c r="B25" t="s">
        <v>216</v>
      </c>
      <c r="C25" t="s">
        <v>349</v>
      </c>
      <c r="D25">
        <f>IF(E25 &gt; 2020, ((E25-2020)*4)+1610+G25,IF(E25 &gt; 1900, ((E25-1900)*10)+400+G25, ((E25-1730)*2)+G25))+VLOOKUP(I25,'ID Scheme'!$A$2:$B$7,2, FALSE)</f>
        <v>4011</v>
      </c>
      <c r="E25">
        <v>2001</v>
      </c>
      <c r="F25">
        <v>1</v>
      </c>
      <c r="G25">
        <v>1</v>
      </c>
      <c r="H25" t="s">
        <v>523</v>
      </c>
      <c r="I25" t="s">
        <v>13</v>
      </c>
      <c r="J25" t="s">
        <v>502</v>
      </c>
      <c r="K25">
        <v>70</v>
      </c>
      <c r="L25">
        <v>14</v>
      </c>
      <c r="M25">
        <v>14</v>
      </c>
      <c r="N25">
        <v>5</v>
      </c>
      <c r="O25">
        <v>12.5</v>
      </c>
      <c r="P25">
        <v>440</v>
      </c>
      <c r="Q25">
        <v>20</v>
      </c>
      <c r="R25">
        <v>51</v>
      </c>
      <c r="S25">
        <v>0.97</v>
      </c>
      <c r="T25" t="s">
        <v>290</v>
      </c>
      <c r="U25">
        <v>-3</v>
      </c>
      <c r="V25" s="2" t="s">
        <v>466</v>
      </c>
      <c r="W25" s="2"/>
      <c r="X25" s="2" t="s">
        <v>332</v>
      </c>
      <c r="Y25" s="2"/>
      <c r="Z25" s="2"/>
      <c r="AA25" s="2"/>
      <c r="AB25" s="2"/>
      <c r="AC25" s="2"/>
      <c r="AD25" s="2" t="s">
        <v>354</v>
      </c>
      <c r="AE25" s="2"/>
      <c r="AF25">
        <v>56</v>
      </c>
      <c r="AH25">
        <v>1</v>
      </c>
      <c r="AJ25" t="s">
        <v>409</v>
      </c>
      <c r="AK25" t="s">
        <v>586</v>
      </c>
      <c r="AL25" t="s">
        <v>546</v>
      </c>
      <c r="AM25">
        <v>2</v>
      </c>
      <c r="AP25" s="2">
        <f>(SQRT(K25*R25)*POWER((MIN(M25,20)+SQRT(MAX(M25-20,0))),0.9)*Data!$B$1)*(1-(S25-1))</f>
        <v>49.630406036450424</v>
      </c>
      <c r="AQ25" s="2"/>
      <c r="AR25" s="2">
        <f>((POWER((K25*K25*R25), 0.33)*LOG10(P25)*10*Data!$B$1)*S25)+AQ25</f>
        <v>116.21639568567561</v>
      </c>
      <c r="AS25" s="2">
        <f>K25/1.24</f>
        <v>56.451612903225808</v>
      </c>
      <c r="AT25" s="2">
        <f>AF25/1.24</f>
        <v>45.161290322580648</v>
      </c>
      <c r="AV25" s="2">
        <v>2</v>
      </c>
      <c r="AW25" s="2">
        <v>3</v>
      </c>
      <c r="AX25" s="2">
        <f>R25/AW25</f>
        <v>17</v>
      </c>
      <c r="AY25" s="2">
        <f>(R25)/MAX(AV25-1, 1)</f>
        <v>51</v>
      </c>
      <c r="AZ25" s="3"/>
      <c r="BA25" s="3"/>
      <c r="BB25" s="3"/>
      <c r="BC25" s="2" t="str">
        <f>CONCATENATE(
ROUND(AZ25*VLOOKUP(I25,'ID Scheme'!$A$2:$E$7,3),0), "x",
ROUND(BA25*VLOOKUP(I25,'ID Scheme'!$A$2:$E$7,5),0), "x",
ROUND(BB25*VLOOKUP(I25,'ID Scheme'!$A$2:$E$7,4),0))</f>
        <v>0x0x0</v>
      </c>
    </row>
    <row r="26" spans="1:56" x14ac:dyDescent="0.25">
      <c r="A26" t="s">
        <v>102</v>
      </c>
      <c r="B26" t="s">
        <v>224</v>
      </c>
      <c r="C26" t="s">
        <v>349</v>
      </c>
      <c r="D26">
        <f>IF(E26 &gt; 2020, ((E26-2020)*4)+1610+G26,IF(E26 &gt; 1900, ((E26-1900)*10)+400+G26, ((E26-1730)*2)+G26))+VLOOKUP(I26,'ID Scheme'!$A$2:$B$7,2, FALSE)</f>
        <v>4052</v>
      </c>
      <c r="E26">
        <v>2005</v>
      </c>
      <c r="F26">
        <v>6</v>
      </c>
      <c r="G26">
        <v>2</v>
      </c>
      <c r="H26" t="s">
        <v>523</v>
      </c>
      <c r="I26" t="s">
        <v>13</v>
      </c>
      <c r="J26" t="s">
        <v>502</v>
      </c>
      <c r="K26">
        <v>70</v>
      </c>
      <c r="L26">
        <v>-1</v>
      </c>
      <c r="M26">
        <v>18</v>
      </c>
      <c r="N26">
        <v>5</v>
      </c>
      <c r="O26">
        <v>12</v>
      </c>
      <c r="P26">
        <v>380</v>
      </c>
      <c r="Q26">
        <v>20</v>
      </c>
      <c r="R26">
        <v>54</v>
      </c>
      <c r="S26">
        <v>1</v>
      </c>
      <c r="T26" t="s">
        <v>296</v>
      </c>
      <c r="U26">
        <v>-3</v>
      </c>
      <c r="V26" s="2" t="s">
        <v>462</v>
      </c>
      <c r="W26" s="2"/>
      <c r="X26" s="2" t="s">
        <v>332</v>
      </c>
      <c r="Y26" s="2"/>
      <c r="Z26" s="2"/>
      <c r="AA26" s="2"/>
      <c r="AB26" s="2"/>
      <c r="AC26" s="2"/>
      <c r="AD26" s="2" t="s">
        <v>354</v>
      </c>
      <c r="AE26" s="2"/>
      <c r="AF26">
        <v>56</v>
      </c>
      <c r="AH26">
        <v>1</v>
      </c>
      <c r="AJ26" t="s">
        <v>409</v>
      </c>
      <c r="AK26" t="s">
        <v>586</v>
      </c>
      <c r="AL26" t="s">
        <v>547</v>
      </c>
      <c r="AM26">
        <v>2</v>
      </c>
      <c r="AP26" s="2">
        <f>(SQRT(K26*R26)*POWER((MIN(M26,20)+SQRT(MAX(M26-20,0))),0.9)*Data!$B$1)*(1-(S26-1))</f>
        <v>62.165927543696078</v>
      </c>
      <c r="AQ26" s="2"/>
      <c r="AR26" s="2">
        <f>((POWER((K26*K26*R26), 0.33)*LOG10(P26)*10*Data!$B$1)*S26)+AQ26</f>
        <v>119.15141041758832</v>
      </c>
      <c r="AS26" s="2">
        <f>K26/1.24</f>
        <v>56.451612903225808</v>
      </c>
      <c r="AT26" s="2">
        <f>AF26/1.24</f>
        <v>45.161290322580648</v>
      </c>
      <c r="AV26" s="2">
        <v>2</v>
      </c>
      <c r="AW26" s="2">
        <v>3</v>
      </c>
      <c r="AX26" s="2">
        <f>R26/AW26</f>
        <v>18</v>
      </c>
      <c r="AY26" s="2">
        <f>(R26)/MAX(AV26-1, 1)</f>
        <v>54</v>
      </c>
      <c r="BB26" s="3"/>
      <c r="BC26" s="2" t="str">
        <f>CONCATENATE(
ROUND(AZ26*VLOOKUP(I26,'ID Scheme'!$A$2:$E$7,3),0), "x",
ROUND(BA26*VLOOKUP(I26,'ID Scheme'!$A$2:$E$7,5),0), "x",
ROUND(BB26*VLOOKUP(I26,'ID Scheme'!$A$2:$E$7,4),0))</f>
        <v>0x0x0</v>
      </c>
      <c r="BD26" t="s">
        <v>103</v>
      </c>
    </row>
    <row r="27" spans="1:56" x14ac:dyDescent="0.25">
      <c r="A27" t="s">
        <v>588</v>
      </c>
      <c r="B27" t="s">
        <v>591</v>
      </c>
      <c r="C27" t="s">
        <v>350</v>
      </c>
      <c r="D27">
        <v>0</v>
      </c>
      <c r="AA27" t="s">
        <v>332</v>
      </c>
      <c r="AB27" t="s">
        <v>332</v>
      </c>
      <c r="AL27" t="s">
        <v>566</v>
      </c>
      <c r="AM27">
        <v>4</v>
      </c>
      <c r="AR27" s="2"/>
    </row>
    <row r="28" spans="1:56" x14ac:dyDescent="0.25">
      <c r="A28" t="s">
        <v>589</v>
      </c>
      <c r="B28" t="s">
        <v>592</v>
      </c>
      <c r="C28" t="s">
        <v>349</v>
      </c>
      <c r="D28">
        <f>IF(E28 &gt; 2020, ((E28-2020)*4)+1610+G28,IF(E28 &gt; 1900, ((E28-1900)*10)+400+G28, ((E28-1730)*2)+G28))+VLOOKUP(I28,'ID Scheme'!$A$2:$B$7,2, FALSE)</f>
        <v>2541</v>
      </c>
      <c r="E28">
        <v>1700</v>
      </c>
      <c r="F28">
        <v>1</v>
      </c>
      <c r="G28">
        <v>1</v>
      </c>
      <c r="H28" t="s">
        <v>523</v>
      </c>
      <c r="I28" t="s">
        <v>13</v>
      </c>
      <c r="J28" t="s">
        <v>509</v>
      </c>
      <c r="K28">
        <v>15</v>
      </c>
      <c r="L28">
        <v>200</v>
      </c>
      <c r="M28">
        <v>12</v>
      </c>
      <c r="N28">
        <v>4</v>
      </c>
      <c r="O28">
        <v>1</v>
      </c>
      <c r="P28">
        <v>10</v>
      </c>
      <c r="Q28">
        <v>20</v>
      </c>
      <c r="R28">
        <v>8</v>
      </c>
      <c r="S28">
        <v>1</v>
      </c>
      <c r="T28" t="s">
        <v>288</v>
      </c>
      <c r="V28" s="2" t="s">
        <v>593</v>
      </c>
      <c r="W28" s="2"/>
      <c r="X28" s="2"/>
      <c r="Y28" s="2"/>
      <c r="Z28" s="2"/>
      <c r="AA28" s="2" t="s">
        <v>332</v>
      </c>
      <c r="AB28" s="2" t="s">
        <v>332</v>
      </c>
      <c r="AC28" s="2"/>
      <c r="AD28" t="s">
        <v>591</v>
      </c>
      <c r="AE28" s="2"/>
      <c r="AJ28" t="s">
        <v>404</v>
      </c>
      <c r="AK28" t="s">
        <v>595</v>
      </c>
      <c r="AL28" t="s">
        <v>594</v>
      </c>
      <c r="AM28">
        <v>5</v>
      </c>
      <c r="AO28" t="s">
        <v>288</v>
      </c>
      <c r="AP28" s="2">
        <f>(SQRT(K28*R28)*POWER((MIN(M28,20)+SQRT(MAX(M28-20,0))),0.9)*Data!$B$1)*(1-(S28-1))</f>
        <v>7.6897993492691086</v>
      </c>
      <c r="AQ28" s="2"/>
      <c r="AR28" s="2">
        <f>((POWER((K28*K28*R28), 0.33)*LOG10(P28)*10*Data!$B$1)*S28)+AQ28</f>
        <v>8.8981800674996272</v>
      </c>
      <c r="AS28" s="2">
        <f>K28/1.24</f>
        <v>12.096774193548388</v>
      </c>
      <c r="AT28" s="2">
        <f>AF28/1.24</f>
        <v>0</v>
      </c>
      <c r="AV28" s="2">
        <v>2</v>
      </c>
      <c r="AW28" s="2">
        <v>2</v>
      </c>
      <c r="AX28" s="2">
        <f>R28/AW28</f>
        <v>4</v>
      </c>
      <c r="AY28" s="2">
        <f>(R28)/MAX(AV28-1, 1)</f>
        <v>8</v>
      </c>
      <c r="AZ28" s="3"/>
      <c r="BA28" s="3"/>
      <c r="BB28" s="3"/>
      <c r="BC28" s="2" t="str">
        <f>CONCATENATE(
ROUND(AZ28*VLOOKUP(I28,'ID Scheme'!$A$2:$E$7,3),0), "x",
ROUND(BA28*VLOOKUP(I28,'ID Scheme'!$A$2:$E$7,5),0), "x",
ROUND(BB28*VLOOKUP(I28,'ID Scheme'!$A$2:$E$7,4),0))</f>
        <v>0x0x0</v>
      </c>
    </row>
    <row r="29" spans="1:56" x14ac:dyDescent="0.25">
      <c r="A29" t="s">
        <v>410</v>
      </c>
      <c r="B29" t="s">
        <v>411</v>
      </c>
      <c r="C29" t="s">
        <v>350</v>
      </c>
      <c r="D29">
        <v>0</v>
      </c>
      <c r="AA29" t="s">
        <v>332</v>
      </c>
      <c r="AB29" t="s">
        <v>332</v>
      </c>
      <c r="AL29" t="s">
        <v>411</v>
      </c>
      <c r="AM29">
        <v>4</v>
      </c>
      <c r="AR29" s="2"/>
    </row>
    <row r="30" spans="1:56" x14ac:dyDescent="0.25">
      <c r="A30" t="s">
        <v>348</v>
      </c>
      <c r="B30" t="s">
        <v>194</v>
      </c>
      <c r="C30" t="s">
        <v>349</v>
      </c>
      <c r="D30">
        <f>IF(E30 &gt; 2020, ((E30-2020)*4)+1610+G30,IF(E30 &gt; 1900, ((E30-1900)*10)+400+G30, ((E30-1730)*2)+G30))+VLOOKUP(I30,'ID Scheme'!$A$2:$B$7,2, FALSE)</f>
        <v>2741</v>
      </c>
      <c r="E30">
        <v>1800</v>
      </c>
      <c r="F30">
        <v>1</v>
      </c>
      <c r="G30">
        <v>1</v>
      </c>
      <c r="H30" t="s">
        <v>523</v>
      </c>
      <c r="I30" t="s">
        <v>13</v>
      </c>
      <c r="J30" t="s">
        <v>509</v>
      </c>
      <c r="K30">
        <v>16</v>
      </c>
      <c r="L30">
        <v>120</v>
      </c>
      <c r="M30">
        <v>12</v>
      </c>
      <c r="N30">
        <v>4</v>
      </c>
      <c r="O30">
        <v>1</v>
      </c>
      <c r="P30">
        <v>15</v>
      </c>
      <c r="Q30">
        <v>20</v>
      </c>
      <c r="R30">
        <v>12</v>
      </c>
      <c r="S30">
        <v>1</v>
      </c>
      <c r="T30" t="s">
        <v>288</v>
      </c>
      <c r="V30" s="2" t="s">
        <v>346</v>
      </c>
      <c r="W30" s="2"/>
      <c r="X30" s="2"/>
      <c r="Y30" s="2"/>
      <c r="Z30" s="2"/>
      <c r="AA30" s="2" t="s">
        <v>332</v>
      </c>
      <c r="AB30" s="2" t="s">
        <v>332</v>
      </c>
      <c r="AC30" s="2"/>
      <c r="AD30" s="2" t="s">
        <v>411</v>
      </c>
      <c r="AE30" s="2"/>
      <c r="AJ30" t="s">
        <v>404</v>
      </c>
      <c r="AK30" t="s">
        <v>516</v>
      </c>
      <c r="AL30" t="s">
        <v>560</v>
      </c>
      <c r="AM30">
        <v>5</v>
      </c>
      <c r="AO30" t="s">
        <v>277</v>
      </c>
      <c r="AP30" s="2">
        <f>(SQRT(K30*R30)*POWER((MIN(M30,20)+SQRT(MAX(M30-20,0))),0.9)*Data!$B$1)*(1-(S30-1))</f>
        <v>9.7269122773484167</v>
      </c>
      <c r="AQ30" s="2"/>
      <c r="AR30" s="2">
        <f>((POWER((K30*K30*R30), 0.33)*LOG10(P30)*10*Data!$B$1)*S30)+AQ30</f>
        <v>12.483928865764204</v>
      </c>
      <c r="AS30" s="2">
        <f>K30/1.24</f>
        <v>12.903225806451614</v>
      </c>
      <c r="AT30" s="2">
        <f>AF30/1.24</f>
        <v>0</v>
      </c>
      <c r="AV30" s="2">
        <v>2</v>
      </c>
      <c r="AW30" s="2">
        <v>2</v>
      </c>
      <c r="AX30" s="2">
        <f>R30/AW30</f>
        <v>6</v>
      </c>
      <c r="AY30" s="2">
        <f>(R30)/MAX(AV30-1, 1)</f>
        <v>12</v>
      </c>
      <c r="AZ30" s="3"/>
      <c r="BA30" s="3"/>
      <c r="BB30" s="3"/>
      <c r="BC30" s="2" t="str">
        <f>CONCATENATE(
ROUND(AZ30*VLOOKUP(I30,'ID Scheme'!$A$2:$E$7,3),0), "x",
ROUND(BA30*VLOOKUP(I30,'ID Scheme'!$A$2:$E$7,5),0), "x",
ROUND(BB30*VLOOKUP(I30,'ID Scheme'!$A$2:$E$7,4),0))</f>
        <v>0x0x0</v>
      </c>
    </row>
    <row r="31" spans="1:56" x14ac:dyDescent="0.25">
      <c r="A31" t="s">
        <v>567</v>
      </c>
      <c r="B31" t="s">
        <v>565</v>
      </c>
      <c r="C31" t="s">
        <v>350</v>
      </c>
      <c r="D31">
        <v>0</v>
      </c>
      <c r="W31" t="s">
        <v>332</v>
      </c>
      <c r="AA31" t="s">
        <v>332</v>
      </c>
      <c r="AB31" t="s">
        <v>332</v>
      </c>
      <c r="AL31" t="s">
        <v>566</v>
      </c>
      <c r="AM31">
        <v>4</v>
      </c>
      <c r="AR31" s="2"/>
    </row>
    <row r="32" spans="1:56" x14ac:dyDescent="0.25">
      <c r="A32" t="s">
        <v>568</v>
      </c>
      <c r="B32" t="s">
        <v>569</v>
      </c>
      <c r="C32" t="s">
        <v>349</v>
      </c>
      <c r="D32">
        <f>IF(E32 &gt; 2020, ((E32-2020)*4)+1610+G32,IF(E32 &gt; 1900, ((E32-1900)*10)+400+G32, ((E32-1730)*2)+G32))+VLOOKUP(I32,'ID Scheme'!$A$2:$B$7,2, FALSE)</f>
        <v>2925</v>
      </c>
      <c r="E32">
        <v>1892</v>
      </c>
      <c r="F32">
        <v>6</v>
      </c>
      <c r="G32">
        <v>1</v>
      </c>
      <c r="H32" t="s">
        <v>523</v>
      </c>
      <c r="I32" t="s">
        <v>13</v>
      </c>
      <c r="J32" t="s">
        <v>509</v>
      </c>
      <c r="K32">
        <v>18</v>
      </c>
      <c r="L32">
        <v>35</v>
      </c>
      <c r="M32">
        <v>12</v>
      </c>
      <c r="N32">
        <v>4</v>
      </c>
      <c r="O32">
        <v>1</v>
      </c>
      <c r="P32">
        <v>15</v>
      </c>
      <c r="Q32">
        <v>20</v>
      </c>
      <c r="R32">
        <v>14</v>
      </c>
      <c r="S32">
        <v>1</v>
      </c>
      <c r="T32" t="s">
        <v>288</v>
      </c>
      <c r="V32" s="2" t="s">
        <v>571</v>
      </c>
      <c r="W32" s="2"/>
      <c r="X32" s="2"/>
      <c r="Y32" s="2"/>
      <c r="Z32" s="2"/>
      <c r="AA32" s="2" t="s">
        <v>332</v>
      </c>
      <c r="AB32" s="2" t="s">
        <v>332</v>
      </c>
      <c r="AC32" s="2"/>
      <c r="AD32" t="s">
        <v>565</v>
      </c>
      <c r="AE32" s="2"/>
      <c r="AJ32" t="s">
        <v>404</v>
      </c>
      <c r="AK32" t="s">
        <v>516</v>
      </c>
      <c r="AL32" t="s">
        <v>570</v>
      </c>
      <c r="AM32">
        <v>5</v>
      </c>
      <c r="AO32" t="s">
        <v>277</v>
      </c>
      <c r="AP32" s="2">
        <f>(SQRT(K32*R32)*POWER((MIN(M32,20)+SQRT(MAX(M32-20,0))),0.9)*Data!$B$1)*(1-(S32-1))</f>
        <v>11.143577947286104</v>
      </c>
      <c r="AQ32" s="2"/>
      <c r="AR32" s="2">
        <f>((POWER((K32*K32*R32), 0.33)*LOG10(P32)*10*Data!$B$1)*S32)+AQ32</f>
        <v>14.197255258033142</v>
      </c>
      <c r="AS32" s="2">
        <f>K32/1.24</f>
        <v>14.516129032258064</v>
      </c>
      <c r="AT32" s="2">
        <f>AF32/1.24</f>
        <v>0</v>
      </c>
      <c r="AV32" s="2">
        <v>2</v>
      </c>
      <c r="AW32" s="2">
        <v>2</v>
      </c>
      <c r="AX32" s="2">
        <f>R32/AW32</f>
        <v>7</v>
      </c>
      <c r="AY32" s="2">
        <f>(R32)/MAX(AV32-1, 1)</f>
        <v>14</v>
      </c>
      <c r="AZ32" s="3"/>
      <c r="BA32" s="3"/>
      <c r="BB32" s="3"/>
      <c r="BC32" s="2" t="str">
        <f>CONCATENATE(
ROUND(AZ32*VLOOKUP(I32,'ID Scheme'!$A$2:$E$7,3),0), "x",
ROUND(BA32*VLOOKUP(I32,'ID Scheme'!$A$2:$E$7,5),0), "x",
ROUND(BB32*VLOOKUP(I32,'ID Scheme'!$A$2:$E$7,4),0))</f>
        <v>0x0x0</v>
      </c>
    </row>
    <row r="33" spans="1:55" x14ac:dyDescent="0.25">
      <c r="A33" t="s">
        <v>572</v>
      </c>
      <c r="B33" t="s">
        <v>573</v>
      </c>
      <c r="C33" t="s">
        <v>350</v>
      </c>
      <c r="D33">
        <v>0</v>
      </c>
      <c r="W33" t="s">
        <v>332</v>
      </c>
      <c r="AA33" t="s">
        <v>332</v>
      </c>
      <c r="AB33" t="s">
        <v>332</v>
      </c>
      <c r="AL33" t="s">
        <v>573</v>
      </c>
      <c r="AM33">
        <v>4</v>
      </c>
      <c r="AR33" s="2"/>
    </row>
    <row r="34" spans="1:55" x14ac:dyDescent="0.25">
      <c r="A34" t="s">
        <v>574</v>
      </c>
      <c r="B34" t="s">
        <v>575</v>
      </c>
      <c r="C34" t="s">
        <v>349</v>
      </c>
      <c r="D34">
        <f>IF(E34 &gt; 2020, ((E34-2020)*4)+1610+G34,IF(E34 &gt; 1900, ((E34-1900)*10)+400+G34, ((E34-1730)*2)+G34))+VLOOKUP(I34,'ID Scheme'!$A$2:$B$7,2, FALSE)</f>
        <v>2879</v>
      </c>
      <c r="E34">
        <v>1869</v>
      </c>
      <c r="F34">
        <v>1</v>
      </c>
      <c r="G34">
        <v>1</v>
      </c>
      <c r="H34" t="s">
        <v>523</v>
      </c>
      <c r="I34" t="s">
        <v>13</v>
      </c>
      <c r="J34" t="s">
        <v>502</v>
      </c>
      <c r="K34">
        <v>16</v>
      </c>
      <c r="L34">
        <v>52</v>
      </c>
      <c r="M34">
        <v>32</v>
      </c>
      <c r="N34">
        <v>5</v>
      </c>
      <c r="O34">
        <v>19</v>
      </c>
      <c r="P34">
        <v>85</v>
      </c>
      <c r="Q34">
        <v>18</v>
      </c>
      <c r="R34">
        <v>36</v>
      </c>
      <c r="S34">
        <v>1</v>
      </c>
      <c r="T34" t="s">
        <v>289</v>
      </c>
      <c r="U34">
        <v>-4</v>
      </c>
      <c r="V34" s="2" t="s">
        <v>576</v>
      </c>
      <c r="W34" s="2" t="s">
        <v>332</v>
      </c>
      <c r="X34" s="2"/>
      <c r="Y34" s="2"/>
      <c r="Z34" s="2"/>
      <c r="AA34" s="2" t="s">
        <v>332</v>
      </c>
      <c r="AB34" s="2" t="s">
        <v>332</v>
      </c>
      <c r="AC34" s="2"/>
      <c r="AD34" s="2" t="s">
        <v>573</v>
      </c>
      <c r="AE34" s="2"/>
      <c r="AH34">
        <v>1</v>
      </c>
      <c r="AJ34" t="s">
        <v>409</v>
      </c>
      <c r="AK34" t="s">
        <v>577</v>
      </c>
      <c r="AL34" t="s">
        <v>578</v>
      </c>
      <c r="AM34">
        <v>6</v>
      </c>
      <c r="AP34" s="2">
        <f>(SQRT(K34*R34)*POWER((MIN(M34,20)+SQRT(MAX(M34-20,0))),0.9)*Data!$B$1)*(1-(S34-1))</f>
        <v>30.806051902406423</v>
      </c>
      <c r="AQ34" s="2"/>
      <c r="AR34" s="2">
        <f>((POWER((K34*K34*R34), 0.33)*LOG10(P34)*10*Data!$B$1)*S34)+AQ34</f>
        <v>29.429766164771721</v>
      </c>
      <c r="AS34" s="2">
        <f>K34/1.24</f>
        <v>12.903225806451614</v>
      </c>
      <c r="AT34" s="2">
        <f>AF34/1.24</f>
        <v>0</v>
      </c>
      <c r="AU34" s="2">
        <v>2</v>
      </c>
      <c r="AV34" s="2">
        <v>3</v>
      </c>
      <c r="AW34" s="2">
        <v>3</v>
      </c>
      <c r="AX34" s="2">
        <f>R34/AW34</f>
        <v>12</v>
      </c>
      <c r="AY34" s="2">
        <f>(R34)/MAX(AV34-1, 1)</f>
        <v>18</v>
      </c>
      <c r="AZ34" s="3">
        <v>3.4</v>
      </c>
      <c r="BA34" s="3">
        <v>2</v>
      </c>
      <c r="BB34" s="3">
        <v>2.5</v>
      </c>
      <c r="BC34" s="2" t="str">
        <f>CONCATENATE(
ROUND(AZ34*VLOOKUP(I34,'ID Scheme'!$A$2:$E$7,3),0), "x",
ROUND(BA34*VLOOKUP(I34,'ID Scheme'!$A$2:$E$7,5),0), "x",
ROUND(BB34*VLOOKUP(I34,'ID Scheme'!$A$2:$E$7,4),0))</f>
        <v>32x29x24</v>
      </c>
    </row>
    <row r="35" spans="1:55" x14ac:dyDescent="0.25">
      <c r="A35" t="s">
        <v>441</v>
      </c>
      <c r="B35" t="s">
        <v>443</v>
      </c>
      <c r="C35" t="s">
        <v>442</v>
      </c>
      <c r="D35">
        <v>0</v>
      </c>
      <c r="AM35">
        <v>6</v>
      </c>
      <c r="AR35" s="2"/>
    </row>
    <row r="36" spans="1:55" x14ac:dyDescent="0.25">
      <c r="A36" t="s">
        <v>72</v>
      </c>
      <c r="B36" t="s">
        <v>218</v>
      </c>
      <c r="C36" t="s">
        <v>439</v>
      </c>
      <c r="D36">
        <f>IF(E36 &gt; 2020, ((E36-2020)*4)+1610+G36,IF(E36 &gt; 1900, ((E36-1900)*10)+400+G36, ((E36-1730)*2)+G36))+VLOOKUP(I36,'ID Scheme'!$A$2:$B$7,2, FALSE)</f>
        <v>3481</v>
      </c>
      <c r="E36">
        <v>1948</v>
      </c>
      <c r="F36">
        <v>1</v>
      </c>
      <c r="G36">
        <v>1</v>
      </c>
      <c r="H36" t="s">
        <v>523</v>
      </c>
      <c r="I36" t="s">
        <v>13</v>
      </c>
      <c r="J36" t="s">
        <v>502</v>
      </c>
      <c r="K36">
        <v>43</v>
      </c>
      <c r="L36">
        <v>20</v>
      </c>
      <c r="M36">
        <v>25</v>
      </c>
      <c r="N36">
        <v>5</v>
      </c>
      <c r="O36">
        <v>1.5</v>
      </c>
      <c r="P36">
        <v>35</v>
      </c>
      <c r="Q36">
        <v>20</v>
      </c>
      <c r="R36">
        <v>10</v>
      </c>
      <c r="S36">
        <v>1</v>
      </c>
      <c r="T36" t="s">
        <v>290</v>
      </c>
      <c r="U36">
        <v>-4</v>
      </c>
      <c r="V36" s="2" t="s">
        <v>438</v>
      </c>
      <c r="W36" s="2"/>
      <c r="X36" s="2"/>
      <c r="Y36" s="2"/>
      <c r="Z36" s="2"/>
      <c r="AA36" s="2"/>
      <c r="AB36" s="2"/>
      <c r="AC36" s="2"/>
      <c r="AD36" t="s">
        <v>443</v>
      </c>
      <c r="AE36" s="2"/>
      <c r="AH36">
        <v>1</v>
      </c>
      <c r="AJ36" t="s">
        <v>404</v>
      </c>
      <c r="AK36" t="s">
        <v>440</v>
      </c>
      <c r="AL36" t="s">
        <v>548</v>
      </c>
      <c r="AM36">
        <v>2</v>
      </c>
      <c r="AP36" s="2">
        <f>(SQRT(K36*R36)*POWER((MIN(M36,20)+SQRT(MAX(M36-20,0))),0.9)*Data!$B$1)*(1-(S36-1))</f>
        <v>25.359908655720094</v>
      </c>
      <c r="AQ36" s="2"/>
      <c r="AR36" s="2">
        <f>((POWER((K36*K36*R36), 0.33)*LOG10(P36)*10*Data!$B$1)*S36)+AQ36</f>
        <v>29.635815274828715</v>
      </c>
      <c r="AS36" s="2">
        <f t="shared" ref="AS36:AS67" si="8">K36/1.24</f>
        <v>34.677419354838712</v>
      </c>
      <c r="AT36" s="2">
        <f>AF36/1.24</f>
        <v>0</v>
      </c>
      <c r="AV36" s="2">
        <v>2</v>
      </c>
      <c r="AW36" s="2">
        <v>2</v>
      </c>
      <c r="AX36" s="2">
        <f t="shared" ref="AX36:AX67" si="9">R36/AW36</f>
        <v>5</v>
      </c>
      <c r="AY36" s="2">
        <f t="shared" ref="AY36:AY67" si="10">(R36)/MAX(AV36-1, 1)</f>
        <v>10</v>
      </c>
      <c r="BB36" s="3"/>
      <c r="BC36" s="2" t="str">
        <f>CONCATENATE(
ROUND(AZ36*VLOOKUP(I36,'ID Scheme'!$A$2:$E$7,3),0), "x",
ROUND(BA36*VLOOKUP(I36,'ID Scheme'!$A$2:$E$7,5),0), "x",
ROUND(BB36*VLOOKUP(I36,'ID Scheme'!$A$2:$E$7,4),0))</f>
        <v>0x0x0</v>
      </c>
    </row>
    <row r="37" spans="1:55" x14ac:dyDescent="0.25">
      <c r="A37" t="s">
        <v>596</v>
      </c>
      <c r="B37" t="s">
        <v>597</v>
      </c>
      <c r="C37" t="s">
        <v>325</v>
      </c>
      <c r="D37">
        <f>IF(E37 &gt; 2020, ((E37-2020)*4)+1610+G37,IF(E37 &gt; 1900, ((E37-1900)*10)+400+G37, ((E37-1730)*2)+G37))+VLOOKUP(I37,'ID Scheme'!$A$2:$B$7,2, FALSE)</f>
        <v>541</v>
      </c>
      <c r="E37">
        <v>1700</v>
      </c>
      <c r="F37">
        <v>1</v>
      </c>
      <c r="G37">
        <v>1</v>
      </c>
      <c r="H37" t="s">
        <v>524</v>
      </c>
      <c r="I37" t="s">
        <v>12</v>
      </c>
      <c r="J37" t="s">
        <v>509</v>
      </c>
      <c r="K37">
        <v>14</v>
      </c>
      <c r="L37">
        <v>180</v>
      </c>
      <c r="M37">
        <v>12</v>
      </c>
      <c r="N37">
        <v>4</v>
      </c>
      <c r="O37">
        <v>2</v>
      </c>
      <c r="P37">
        <v>15</v>
      </c>
      <c r="Q37">
        <v>20</v>
      </c>
      <c r="R37">
        <v>10</v>
      </c>
      <c r="S37">
        <v>1</v>
      </c>
      <c r="T37" t="s">
        <v>288</v>
      </c>
      <c r="V37" s="2" t="s">
        <v>598</v>
      </c>
      <c r="W37" s="2"/>
      <c r="X37" s="2"/>
      <c r="Y37" s="2"/>
      <c r="Z37" s="2"/>
      <c r="AA37" s="2"/>
      <c r="AB37" s="2"/>
      <c r="AC37" s="2"/>
      <c r="AD37" s="2"/>
      <c r="AE37" s="2">
        <v>150</v>
      </c>
      <c r="AG37" t="s">
        <v>407</v>
      </c>
      <c r="AI37" t="s">
        <v>406</v>
      </c>
      <c r="AJ37" t="s">
        <v>407</v>
      </c>
      <c r="AK37" t="s">
        <v>516</v>
      </c>
      <c r="AL37" t="s">
        <v>599</v>
      </c>
      <c r="AM37">
        <v>5</v>
      </c>
      <c r="AO37" t="s">
        <v>277</v>
      </c>
      <c r="AP37" s="2">
        <f>(SQRT(K37*R37)*POWER((MIN(M37,20)+SQRT(MAX(M37-20,0))),0.9)*Data!$B$1)*(1-(S37-1))</f>
        <v>8.3059326008997658</v>
      </c>
      <c r="AQ37" s="2"/>
      <c r="AR37" s="2">
        <f>((POWER((K37*K37*R37), 0.33)*LOG10(P37)*10*Data!$B$1)*S37)+AQ37</f>
        <v>10.763333305173115</v>
      </c>
      <c r="AS37" s="2">
        <f t="shared" si="8"/>
        <v>11.290322580645162</v>
      </c>
      <c r="AT37" s="2">
        <f t="shared" ref="AT37" si="11">AF37/1.24</f>
        <v>0</v>
      </c>
      <c r="AV37" s="2">
        <v>2</v>
      </c>
      <c r="AW37" s="2">
        <v>2</v>
      </c>
      <c r="AX37" s="2">
        <f t="shared" si="9"/>
        <v>5</v>
      </c>
      <c r="AY37" s="2">
        <f t="shared" si="10"/>
        <v>10</v>
      </c>
      <c r="AZ37" s="3"/>
      <c r="BA37" s="3"/>
      <c r="BB37" s="3"/>
      <c r="BC37" s="2" t="str">
        <f>CONCATENATE(
ROUND(AZ37*VLOOKUP(I37,'ID Scheme'!$A$2:$E$7,3),0), "x",
ROUND(BA37*VLOOKUP(I37,'ID Scheme'!$A$2:$E$7,5),0), "x",
ROUND(BB37*VLOOKUP(I37,'ID Scheme'!$A$2:$E$7,4),0))</f>
        <v>0x0x0</v>
      </c>
    </row>
    <row r="38" spans="1:55" x14ac:dyDescent="0.25">
      <c r="A38" t="s">
        <v>23</v>
      </c>
      <c r="B38" t="s">
        <v>161</v>
      </c>
      <c r="C38" t="s">
        <v>325</v>
      </c>
      <c r="D38">
        <f>IF(E38 &gt; 2020, ((E38-2020)*4)+1610+G38,IF(E38 &gt; 1900, ((E38-1900)*10)+400+G38, ((E38-1730)*2)+G38))+VLOOKUP(I38,'ID Scheme'!$A$2:$B$7,2, FALSE)</f>
        <v>741</v>
      </c>
      <c r="E38">
        <v>1800</v>
      </c>
      <c r="F38">
        <v>1</v>
      </c>
      <c r="G38">
        <v>1</v>
      </c>
      <c r="H38" t="s">
        <v>524</v>
      </c>
      <c r="I38" t="s">
        <v>12</v>
      </c>
      <c r="J38" t="s">
        <v>509</v>
      </c>
      <c r="K38">
        <v>18</v>
      </c>
      <c r="L38">
        <v>110</v>
      </c>
      <c r="M38">
        <v>12</v>
      </c>
      <c r="N38">
        <v>4</v>
      </c>
      <c r="O38">
        <v>1</v>
      </c>
      <c r="P38">
        <v>15</v>
      </c>
      <c r="Q38">
        <v>20</v>
      </c>
      <c r="R38">
        <v>12</v>
      </c>
      <c r="S38">
        <v>1</v>
      </c>
      <c r="T38" t="s">
        <v>288</v>
      </c>
      <c r="V38" s="2" t="s">
        <v>273</v>
      </c>
      <c r="W38" s="2"/>
      <c r="X38" s="2"/>
      <c r="Y38" s="2"/>
      <c r="Z38" s="2"/>
      <c r="AA38" s="2"/>
      <c r="AB38" s="2"/>
      <c r="AC38" s="2"/>
      <c r="AD38" s="2"/>
      <c r="AE38" s="2"/>
      <c r="AG38" t="s">
        <v>407</v>
      </c>
      <c r="AI38" t="s">
        <v>406</v>
      </c>
      <c r="AJ38" t="s">
        <v>407</v>
      </c>
      <c r="AK38" t="s">
        <v>516</v>
      </c>
      <c r="AL38" t="s">
        <v>559</v>
      </c>
      <c r="AM38">
        <v>5</v>
      </c>
      <c r="AO38" t="s">
        <v>277</v>
      </c>
      <c r="AP38" s="2">
        <f>(SQRT(K38*R38)*POWER((MIN(M38,20)+SQRT(MAX(M38-20,0))),0.9)*Data!$B$1)*(1-(S38-1))</f>
        <v>10.316948446979625</v>
      </c>
      <c r="AQ38" s="2"/>
      <c r="AR38" s="2">
        <f>((POWER((K38*K38*R38), 0.33)*LOG10(P38)*10*Data!$B$1)*S38)+AQ38</f>
        <v>13.493106560639641</v>
      </c>
      <c r="AS38" s="2">
        <f t="shared" si="8"/>
        <v>14.516129032258064</v>
      </c>
      <c r="AT38" s="2">
        <f t="shared" ref="AT38:AT73" si="12">AF38/1.24</f>
        <v>0</v>
      </c>
      <c r="AV38" s="2">
        <v>2</v>
      </c>
      <c r="AW38" s="2">
        <v>2</v>
      </c>
      <c r="AX38" s="2">
        <f t="shared" si="9"/>
        <v>6</v>
      </c>
      <c r="AY38" s="2">
        <f t="shared" si="10"/>
        <v>12</v>
      </c>
      <c r="AZ38" s="3"/>
      <c r="BA38" s="3"/>
      <c r="BB38" s="3"/>
      <c r="BC38" s="2" t="str">
        <f>CONCATENATE(
ROUND(AZ38*VLOOKUP(I38,'ID Scheme'!$A$2:$E$7,3),0), "x",
ROUND(BA38*VLOOKUP(I38,'ID Scheme'!$A$2:$E$7,5),0), "x",
ROUND(BB38*VLOOKUP(I38,'ID Scheme'!$A$2:$E$7,4),0))</f>
        <v>0x0x0</v>
      </c>
    </row>
    <row r="39" spans="1:55" x14ac:dyDescent="0.25">
      <c r="A39" t="s">
        <v>36</v>
      </c>
      <c r="B39" t="s">
        <v>164</v>
      </c>
      <c r="C39" t="s">
        <v>286</v>
      </c>
      <c r="D39">
        <f>IF(E39 &gt; 2020, ((E39-2020)*4)+1610+G39,IF(E39 &gt; 1900, ((E39-1900)*10)+400+G39, ((E39-1730)*2)+G39))+VLOOKUP(I39,'ID Scheme'!$A$2:$B$7,2, FALSE)</f>
        <v>807</v>
      </c>
      <c r="E39">
        <v>1833</v>
      </c>
      <c r="F39">
        <v>1</v>
      </c>
      <c r="G39">
        <v>1</v>
      </c>
      <c r="H39" t="s">
        <v>524</v>
      </c>
      <c r="I39" t="s">
        <v>12</v>
      </c>
      <c r="J39" t="s">
        <v>509</v>
      </c>
      <c r="K39">
        <v>18</v>
      </c>
      <c r="L39">
        <v>45</v>
      </c>
      <c r="M39">
        <v>20</v>
      </c>
      <c r="N39">
        <v>4</v>
      </c>
      <c r="O39">
        <v>4</v>
      </c>
      <c r="P39">
        <v>30</v>
      </c>
      <c r="Q39">
        <v>20</v>
      </c>
      <c r="R39">
        <v>22</v>
      </c>
      <c r="S39">
        <v>1</v>
      </c>
      <c r="T39" t="s">
        <v>289</v>
      </c>
      <c r="U39">
        <v>2</v>
      </c>
      <c r="V39" s="2" t="s">
        <v>274</v>
      </c>
      <c r="W39" s="2"/>
      <c r="X39" s="2"/>
      <c r="Y39" s="2"/>
      <c r="Z39" s="2"/>
      <c r="AA39" s="2"/>
      <c r="AB39" s="2"/>
      <c r="AC39" s="2"/>
      <c r="AD39" s="2"/>
      <c r="AE39" s="2"/>
      <c r="AM39">
        <v>8</v>
      </c>
      <c r="AP39" s="2">
        <f>(SQRT(K39*R39)*POWER((MIN(M39,20)+SQRT(MAX(M39-20,0))),0.9)*Data!$B$1)*(1-(S39-1))</f>
        <v>22.122583982050454</v>
      </c>
      <c r="AQ39" s="2"/>
      <c r="AR39" s="2">
        <f>((POWER((K39*K39*R39), 0.33)*LOG10(P39)*10*Data!$B$1)*S39)+AQ39</f>
        <v>20.699351945933547</v>
      </c>
      <c r="AS39" s="2">
        <f t="shared" si="8"/>
        <v>14.516129032258064</v>
      </c>
      <c r="AT39" s="2">
        <f t="shared" si="12"/>
        <v>0</v>
      </c>
      <c r="AV39" s="2">
        <v>1</v>
      </c>
      <c r="AW39" s="2">
        <v>1</v>
      </c>
      <c r="AX39" s="2">
        <f t="shared" si="9"/>
        <v>22</v>
      </c>
      <c r="AY39" s="2">
        <f t="shared" si="10"/>
        <v>22</v>
      </c>
      <c r="AZ39" s="3"/>
      <c r="BA39" s="3"/>
      <c r="BB39" s="3"/>
      <c r="BC39" s="2" t="str">
        <f>CONCATENATE(
ROUND(AZ39*VLOOKUP(I39,'ID Scheme'!$A$2:$E$7,3),0), "x",
ROUND(BA39*VLOOKUP(I39,'ID Scheme'!$A$2:$E$7,5),0), "x",
ROUND(BB39*VLOOKUP(I39,'ID Scheme'!$A$2:$E$7,4),0))</f>
        <v>0x0x0</v>
      </c>
    </row>
    <row r="40" spans="1:55" x14ac:dyDescent="0.25">
      <c r="A40" t="s">
        <v>510</v>
      </c>
      <c r="B40" t="s">
        <v>511</v>
      </c>
      <c r="C40" t="s">
        <v>292</v>
      </c>
      <c r="D40">
        <f>IF(E40 &gt; 2020, ((E40-2020)*4)+1610+G40,IF(E40 &gt; 1900, ((E40-1900)*10)+400+G40, ((E40-1730)*2)+G40))+VLOOKUP(I40,'ID Scheme'!$A$2:$B$7,2, FALSE)</f>
        <v>939</v>
      </c>
      <c r="E40">
        <v>1899</v>
      </c>
      <c r="F40">
        <v>2</v>
      </c>
      <c r="G40">
        <v>1</v>
      </c>
      <c r="H40" t="s">
        <v>524</v>
      </c>
      <c r="I40" t="s">
        <v>12</v>
      </c>
      <c r="J40" t="s">
        <v>502</v>
      </c>
      <c r="K40">
        <v>20</v>
      </c>
      <c r="L40">
        <v>22</v>
      </c>
      <c r="M40">
        <v>14</v>
      </c>
      <c r="N40">
        <v>4</v>
      </c>
      <c r="O40">
        <v>5</v>
      </c>
      <c r="P40">
        <v>25</v>
      </c>
      <c r="Q40">
        <v>20</v>
      </c>
      <c r="R40">
        <v>24</v>
      </c>
      <c r="S40">
        <v>1</v>
      </c>
      <c r="T40" t="s">
        <v>290</v>
      </c>
      <c r="U40">
        <v>3</v>
      </c>
      <c r="V40" s="2" t="s">
        <v>512</v>
      </c>
      <c r="W40" s="2"/>
      <c r="X40" s="2"/>
      <c r="Y40" s="2"/>
      <c r="Z40" s="2"/>
      <c r="AA40" s="2"/>
      <c r="AB40" s="2"/>
      <c r="AC40" s="2"/>
      <c r="AD40" s="2"/>
      <c r="AE40" s="2"/>
      <c r="AM40">
        <v>7</v>
      </c>
      <c r="AP40" s="2">
        <f>(SQRT(K40*R40)*POWER((MIN(M40,20)+SQRT(MAX(M40-20,0))),0.9)*Data!$B$1)*(1-(S40-1))</f>
        <v>17.668395580782125</v>
      </c>
      <c r="AQ40" s="2"/>
      <c r="AR40" s="2">
        <f>((POWER((K40*K40*R40), 0.33)*LOG10(P40)*10*Data!$B$1)*S40)+AQ40</f>
        <v>21.612216267307918</v>
      </c>
      <c r="AS40" s="2">
        <f t="shared" si="8"/>
        <v>16.129032258064516</v>
      </c>
      <c r="AT40" s="2">
        <f t="shared" ref="AT40" si="13">AF40/1.24</f>
        <v>0</v>
      </c>
      <c r="AV40" s="2">
        <v>1</v>
      </c>
      <c r="AW40" s="2">
        <v>1</v>
      </c>
      <c r="AX40" s="2">
        <f t="shared" si="9"/>
        <v>24</v>
      </c>
      <c r="AY40" s="2">
        <f t="shared" si="10"/>
        <v>24</v>
      </c>
      <c r="AZ40" s="3"/>
      <c r="BA40" s="3"/>
      <c r="BB40" s="3"/>
      <c r="BC40" s="2" t="str">
        <f>CONCATENATE(
ROUND(AZ40*VLOOKUP(I40,'ID Scheme'!$A$2:$E$7,3),0), "x",
ROUND(BA40*VLOOKUP(I40,'ID Scheme'!$A$2:$E$7,5),0), "x",
ROUND(BB40*VLOOKUP(I40,'ID Scheme'!$A$2:$E$7,4),0))</f>
        <v>0x0x0</v>
      </c>
    </row>
    <row r="41" spans="1:55" x14ac:dyDescent="0.25">
      <c r="A41" t="s">
        <v>24</v>
      </c>
      <c r="B41" t="s">
        <v>165</v>
      </c>
      <c r="C41" t="s">
        <v>292</v>
      </c>
      <c r="D41">
        <f>IF(E41 &gt; 2020, ((E41-2020)*4)+1610+G41,IF(E41 &gt; 1900, ((E41-1900)*10)+400+G41, ((E41-1730)*2)+G41))+VLOOKUP(I41,'ID Scheme'!$A$2:$B$7,2, FALSE)</f>
        <v>1111</v>
      </c>
      <c r="E41">
        <v>1911</v>
      </c>
      <c r="F41">
        <v>1</v>
      </c>
      <c r="G41">
        <v>1</v>
      </c>
      <c r="H41" t="s">
        <v>524</v>
      </c>
      <c r="I41" t="s">
        <v>12</v>
      </c>
      <c r="J41" t="s">
        <v>502</v>
      </c>
      <c r="K41">
        <v>22</v>
      </c>
      <c r="L41">
        <v>20</v>
      </c>
      <c r="M41">
        <v>15</v>
      </c>
      <c r="N41">
        <v>5</v>
      </c>
      <c r="O41">
        <v>5</v>
      </c>
      <c r="P41">
        <v>30</v>
      </c>
      <c r="Q41">
        <v>20</v>
      </c>
      <c r="R41">
        <v>36</v>
      </c>
      <c r="S41">
        <v>1</v>
      </c>
      <c r="T41" t="s">
        <v>290</v>
      </c>
      <c r="U41">
        <v>3</v>
      </c>
      <c r="V41" s="2" t="s">
        <v>275</v>
      </c>
      <c r="W41" s="2"/>
      <c r="X41" s="2"/>
      <c r="Y41" s="2"/>
      <c r="Z41" s="2"/>
      <c r="AA41" s="2"/>
      <c r="AB41" s="2"/>
      <c r="AC41" s="2"/>
      <c r="AD41" s="2"/>
      <c r="AE41" s="2"/>
      <c r="AM41">
        <v>8</v>
      </c>
      <c r="AP41" s="2">
        <f>(SQRT(K41*R41)*POWER((MIN(M41,20)+SQRT(MAX(M41-20,0))),0.9)*Data!$B$1)*(1-(S41-1))</f>
        <v>24.149380110174171</v>
      </c>
      <c r="AQ41" s="2"/>
      <c r="AR41" s="2">
        <f>((POWER((K41*K41*R41), 0.33)*LOG10(P41)*10*Data!$B$1)*S41)+AQ41</f>
        <v>27.800730349293211</v>
      </c>
      <c r="AS41" s="2">
        <f t="shared" si="8"/>
        <v>17.741935483870968</v>
      </c>
      <c r="AT41" s="2">
        <f t="shared" si="12"/>
        <v>0</v>
      </c>
      <c r="AV41" s="2">
        <v>1</v>
      </c>
      <c r="AW41" s="2">
        <v>1</v>
      </c>
      <c r="AX41" s="2">
        <f t="shared" si="9"/>
        <v>36</v>
      </c>
      <c r="AY41" s="2">
        <f t="shared" si="10"/>
        <v>36</v>
      </c>
      <c r="AZ41" s="3"/>
      <c r="BA41" s="3"/>
      <c r="BB41" s="3"/>
      <c r="BC41" s="2" t="str">
        <f>CONCATENATE(
ROUND(AZ41*VLOOKUP(I41,'ID Scheme'!$A$2:$E$7,3),0), "x",
ROUND(BA41*VLOOKUP(I41,'ID Scheme'!$A$2:$E$7,5),0), "x",
ROUND(BB41*VLOOKUP(I41,'ID Scheme'!$A$2:$E$7,4),0))</f>
        <v>0x0x0</v>
      </c>
    </row>
    <row r="42" spans="1:55" x14ac:dyDescent="0.25">
      <c r="A42" t="s">
        <v>93</v>
      </c>
      <c r="B42" t="s">
        <v>166</v>
      </c>
      <c r="C42" t="s">
        <v>292</v>
      </c>
      <c r="D42">
        <f>IF(E42 &gt; 2020, ((E42-2020)*4)+1610+G42,IF(E42 &gt; 1900, ((E42-1900)*10)+400+G42, ((E42-1730)*2)+G42))+VLOOKUP(I42,'ID Scheme'!$A$2:$B$7,2, FALSE)</f>
        <v>1201</v>
      </c>
      <c r="E42">
        <v>1920</v>
      </c>
      <c r="F42">
        <v>1</v>
      </c>
      <c r="G42">
        <v>1</v>
      </c>
      <c r="H42" t="s">
        <v>524</v>
      </c>
      <c r="I42" t="s">
        <v>12</v>
      </c>
      <c r="J42" t="s">
        <v>502</v>
      </c>
      <c r="K42">
        <v>22</v>
      </c>
      <c r="L42">
        <v>20</v>
      </c>
      <c r="M42">
        <v>16</v>
      </c>
      <c r="N42">
        <v>5</v>
      </c>
      <c r="O42">
        <v>5</v>
      </c>
      <c r="P42">
        <v>30</v>
      </c>
      <c r="Q42">
        <v>20</v>
      </c>
      <c r="R42">
        <v>54</v>
      </c>
      <c r="S42">
        <v>1</v>
      </c>
      <c r="T42" t="s">
        <v>290</v>
      </c>
      <c r="U42">
        <v>3</v>
      </c>
      <c r="V42" s="2" t="s">
        <v>291</v>
      </c>
      <c r="W42" s="2"/>
      <c r="X42" s="2"/>
      <c r="Y42" s="2"/>
      <c r="Z42" s="2"/>
      <c r="AA42" s="2"/>
      <c r="AB42" s="2"/>
      <c r="AC42" s="2"/>
      <c r="AD42" s="2"/>
      <c r="AE42" s="2"/>
      <c r="AM42">
        <v>8</v>
      </c>
      <c r="AP42" s="2">
        <f>(SQRT(K42*R42)*POWER((MIN(M42,20)+SQRT(MAX(M42-20,0))),0.9)*Data!$B$1)*(1-(S42-1))</f>
        <v>31.345663574572221</v>
      </c>
      <c r="AQ42" s="2"/>
      <c r="AR42" s="2">
        <f>((POWER((K42*K42*R42), 0.33)*LOG10(P42)*10*Data!$B$1)*S42)+AQ42</f>
        <v>31.780909444617688</v>
      </c>
      <c r="AS42" s="2">
        <f t="shared" si="8"/>
        <v>17.741935483870968</v>
      </c>
      <c r="AT42" s="2">
        <f t="shared" ref="AT42:AT44" si="14">AF42/1.24</f>
        <v>0</v>
      </c>
      <c r="AV42" s="2">
        <v>1</v>
      </c>
      <c r="AW42" s="2">
        <v>1</v>
      </c>
      <c r="AX42" s="2">
        <f t="shared" si="9"/>
        <v>54</v>
      </c>
      <c r="AY42" s="2">
        <f t="shared" si="10"/>
        <v>54</v>
      </c>
      <c r="AZ42" s="3"/>
      <c r="BA42" s="3"/>
      <c r="BB42" s="3"/>
      <c r="BC42" s="2" t="str">
        <f>CONCATENATE(
ROUND(AZ42*VLOOKUP(I42,'ID Scheme'!$A$2:$E$7,3),0), "x",
ROUND(BA42*VLOOKUP(I42,'ID Scheme'!$A$2:$E$7,5),0), "x",
ROUND(BB42*VLOOKUP(I42,'ID Scheme'!$A$2:$E$7,4),0))</f>
        <v>0x0x0</v>
      </c>
    </row>
    <row r="43" spans="1:55" x14ac:dyDescent="0.25">
      <c r="A43" t="s">
        <v>505</v>
      </c>
      <c r="B43" t="s">
        <v>506</v>
      </c>
      <c r="C43" t="s">
        <v>286</v>
      </c>
      <c r="D43">
        <f>IF(E43 &gt; 2020, ((E43-2020)*4)+1610+G43,IF(E43 &gt; 1900, ((E43-1900)*10)+400+G43, ((E43-1730)*2)+G43))+VLOOKUP(I43,'ID Scheme'!$A$2:$B$7,2, FALSE)</f>
        <v>1261</v>
      </c>
      <c r="E43">
        <v>1926</v>
      </c>
      <c r="F43">
        <v>12</v>
      </c>
      <c r="G43">
        <v>1</v>
      </c>
      <c r="H43" t="s">
        <v>524</v>
      </c>
      <c r="I43" t="s">
        <v>12</v>
      </c>
      <c r="J43" t="s">
        <v>507</v>
      </c>
      <c r="K43">
        <v>30</v>
      </c>
      <c r="L43">
        <v>40</v>
      </c>
      <c r="M43">
        <v>18</v>
      </c>
      <c r="N43">
        <v>5</v>
      </c>
      <c r="O43">
        <v>5</v>
      </c>
      <c r="P43">
        <v>60</v>
      </c>
      <c r="Q43">
        <v>20</v>
      </c>
      <c r="R43">
        <v>48</v>
      </c>
      <c r="S43">
        <v>1</v>
      </c>
      <c r="T43" t="s">
        <v>366</v>
      </c>
      <c r="U43">
        <v>3</v>
      </c>
      <c r="V43" s="2" t="s">
        <v>508</v>
      </c>
      <c r="W43" s="2"/>
      <c r="X43" s="2"/>
      <c r="Y43" s="2"/>
      <c r="Z43" s="2"/>
      <c r="AA43" s="2"/>
      <c r="AB43" s="2"/>
      <c r="AC43" s="2"/>
      <c r="AD43" s="2"/>
      <c r="AE43" s="2"/>
      <c r="AM43">
        <v>8</v>
      </c>
      <c r="AP43" s="2">
        <f>(SQRT(K43*R43)*POWER((MIN(M43,20)+SQRT(MAX(M43-20,0))),0.9)*Data!$B$1)*(1-(S43-1))</f>
        <v>38.369643493971942</v>
      </c>
      <c r="AQ43" s="2"/>
      <c r="AR43" s="2">
        <f>((POWER((K43*K43*R43), 0.33)*LOG10(P43)*10*Data!$B$1)*S43)+AQ43</f>
        <v>45.158509516285143</v>
      </c>
      <c r="AS43" s="2">
        <f t="shared" si="8"/>
        <v>24.193548387096776</v>
      </c>
      <c r="AT43" s="2">
        <f t="shared" si="14"/>
        <v>0</v>
      </c>
      <c r="AV43" s="2">
        <v>1</v>
      </c>
      <c r="AW43" s="2">
        <v>1</v>
      </c>
      <c r="AX43" s="2">
        <f t="shared" si="9"/>
        <v>48</v>
      </c>
      <c r="AY43" s="2">
        <f t="shared" si="10"/>
        <v>48</v>
      </c>
      <c r="AZ43" s="3">
        <v>11</v>
      </c>
      <c r="BA43" s="3">
        <v>2.5</v>
      </c>
      <c r="BB43" s="3">
        <v>3.8</v>
      </c>
      <c r="BC43" s="2" t="str">
        <f>CONCATENATE(
ROUND(AZ43*VLOOKUP(I43,'ID Scheme'!$A$2:$E$7,3),0), "x",
ROUND(BA43*VLOOKUP(I43,'ID Scheme'!$A$2:$E$7,5),0), "x",
ROUND(BB43*VLOOKUP(I43,'ID Scheme'!$A$2:$E$7,4),0))</f>
        <v>103x36x37</v>
      </c>
    </row>
    <row r="44" spans="1:55" ht="14.25" customHeight="1" x14ac:dyDescent="0.25">
      <c r="A44" t="s">
        <v>44</v>
      </c>
      <c r="B44" t="s">
        <v>168</v>
      </c>
      <c r="C44" t="s">
        <v>286</v>
      </c>
      <c r="D44">
        <f>IF(E44 &gt; 2020, ((E44-2020)*4)+1610+G44,IF(E44 &gt; 1900, ((E44-1900)*10)+400+G44, ((E44-1730)*2)+G44))+VLOOKUP(I44,'ID Scheme'!$A$2:$B$7,2, FALSE)</f>
        <v>1271</v>
      </c>
      <c r="E44">
        <v>1927</v>
      </c>
      <c r="F44">
        <v>3</v>
      </c>
      <c r="G44">
        <v>1</v>
      </c>
      <c r="H44" t="s">
        <v>524</v>
      </c>
      <c r="I44" t="s">
        <v>12</v>
      </c>
      <c r="J44" t="s">
        <v>502</v>
      </c>
      <c r="K44">
        <v>42</v>
      </c>
      <c r="L44">
        <v>20</v>
      </c>
      <c r="M44">
        <v>17</v>
      </c>
      <c r="N44">
        <v>4</v>
      </c>
      <c r="O44">
        <v>5</v>
      </c>
      <c r="P44">
        <v>94</v>
      </c>
      <c r="Q44">
        <v>20</v>
      </c>
      <c r="R44">
        <v>35</v>
      </c>
      <c r="S44">
        <v>1</v>
      </c>
      <c r="T44" t="s">
        <v>290</v>
      </c>
      <c r="U44">
        <v>3</v>
      </c>
      <c r="V44" s="2" t="s">
        <v>313</v>
      </c>
      <c r="W44" s="2"/>
      <c r="X44" s="2"/>
      <c r="Y44" s="2"/>
      <c r="Z44" s="2"/>
      <c r="AA44" s="2"/>
      <c r="AB44" s="2"/>
      <c r="AC44" s="2"/>
      <c r="AD44" s="2"/>
      <c r="AE44" s="2"/>
      <c r="AM44">
        <v>8</v>
      </c>
      <c r="AP44" s="2">
        <f>(SQRT(K44*R44)*POWER((MIN(M44,20)+SQRT(MAX(M44-20,0))),0.9)*Data!$B$1)*(1-(S44-1))</f>
        <v>36.82340631265253</v>
      </c>
      <c r="AQ44" s="2"/>
      <c r="AR44" s="2">
        <f>((POWER((K44*K44*R44), 0.33)*LOG10(P44)*10*Data!$B$1)*S44)+AQ44</f>
        <v>56.377196674747736</v>
      </c>
      <c r="AS44" s="2">
        <f t="shared" si="8"/>
        <v>33.870967741935488</v>
      </c>
      <c r="AT44" s="2">
        <f t="shared" si="14"/>
        <v>0</v>
      </c>
      <c r="AV44" s="2">
        <v>1</v>
      </c>
      <c r="AW44" s="2">
        <v>1</v>
      </c>
      <c r="AX44" s="2">
        <f t="shared" si="9"/>
        <v>35</v>
      </c>
      <c r="AY44" s="2">
        <f t="shared" si="10"/>
        <v>35</v>
      </c>
      <c r="AZ44" s="3"/>
      <c r="BA44" s="3"/>
      <c r="BB44" s="3"/>
      <c r="BC44" s="2" t="str">
        <f>CONCATENATE(
ROUND(AZ44*VLOOKUP(I44,'ID Scheme'!$A$2:$E$7,3),0), "x",
ROUND(BA44*VLOOKUP(I44,'ID Scheme'!$A$2:$E$7,5),0), "x",
ROUND(BB44*VLOOKUP(I44,'ID Scheme'!$A$2:$E$7,4),0))</f>
        <v>0x0x0</v>
      </c>
    </row>
    <row r="45" spans="1:55" x14ac:dyDescent="0.25">
      <c r="A45" t="s">
        <v>26</v>
      </c>
      <c r="B45" t="s">
        <v>163</v>
      </c>
      <c r="C45" t="s">
        <v>286</v>
      </c>
      <c r="D45">
        <f>IF(E45 &gt; 2020, ((E45-2020)*4)+1610+G45,IF(E45 &gt; 1900, ((E45-1900)*10)+400+G45, ((E45-1730)*2)+G45))+VLOOKUP(I45,'ID Scheme'!$A$2:$B$7,2, FALSE)</f>
        <v>1291</v>
      </c>
      <c r="E45">
        <v>1929</v>
      </c>
      <c r="F45">
        <v>1</v>
      </c>
      <c r="G45">
        <v>1</v>
      </c>
      <c r="H45" t="s">
        <v>524</v>
      </c>
      <c r="I45" t="s">
        <v>12</v>
      </c>
      <c r="J45" t="s">
        <v>502</v>
      </c>
      <c r="K45">
        <v>29</v>
      </c>
      <c r="L45">
        <v>20</v>
      </c>
      <c r="M45">
        <v>20</v>
      </c>
      <c r="N45">
        <v>7</v>
      </c>
      <c r="O45">
        <v>7</v>
      </c>
      <c r="P45">
        <v>90</v>
      </c>
      <c r="Q45">
        <v>20</v>
      </c>
      <c r="R45">
        <v>50</v>
      </c>
      <c r="S45">
        <v>1</v>
      </c>
      <c r="T45" t="s">
        <v>290</v>
      </c>
      <c r="U45">
        <v>3</v>
      </c>
      <c r="V45" s="2" t="s">
        <v>312</v>
      </c>
      <c r="W45" s="2"/>
      <c r="X45" s="2"/>
      <c r="Y45" s="2"/>
      <c r="Z45" s="2"/>
      <c r="AA45" s="2"/>
      <c r="AB45" s="2"/>
      <c r="AC45" s="2"/>
      <c r="AD45" s="2"/>
      <c r="AE45" s="2"/>
      <c r="AM45">
        <v>8</v>
      </c>
      <c r="AP45" s="2">
        <f>(SQRT(K45*R45)*POWER((MIN(M45,20)+SQRT(MAX(M45-20,0))),0.9)*Data!$B$1)*(1-(S45-1))</f>
        <v>42.332338540034662</v>
      </c>
      <c r="AQ45" s="2"/>
      <c r="AR45" s="2">
        <f>((POWER((K45*K45*R45), 0.33)*LOG10(P45)*10*Data!$B$1)*S45)+AQ45</f>
        <v>49.190642990058024</v>
      </c>
      <c r="AS45" s="2">
        <f t="shared" si="8"/>
        <v>23.387096774193548</v>
      </c>
      <c r="AT45" s="2">
        <f t="shared" si="12"/>
        <v>0</v>
      </c>
      <c r="AV45" s="2">
        <v>1</v>
      </c>
      <c r="AW45" s="2">
        <v>1</v>
      </c>
      <c r="AX45" s="2">
        <f t="shared" si="9"/>
        <v>50</v>
      </c>
      <c r="AY45" s="2">
        <f t="shared" si="10"/>
        <v>50</v>
      </c>
      <c r="AZ45" s="3"/>
      <c r="BA45" s="3"/>
      <c r="BB45" s="3"/>
      <c r="BC45" s="2" t="str">
        <f>CONCATENATE(
ROUND(AZ45*VLOOKUP(I45,'ID Scheme'!$A$2:$E$7,3),0), "x",
ROUND(BA45*VLOOKUP(I45,'ID Scheme'!$A$2:$E$7,5),0), "x",
ROUND(BB45*VLOOKUP(I45,'ID Scheme'!$A$2:$E$7,4),0))</f>
        <v>0x0x0</v>
      </c>
    </row>
    <row r="46" spans="1:55" x14ac:dyDescent="0.25">
      <c r="A46" t="s">
        <v>47</v>
      </c>
      <c r="B46" t="s">
        <v>167</v>
      </c>
      <c r="C46" t="s">
        <v>286</v>
      </c>
      <c r="D46">
        <f>IF(E46 &gt; 2020, ((E46-2020)*4)+1610+G46,IF(E46 &gt; 1900, ((E46-1900)*10)+400+G46, ((E46-1730)*2)+G46))+VLOOKUP(I46,'ID Scheme'!$A$2:$B$7,2, FALSE)</f>
        <v>1311</v>
      </c>
      <c r="E46">
        <v>1931</v>
      </c>
      <c r="F46">
        <v>1</v>
      </c>
      <c r="G46">
        <v>1</v>
      </c>
      <c r="H46" t="s">
        <v>524</v>
      </c>
      <c r="I46" t="s">
        <v>12</v>
      </c>
      <c r="J46" t="s">
        <v>502</v>
      </c>
      <c r="K46">
        <v>36</v>
      </c>
      <c r="L46">
        <v>18</v>
      </c>
      <c r="M46">
        <v>19</v>
      </c>
      <c r="N46">
        <v>5</v>
      </c>
      <c r="O46">
        <v>5</v>
      </c>
      <c r="P46">
        <v>100</v>
      </c>
      <c r="Q46">
        <v>20</v>
      </c>
      <c r="R46">
        <v>32</v>
      </c>
      <c r="S46">
        <v>1</v>
      </c>
      <c r="T46" t="s">
        <v>289</v>
      </c>
      <c r="U46">
        <v>-3</v>
      </c>
      <c r="V46" s="2" t="s">
        <v>311</v>
      </c>
      <c r="W46" s="2"/>
      <c r="X46" s="2"/>
      <c r="Y46" s="2"/>
      <c r="Z46" s="2"/>
      <c r="AA46" s="2"/>
      <c r="AB46" s="2"/>
      <c r="AC46" s="2"/>
      <c r="AD46" s="2"/>
      <c r="AE46" s="2"/>
      <c r="AM46">
        <v>7</v>
      </c>
      <c r="AP46" s="2">
        <f>(SQRT(K46*R46)*POWER((MIN(M46,20)+SQRT(MAX(M46-20,0))),0.9)*Data!$B$1)*(1-(S46-1))</f>
        <v>36.030122922747744</v>
      </c>
      <c r="AQ46" s="2"/>
      <c r="AR46" s="2">
        <f>((POWER((K46*K46*R46), 0.33)*LOG10(P46)*10*Data!$B$1)*S46)+AQ46</f>
        <v>50.112999997180935</v>
      </c>
      <c r="AS46" s="2">
        <f t="shared" si="8"/>
        <v>29.032258064516128</v>
      </c>
      <c r="AT46" s="2">
        <f t="shared" si="12"/>
        <v>0</v>
      </c>
      <c r="AV46" s="2">
        <v>1</v>
      </c>
      <c r="AW46" s="2">
        <v>1</v>
      </c>
      <c r="AX46" s="2">
        <f t="shared" si="9"/>
        <v>32</v>
      </c>
      <c r="AY46" s="2">
        <f t="shared" si="10"/>
        <v>32</v>
      </c>
      <c r="AZ46" s="3"/>
      <c r="BA46" s="3"/>
      <c r="BB46" s="3"/>
      <c r="BC46" s="2" t="str">
        <f>CONCATENATE(
ROUND(AZ46*VLOOKUP(I46,'ID Scheme'!$A$2:$E$7,3),0), "x",
ROUND(BA46*VLOOKUP(I46,'ID Scheme'!$A$2:$E$7,5),0), "x",
ROUND(BB46*VLOOKUP(I46,'ID Scheme'!$A$2:$E$7,4),0))</f>
        <v>0x0x0</v>
      </c>
    </row>
    <row r="47" spans="1:55" x14ac:dyDescent="0.25">
      <c r="A47" t="s">
        <v>43</v>
      </c>
      <c r="B47" t="s">
        <v>169</v>
      </c>
      <c r="C47" t="s">
        <v>286</v>
      </c>
      <c r="D47">
        <f>IF(E47 &gt; 2020, ((E47-2020)*4)+1610+G47,IF(E47 &gt; 1900, ((E47-1900)*10)+400+G47, ((E47-1730)*2)+G47))+VLOOKUP(I47,'ID Scheme'!$A$2:$B$7,2, FALSE)</f>
        <v>1331</v>
      </c>
      <c r="E47">
        <v>1933</v>
      </c>
      <c r="F47">
        <v>1</v>
      </c>
      <c r="G47">
        <v>1</v>
      </c>
      <c r="H47" t="s">
        <v>524</v>
      </c>
      <c r="I47" t="s">
        <v>12</v>
      </c>
      <c r="J47" t="s">
        <v>502</v>
      </c>
      <c r="K47">
        <v>40</v>
      </c>
      <c r="L47">
        <v>20</v>
      </c>
      <c r="M47">
        <v>16</v>
      </c>
      <c r="N47">
        <v>4</v>
      </c>
      <c r="O47">
        <v>6</v>
      </c>
      <c r="P47">
        <v>102</v>
      </c>
      <c r="Q47">
        <v>20</v>
      </c>
      <c r="R47">
        <v>44</v>
      </c>
      <c r="S47">
        <v>1</v>
      </c>
      <c r="T47" t="s">
        <v>290</v>
      </c>
      <c r="U47">
        <v>3</v>
      </c>
      <c r="V47" s="2" t="s">
        <v>310</v>
      </c>
      <c r="W47" s="2"/>
      <c r="X47" s="2"/>
      <c r="Y47" s="2"/>
      <c r="Z47" s="2"/>
      <c r="AA47" s="2"/>
      <c r="AB47" s="2"/>
      <c r="AC47" s="2"/>
      <c r="AD47" s="2"/>
      <c r="AE47" s="2"/>
      <c r="AM47">
        <v>8</v>
      </c>
      <c r="AP47" s="2">
        <f>(SQRT(K47*R47)*POWER((MIN(M47,20)+SQRT(MAX(M47-20,0))),0.9)*Data!$B$1)*(1-(S47-1))</f>
        <v>38.152726710580495</v>
      </c>
      <c r="AQ47" s="2"/>
      <c r="AR47" s="2">
        <f>((POWER((K47*K47*R47), 0.33)*LOG10(P47)*10*Data!$B$1)*S47)+AQ47</f>
        <v>59.931305258252422</v>
      </c>
      <c r="AS47" s="2">
        <f t="shared" si="8"/>
        <v>32.258064516129032</v>
      </c>
      <c r="AT47" s="2">
        <f t="shared" si="12"/>
        <v>0</v>
      </c>
      <c r="AV47" s="2">
        <v>1</v>
      </c>
      <c r="AW47" s="2">
        <v>1</v>
      </c>
      <c r="AX47" s="2">
        <f t="shared" si="9"/>
        <v>44</v>
      </c>
      <c r="AY47" s="2">
        <f t="shared" si="10"/>
        <v>44</v>
      </c>
      <c r="AZ47" s="3"/>
      <c r="BA47" s="3"/>
      <c r="BB47" s="3"/>
      <c r="BC47" s="2" t="str">
        <f>CONCATENATE(
ROUND(AZ47*VLOOKUP(I47,'ID Scheme'!$A$2:$E$7,3),0), "x",
ROUND(BA47*VLOOKUP(I47,'ID Scheme'!$A$2:$E$7,5),0), "x",
ROUND(BB47*VLOOKUP(I47,'ID Scheme'!$A$2:$E$7,4),0))</f>
        <v>0x0x0</v>
      </c>
    </row>
    <row r="48" spans="1:55" x14ac:dyDescent="0.25">
      <c r="A48" t="s">
        <v>101</v>
      </c>
      <c r="B48" t="s">
        <v>170</v>
      </c>
      <c r="C48" t="s">
        <v>286</v>
      </c>
      <c r="D48">
        <f>IF(E48 &gt; 2020, ((E48-2020)*4)+1610+G48,IF(E48 &gt; 1900, ((E48-1900)*10)+400+G48, ((E48-1730)*2)+G48))+VLOOKUP(I48,'ID Scheme'!$A$2:$B$7,2, FALSE)</f>
        <v>1332</v>
      </c>
      <c r="E48">
        <v>1933</v>
      </c>
      <c r="F48">
        <v>3</v>
      </c>
      <c r="G48">
        <v>2</v>
      </c>
      <c r="H48" t="s">
        <v>524</v>
      </c>
      <c r="I48" t="s">
        <v>12</v>
      </c>
      <c r="J48" t="s">
        <v>502</v>
      </c>
      <c r="K48">
        <v>48</v>
      </c>
      <c r="L48">
        <v>25</v>
      </c>
      <c r="M48">
        <v>15</v>
      </c>
      <c r="N48">
        <v>5</v>
      </c>
      <c r="O48">
        <v>4</v>
      </c>
      <c r="P48">
        <v>90</v>
      </c>
      <c r="Q48">
        <v>20</v>
      </c>
      <c r="R48">
        <v>20</v>
      </c>
      <c r="S48">
        <v>1</v>
      </c>
      <c r="T48" t="s">
        <v>290</v>
      </c>
      <c r="U48">
        <v>0</v>
      </c>
      <c r="V48" s="2" t="s">
        <v>309</v>
      </c>
      <c r="W48" s="2"/>
      <c r="X48" s="2"/>
      <c r="Y48" s="2"/>
      <c r="Z48" s="2"/>
      <c r="AA48" s="2"/>
      <c r="AB48" s="2"/>
      <c r="AC48" s="2"/>
      <c r="AD48" s="2"/>
      <c r="AE48" s="2"/>
      <c r="AM48">
        <v>6</v>
      </c>
      <c r="AP48" s="2">
        <f>(SQRT(K48*R48)*POWER((MIN(M48,20)+SQRT(MAX(M48-20,0))),0.9)*Data!$B$1)*(1-(S48-1))</f>
        <v>26.587592451565005</v>
      </c>
      <c r="AQ48" s="2"/>
      <c r="AR48" s="2">
        <f>((POWER((K48*K48*R48), 0.33)*LOG10(P48)*10*Data!$B$1)*S48)+AQ48</f>
        <v>50.698934782631881</v>
      </c>
      <c r="AS48" s="2">
        <f t="shared" si="8"/>
        <v>38.70967741935484</v>
      </c>
      <c r="AT48" s="2">
        <f t="shared" si="12"/>
        <v>0</v>
      </c>
      <c r="AV48" s="2">
        <v>1</v>
      </c>
      <c r="AW48" s="2">
        <v>1</v>
      </c>
      <c r="AX48" s="2">
        <f t="shared" si="9"/>
        <v>20</v>
      </c>
      <c r="AY48" s="2">
        <f t="shared" si="10"/>
        <v>20</v>
      </c>
      <c r="BB48" s="3"/>
      <c r="BC48" s="2" t="str">
        <f>CONCATENATE(
ROUND(AZ48*VLOOKUP(I48,'ID Scheme'!$A$2:$E$7,3),0), "x",
ROUND(BA48*VLOOKUP(I48,'ID Scheme'!$A$2:$E$7,5),0), "x",
ROUND(BB48*VLOOKUP(I48,'ID Scheme'!$A$2:$E$7,4),0))</f>
        <v>0x0x0</v>
      </c>
    </row>
    <row r="49" spans="1:56" x14ac:dyDescent="0.25">
      <c r="A49" t="s">
        <v>92</v>
      </c>
      <c r="B49" t="s">
        <v>171</v>
      </c>
      <c r="C49" t="s">
        <v>286</v>
      </c>
      <c r="D49">
        <f>IF(E49 &gt; 2020, ((E49-2020)*4)+1610+G49,IF(E49 &gt; 1900, ((E49-1900)*10)+400+G49, ((E49-1730)*2)+G49))+VLOOKUP(I49,'ID Scheme'!$A$2:$B$7,2, FALSE)</f>
        <v>1371</v>
      </c>
      <c r="E49">
        <v>1937</v>
      </c>
      <c r="F49">
        <v>1</v>
      </c>
      <c r="G49">
        <v>1</v>
      </c>
      <c r="H49" t="s">
        <v>524</v>
      </c>
      <c r="I49" t="s">
        <v>12</v>
      </c>
      <c r="J49" t="s">
        <v>502</v>
      </c>
      <c r="K49">
        <v>44</v>
      </c>
      <c r="L49">
        <v>15</v>
      </c>
      <c r="M49">
        <v>15</v>
      </c>
      <c r="N49">
        <v>4</v>
      </c>
      <c r="O49">
        <v>5</v>
      </c>
      <c r="P49">
        <v>100</v>
      </c>
      <c r="Q49">
        <v>20</v>
      </c>
      <c r="R49">
        <v>38</v>
      </c>
      <c r="S49">
        <v>1</v>
      </c>
      <c r="T49" t="s">
        <v>290</v>
      </c>
      <c r="U49">
        <v>1</v>
      </c>
      <c r="V49" s="2" t="s">
        <v>308</v>
      </c>
      <c r="W49" s="2"/>
      <c r="X49" s="2"/>
      <c r="Y49" s="2"/>
      <c r="Z49" s="2"/>
      <c r="AA49" s="2"/>
      <c r="AB49" s="2"/>
      <c r="AC49" s="2"/>
      <c r="AD49" s="2"/>
      <c r="AE49" s="2"/>
      <c r="AM49">
        <v>7</v>
      </c>
      <c r="AP49" s="2">
        <f>(SQRT(K49*R49)*POWER((MIN(M49,20)+SQRT(MAX(M49-20,0))),0.9)*Data!$B$1)*(1-(S49-1))</f>
        <v>35.088235816466785</v>
      </c>
      <c r="AQ49" s="2"/>
      <c r="AR49" s="2">
        <f>((POWER((K49*K49*R49), 0.33)*LOG10(P49)*10*Data!$B$1)*S49)+AQ49</f>
        <v>60.547834117089934</v>
      </c>
      <c r="AS49" s="2">
        <f t="shared" si="8"/>
        <v>35.483870967741936</v>
      </c>
      <c r="AT49" s="2">
        <f t="shared" si="12"/>
        <v>0</v>
      </c>
      <c r="AV49" s="2">
        <v>1</v>
      </c>
      <c r="AW49" s="2">
        <v>1</v>
      </c>
      <c r="AX49" s="2">
        <f t="shared" si="9"/>
        <v>38</v>
      </c>
      <c r="AY49" s="2">
        <f t="shared" si="10"/>
        <v>38</v>
      </c>
      <c r="AZ49" s="3">
        <v>8.4</v>
      </c>
      <c r="BA49" s="3">
        <v>2.4</v>
      </c>
      <c r="BB49" s="3">
        <v>2.6</v>
      </c>
      <c r="BC49" s="2" t="str">
        <f>CONCATENATE(
ROUND(AZ49*VLOOKUP(I49,'ID Scheme'!$A$2:$E$7,3),0), "x",
ROUND(BA49*VLOOKUP(I49,'ID Scheme'!$A$2:$E$7,5),0), "x",
ROUND(BB49*VLOOKUP(I49,'ID Scheme'!$A$2:$E$7,4),0))</f>
        <v>78x35x25</v>
      </c>
    </row>
    <row r="50" spans="1:56" x14ac:dyDescent="0.25">
      <c r="A50" t="s">
        <v>27</v>
      </c>
      <c r="B50" t="s">
        <v>162</v>
      </c>
      <c r="C50" t="s">
        <v>286</v>
      </c>
      <c r="D50">
        <f>IF(E50 &gt; 2020, ((E50-2020)*4)+1610+G50,IF(E50 &gt; 1900, ((E50-1900)*10)+400+G50, ((E50-1730)*2)+G50))+VLOOKUP(I50,'ID Scheme'!$A$2:$B$7,2, FALSE)</f>
        <v>1451</v>
      </c>
      <c r="E50">
        <v>1945</v>
      </c>
      <c r="F50">
        <v>9</v>
      </c>
      <c r="G50">
        <v>1</v>
      </c>
      <c r="H50" t="s">
        <v>524</v>
      </c>
      <c r="I50" t="s">
        <v>12</v>
      </c>
      <c r="J50" t="s">
        <v>502</v>
      </c>
      <c r="K50">
        <v>38</v>
      </c>
      <c r="L50">
        <v>20</v>
      </c>
      <c r="M50">
        <v>20</v>
      </c>
      <c r="N50">
        <v>7</v>
      </c>
      <c r="O50">
        <v>7</v>
      </c>
      <c r="P50">
        <v>115</v>
      </c>
      <c r="Q50">
        <v>20</v>
      </c>
      <c r="R50">
        <v>57</v>
      </c>
      <c r="S50">
        <v>1</v>
      </c>
      <c r="T50" t="s">
        <v>290</v>
      </c>
      <c r="U50">
        <v>3</v>
      </c>
      <c r="V50" s="2" t="s">
        <v>307</v>
      </c>
      <c r="W50" s="2"/>
      <c r="X50" s="2"/>
      <c r="Y50" s="2"/>
      <c r="Z50" s="2"/>
      <c r="AA50" s="2"/>
      <c r="AB50" s="2"/>
      <c r="AC50" s="2"/>
      <c r="AD50" s="2"/>
      <c r="AE50" s="2"/>
      <c r="AM50">
        <v>8</v>
      </c>
      <c r="AP50" s="2">
        <f>(SQRT(K50*R50)*POWER((MIN(M50,20)+SQRT(MAX(M50-20,0))),0.9)*Data!$B$1)*(1-(S50-1))</f>
        <v>51.738935086655786</v>
      </c>
      <c r="AQ50" s="2"/>
      <c r="AR50" s="2">
        <f>((POWER((K50*K50*R50), 0.33)*LOG10(P50)*10*Data!$B$1)*S50)+AQ50</f>
        <v>64.739815215748749</v>
      </c>
      <c r="AS50" s="2">
        <f t="shared" si="8"/>
        <v>30.64516129032258</v>
      </c>
      <c r="AT50" s="2">
        <f t="shared" si="12"/>
        <v>0</v>
      </c>
      <c r="AV50" s="2">
        <v>1</v>
      </c>
      <c r="AW50" s="2">
        <v>1</v>
      </c>
      <c r="AX50" s="2">
        <f t="shared" si="9"/>
        <v>57</v>
      </c>
      <c r="AY50" s="2">
        <f t="shared" si="10"/>
        <v>57</v>
      </c>
      <c r="AZ50" s="3"/>
      <c r="BA50" s="3"/>
      <c r="BB50" s="3"/>
      <c r="BC50" s="2" t="str">
        <f>CONCATENATE(
ROUND(AZ50*VLOOKUP(I50,'ID Scheme'!$A$2:$E$7,3),0), "x",
ROUND(BA50*VLOOKUP(I50,'ID Scheme'!$A$2:$E$7,5),0), "x",
ROUND(BB50*VLOOKUP(I50,'ID Scheme'!$A$2:$E$7,4),0))</f>
        <v>0x0x0</v>
      </c>
    </row>
    <row r="51" spans="1:56" x14ac:dyDescent="0.25">
      <c r="A51" t="s">
        <v>86</v>
      </c>
      <c r="B51" t="s">
        <v>172</v>
      </c>
      <c r="C51" t="s">
        <v>286</v>
      </c>
      <c r="D51">
        <f>IF(E51 &gt; 2020, ((E51-2020)*4)+1610+G51,IF(E51 &gt; 1900, ((E51-1900)*10)+400+G51, ((E51-1730)*2)+G51))+VLOOKUP(I51,'ID Scheme'!$A$2:$B$7,2, FALSE)</f>
        <v>1491</v>
      </c>
      <c r="E51">
        <v>1949</v>
      </c>
      <c r="F51">
        <v>6</v>
      </c>
      <c r="G51">
        <v>1</v>
      </c>
      <c r="H51" t="s">
        <v>524</v>
      </c>
      <c r="I51" t="s">
        <v>12</v>
      </c>
      <c r="J51" t="s">
        <v>502</v>
      </c>
      <c r="K51">
        <v>42</v>
      </c>
      <c r="L51">
        <v>20</v>
      </c>
      <c r="M51">
        <v>18</v>
      </c>
      <c r="N51">
        <v>6</v>
      </c>
      <c r="O51">
        <v>6.5</v>
      </c>
      <c r="P51">
        <v>120</v>
      </c>
      <c r="Q51">
        <v>20</v>
      </c>
      <c r="R51">
        <v>58</v>
      </c>
      <c r="S51">
        <v>1</v>
      </c>
      <c r="T51" t="s">
        <v>290</v>
      </c>
      <c r="U51">
        <v>3</v>
      </c>
      <c r="V51" s="2" t="s">
        <v>293</v>
      </c>
      <c r="W51" s="2"/>
      <c r="X51" s="2"/>
      <c r="Y51" s="2"/>
      <c r="Z51" s="2"/>
      <c r="AA51" s="2"/>
      <c r="AB51" s="2"/>
      <c r="AC51" s="2"/>
      <c r="AD51" s="2"/>
      <c r="AE51" s="2"/>
      <c r="AM51">
        <v>7</v>
      </c>
      <c r="AP51" s="2">
        <f>(SQRT(K51*R51)*POWER((MIN(M51,20)+SQRT(MAX(M51-20,0))),0.9)*Data!$B$1)*(1-(S51-1))</f>
        <v>49.905126406384355</v>
      </c>
      <c r="AQ51" s="2"/>
      <c r="AR51" s="2">
        <f>((POWER((K51*K51*R51), 0.33)*LOG10(P51)*10*Data!$B$1)*S51)+AQ51</f>
        <v>70.182588528436455</v>
      </c>
      <c r="AS51" s="2">
        <f t="shared" si="8"/>
        <v>33.870967741935488</v>
      </c>
      <c r="AT51" s="2">
        <f t="shared" si="12"/>
        <v>0</v>
      </c>
      <c r="AV51" s="2">
        <v>1</v>
      </c>
      <c r="AW51" s="2">
        <v>1</v>
      </c>
      <c r="AX51" s="2">
        <f t="shared" si="9"/>
        <v>58</v>
      </c>
      <c r="AY51" s="2">
        <f t="shared" si="10"/>
        <v>58</v>
      </c>
      <c r="AZ51" s="3">
        <v>9.1</v>
      </c>
      <c r="BA51" s="3">
        <v>2.4</v>
      </c>
      <c r="BB51" s="3">
        <v>3.9</v>
      </c>
      <c r="BC51" s="2" t="str">
        <f>CONCATENATE(
ROUND(AZ51*VLOOKUP(I51,'ID Scheme'!$A$2:$E$7,3),0), "x",
ROUND(BA51*VLOOKUP(I51,'ID Scheme'!$A$2:$E$7,5),0), "x",
ROUND(BB51*VLOOKUP(I51,'ID Scheme'!$A$2:$E$7,4),0))</f>
        <v>85x35x38</v>
      </c>
      <c r="BD51" t="s">
        <v>87</v>
      </c>
    </row>
    <row r="52" spans="1:56" x14ac:dyDescent="0.25">
      <c r="A52" t="s">
        <v>583</v>
      </c>
      <c r="B52" t="s">
        <v>584</v>
      </c>
      <c r="C52" t="s">
        <v>286</v>
      </c>
      <c r="D52">
        <f>IF(E52 &gt; 2020, ((E52-2020)*4)+1610+G52,IF(E52 &gt; 1900, ((E52-1900)*10)+400+G52, ((E52-1730)*2)+G52))+VLOOKUP(I52,'ID Scheme'!$A$2:$B$7,2, FALSE)</f>
        <v>1502</v>
      </c>
      <c r="E52">
        <v>1950</v>
      </c>
      <c r="F52">
        <v>7</v>
      </c>
      <c r="G52">
        <v>2</v>
      </c>
      <c r="H52" t="s">
        <v>524</v>
      </c>
      <c r="I52" t="s">
        <v>12</v>
      </c>
      <c r="J52" t="s">
        <v>507</v>
      </c>
      <c r="K52">
        <v>30</v>
      </c>
      <c r="L52">
        <v>20</v>
      </c>
      <c r="M52">
        <v>17</v>
      </c>
      <c r="N52">
        <v>5</v>
      </c>
      <c r="O52">
        <v>5</v>
      </c>
      <c r="P52">
        <v>75</v>
      </c>
      <c r="Q52">
        <v>20</v>
      </c>
      <c r="R52">
        <v>56</v>
      </c>
      <c r="S52">
        <v>1</v>
      </c>
      <c r="T52" t="s">
        <v>366</v>
      </c>
      <c r="U52">
        <v>3</v>
      </c>
      <c r="V52" s="2" t="s">
        <v>585</v>
      </c>
      <c r="W52" s="2"/>
      <c r="X52" s="2"/>
      <c r="Y52" s="2"/>
      <c r="Z52" s="2"/>
      <c r="AA52" s="2"/>
      <c r="AB52" s="2"/>
      <c r="AC52" s="2"/>
      <c r="AD52" s="2"/>
      <c r="AE52" s="2"/>
      <c r="AM52">
        <v>8</v>
      </c>
      <c r="AP52" s="2">
        <f>(SQRT(K52*R52)*POWER((MIN(M52,20)+SQRT(MAX(M52-20,0))),0.9)*Data!$B$1)*(1-(S52-1))</f>
        <v>39.365877210261296</v>
      </c>
      <c r="AQ52" s="2"/>
      <c r="AR52" s="2">
        <f>((POWER((K52*K52*R52), 0.33)*LOG10(P52)*10*Data!$B$1)*S52)+AQ52</f>
        <v>50.104738782023908</v>
      </c>
      <c r="AS52" s="2">
        <f t="shared" si="8"/>
        <v>24.193548387096776</v>
      </c>
      <c r="AT52" s="2">
        <f t="shared" ref="AT52" si="15">AF52/1.24</f>
        <v>0</v>
      </c>
      <c r="AV52" s="2">
        <v>1</v>
      </c>
      <c r="AW52" s="2">
        <v>1</v>
      </c>
      <c r="AX52" s="2">
        <f t="shared" si="9"/>
        <v>56</v>
      </c>
      <c r="AY52" s="2">
        <f t="shared" si="10"/>
        <v>56</v>
      </c>
      <c r="AZ52" s="3">
        <v>11</v>
      </c>
      <c r="BA52" s="3">
        <v>2.5</v>
      </c>
      <c r="BB52" s="3">
        <v>3.8</v>
      </c>
      <c r="BC52" s="2" t="str">
        <f>CONCATENATE(
ROUND(AZ52*VLOOKUP(I52,'ID Scheme'!$A$2:$E$7,3),0), "x",
ROUND(BA52*VLOOKUP(I52,'ID Scheme'!$A$2:$E$7,5),0), "x",
ROUND(BB52*VLOOKUP(I52,'ID Scheme'!$A$2:$E$7,4),0))</f>
        <v>103x36x37</v>
      </c>
    </row>
    <row r="53" spans="1:56" x14ac:dyDescent="0.25">
      <c r="A53" t="s">
        <v>85</v>
      </c>
      <c r="B53" t="s">
        <v>173</v>
      </c>
      <c r="C53" t="s">
        <v>286</v>
      </c>
      <c r="D53">
        <f>IF(E53 &gt; 2020, ((E53-2020)*4)+1610+G53,IF(E53 &gt; 1900, ((E53-1900)*10)+400+G53, ((E53-1730)*2)+G53))+VLOOKUP(I53,'ID Scheme'!$A$2:$B$7,2, FALSE)</f>
        <v>1501</v>
      </c>
      <c r="E53">
        <v>1950</v>
      </c>
      <c r="F53">
        <v>1</v>
      </c>
      <c r="G53">
        <v>1</v>
      </c>
      <c r="H53" t="s">
        <v>524</v>
      </c>
      <c r="I53" t="s">
        <v>12</v>
      </c>
      <c r="J53" t="s">
        <v>502</v>
      </c>
      <c r="K53">
        <v>45</v>
      </c>
      <c r="L53">
        <v>15</v>
      </c>
      <c r="M53">
        <v>17</v>
      </c>
      <c r="N53">
        <v>4</v>
      </c>
      <c r="O53">
        <v>5</v>
      </c>
      <c r="P53">
        <v>120</v>
      </c>
      <c r="Q53">
        <v>20</v>
      </c>
      <c r="R53">
        <v>42</v>
      </c>
      <c r="S53">
        <v>1</v>
      </c>
      <c r="T53" t="s">
        <v>290</v>
      </c>
      <c r="U53">
        <v>1</v>
      </c>
      <c r="V53" s="2" t="s">
        <v>294</v>
      </c>
      <c r="W53" s="2"/>
      <c r="X53" s="2"/>
      <c r="Y53" s="2"/>
      <c r="Z53" s="2"/>
      <c r="AA53" s="2"/>
      <c r="AB53" s="2"/>
      <c r="AC53" s="2"/>
      <c r="AD53" s="2"/>
      <c r="AE53" s="2"/>
      <c r="AM53">
        <v>7</v>
      </c>
      <c r="AP53" s="2">
        <f>(SQRT(K53*R53)*POWER((MIN(M53,20)+SQRT(MAX(M53-20,0))),0.9)*Data!$B$1)*(1-(S53-1))</f>
        <v>41.753818084099102</v>
      </c>
      <c r="AQ53" s="2"/>
      <c r="AR53" s="2">
        <f>((POWER((K53*K53*R53), 0.33)*LOG10(P53)*10*Data!$B$1)*S53)+AQ53</f>
        <v>66.030735917412429</v>
      </c>
      <c r="AS53" s="2">
        <f t="shared" si="8"/>
        <v>36.29032258064516</v>
      </c>
      <c r="AT53" s="2">
        <f t="shared" si="12"/>
        <v>0</v>
      </c>
      <c r="AV53" s="2">
        <v>1</v>
      </c>
      <c r="AW53" s="2">
        <v>1</v>
      </c>
      <c r="AX53" s="2">
        <f t="shared" si="9"/>
        <v>42</v>
      </c>
      <c r="AY53" s="2">
        <f t="shared" si="10"/>
        <v>42</v>
      </c>
      <c r="AZ53" s="3">
        <v>9.1</v>
      </c>
      <c r="BA53" s="3">
        <v>2.4</v>
      </c>
      <c r="BB53" s="3">
        <v>2.6</v>
      </c>
      <c r="BC53" s="2" t="str">
        <f>CONCATENATE(
ROUND(AZ53*VLOOKUP(I53,'ID Scheme'!$A$2:$E$7,3),0), "x",
ROUND(BA53*VLOOKUP(I53,'ID Scheme'!$A$2:$E$7,5),0), "x",
ROUND(BB53*VLOOKUP(I53,'ID Scheme'!$A$2:$E$7,4),0))</f>
        <v>85x35x25</v>
      </c>
      <c r="BD53" t="s">
        <v>87</v>
      </c>
    </row>
    <row r="54" spans="1:56" x14ac:dyDescent="0.25">
      <c r="A54" t="s">
        <v>28</v>
      </c>
      <c r="B54" t="s">
        <v>174</v>
      </c>
      <c r="C54" t="s">
        <v>286</v>
      </c>
      <c r="D54">
        <f>IF(E54 &gt; 2020, ((E54-2020)*4)+1610+G54,IF(E54 &gt; 1900, ((E54-1900)*10)+400+G54, ((E54-1730)*2)+G54))+VLOOKUP(I54,'ID Scheme'!$A$2:$B$7,2, FALSE)</f>
        <v>1541</v>
      </c>
      <c r="E54">
        <v>1954</v>
      </c>
      <c r="F54">
        <v>9</v>
      </c>
      <c r="G54">
        <v>1</v>
      </c>
      <c r="H54" t="s">
        <v>524</v>
      </c>
      <c r="I54" t="s">
        <v>12</v>
      </c>
      <c r="J54" t="s">
        <v>502</v>
      </c>
      <c r="K54">
        <v>40</v>
      </c>
      <c r="L54">
        <v>40</v>
      </c>
      <c r="M54">
        <v>25</v>
      </c>
      <c r="N54">
        <v>7</v>
      </c>
      <c r="O54">
        <v>7.5</v>
      </c>
      <c r="P54">
        <v>115</v>
      </c>
      <c r="Q54">
        <v>20</v>
      </c>
      <c r="R54">
        <v>72</v>
      </c>
      <c r="S54">
        <v>1</v>
      </c>
      <c r="T54" t="s">
        <v>290</v>
      </c>
      <c r="U54">
        <v>3</v>
      </c>
      <c r="V54" s="2" t="s">
        <v>306</v>
      </c>
      <c r="W54" s="2"/>
      <c r="X54" s="2"/>
      <c r="Y54" s="2"/>
      <c r="Z54" s="2"/>
      <c r="AA54" s="2"/>
      <c r="AB54" s="2"/>
      <c r="AC54" s="2"/>
      <c r="AD54" s="2"/>
      <c r="AE54" s="2"/>
      <c r="AM54">
        <v>8</v>
      </c>
      <c r="AP54" s="2">
        <f>(SQRT(K54*R54)*POWER((MIN(M54,20)+SQRT(MAX(M54-20,0))),0.9)*Data!$B$1)*(1-(S54-1))</f>
        <v>65.631102684772316</v>
      </c>
      <c r="AQ54" s="2"/>
      <c r="AR54" s="2">
        <f>((POWER((K54*K54*R54), 0.33)*LOG10(P54)*10*Data!$B$1)*S54)+AQ54</f>
        <v>72.3360679145528</v>
      </c>
      <c r="AS54" s="2">
        <f t="shared" si="8"/>
        <v>32.258064516129032</v>
      </c>
      <c r="AT54" s="2">
        <f t="shared" si="12"/>
        <v>0</v>
      </c>
      <c r="AV54" s="2">
        <v>1</v>
      </c>
      <c r="AW54" s="2">
        <v>1</v>
      </c>
      <c r="AX54" s="2">
        <f t="shared" si="9"/>
        <v>72</v>
      </c>
      <c r="AY54" s="2">
        <f t="shared" si="10"/>
        <v>72</v>
      </c>
      <c r="AZ54" s="3"/>
      <c r="BA54" s="3"/>
      <c r="BB54" s="3"/>
      <c r="BC54" s="2" t="str">
        <f>CONCATENATE(
ROUND(AZ54*VLOOKUP(I54,'ID Scheme'!$A$2:$E$7,3),0), "x",
ROUND(BA54*VLOOKUP(I54,'ID Scheme'!$A$2:$E$7,5),0), "x",
ROUND(BB54*VLOOKUP(I54,'ID Scheme'!$A$2:$E$7,4),0))</f>
        <v>0x0x0</v>
      </c>
    </row>
    <row r="55" spans="1:56" x14ac:dyDescent="0.25">
      <c r="A55" t="s">
        <v>29</v>
      </c>
      <c r="B55" t="s">
        <v>175</v>
      </c>
      <c r="C55" t="s">
        <v>286</v>
      </c>
      <c r="D55">
        <f>IF(E55 &gt; 2020, ((E55-2020)*4)+1610+G55,IF(E55 &gt; 1900, ((E55-1900)*10)+400+G55, ((E55-1730)*2)+G55))+VLOOKUP(I55,'ID Scheme'!$A$2:$B$7,2, FALSE)</f>
        <v>1581</v>
      </c>
      <c r="E55">
        <v>1958</v>
      </c>
      <c r="F55">
        <v>6</v>
      </c>
      <c r="G55">
        <v>1</v>
      </c>
      <c r="H55" t="s">
        <v>524</v>
      </c>
      <c r="I55" t="s">
        <v>12</v>
      </c>
      <c r="J55" t="s">
        <v>502</v>
      </c>
      <c r="K55">
        <v>76</v>
      </c>
      <c r="L55">
        <v>15</v>
      </c>
      <c r="M55">
        <v>16</v>
      </c>
      <c r="N55">
        <v>4</v>
      </c>
      <c r="O55">
        <v>6</v>
      </c>
      <c r="P55">
        <v>138</v>
      </c>
      <c r="Q55">
        <v>24</v>
      </c>
      <c r="R55">
        <v>34</v>
      </c>
      <c r="S55">
        <v>1.1000000000000001</v>
      </c>
      <c r="T55" t="s">
        <v>296</v>
      </c>
      <c r="U55">
        <v>2</v>
      </c>
      <c r="V55" s="2" t="s">
        <v>297</v>
      </c>
      <c r="W55" s="2"/>
      <c r="X55" s="2"/>
      <c r="Y55" s="2"/>
      <c r="Z55" s="2"/>
      <c r="AA55" s="2"/>
      <c r="AB55" s="2"/>
      <c r="AC55" s="2"/>
      <c r="AD55" s="2"/>
      <c r="AE55" s="2"/>
      <c r="AF55">
        <v>62</v>
      </c>
      <c r="AM55">
        <v>8</v>
      </c>
      <c r="AP55" s="2">
        <f>(SQRT(K55*R55)*POWER((MIN(M55,20)+SQRT(MAX(M55-20,0))),0.9)*Data!$B$1)*(1-(S55-1))</f>
        <v>41.606196119796323</v>
      </c>
      <c r="AQ55" s="2"/>
      <c r="AR55" s="2">
        <f>((POWER((K55*K55*R55), 0.33)*LOG10(P55)*10*Data!$B$1)*S55)+AQ55</f>
        <v>98.529935018135305</v>
      </c>
      <c r="AS55" s="2">
        <f t="shared" si="8"/>
        <v>61.29032258064516</v>
      </c>
      <c r="AT55" s="2">
        <f t="shared" si="12"/>
        <v>50</v>
      </c>
      <c r="AV55" s="2">
        <v>1</v>
      </c>
      <c r="AW55" s="2">
        <v>1</v>
      </c>
      <c r="AX55" s="2">
        <f t="shared" si="9"/>
        <v>34</v>
      </c>
      <c r="AY55" s="2">
        <f t="shared" si="10"/>
        <v>34</v>
      </c>
      <c r="AZ55" s="3"/>
      <c r="BA55" s="3"/>
      <c r="BB55" s="3"/>
      <c r="BC55" s="2" t="str">
        <f>CONCATENATE(
ROUND(AZ55*VLOOKUP(I55,'ID Scheme'!$A$2:$E$7,3),0), "x",
ROUND(BA55*VLOOKUP(I55,'ID Scheme'!$A$2:$E$7,5),0), "x",
ROUND(BB55*VLOOKUP(I55,'ID Scheme'!$A$2:$E$7,4),0))</f>
        <v>0x0x0</v>
      </c>
    </row>
    <row r="56" spans="1:56" x14ac:dyDescent="0.25">
      <c r="A56" t="s">
        <v>59</v>
      </c>
      <c r="B56" t="s">
        <v>176</v>
      </c>
      <c r="C56" t="s">
        <v>286</v>
      </c>
      <c r="D56">
        <f>IF(E56 &gt; 2020, ((E56-2020)*4)+1610+G56,IF(E56 &gt; 1900, ((E56-1900)*10)+400+G56, ((E56-1730)*2)+G56))+VLOOKUP(I56,'ID Scheme'!$A$2:$B$7,2, FALSE)</f>
        <v>1582</v>
      </c>
      <c r="E56">
        <v>1958</v>
      </c>
      <c r="F56">
        <v>1</v>
      </c>
      <c r="G56">
        <v>2</v>
      </c>
      <c r="H56" t="s">
        <v>524</v>
      </c>
      <c r="I56" t="s">
        <v>12</v>
      </c>
      <c r="J56" t="s">
        <v>502</v>
      </c>
      <c r="K56">
        <v>55</v>
      </c>
      <c r="L56">
        <v>30</v>
      </c>
      <c r="M56">
        <v>25</v>
      </c>
      <c r="N56">
        <v>4</v>
      </c>
      <c r="O56">
        <v>7</v>
      </c>
      <c r="P56">
        <v>140</v>
      </c>
      <c r="Q56">
        <v>20</v>
      </c>
      <c r="R56">
        <v>57</v>
      </c>
      <c r="S56">
        <v>1</v>
      </c>
      <c r="T56" t="s">
        <v>300</v>
      </c>
      <c r="U56">
        <v>3</v>
      </c>
      <c r="V56" s="2" t="s">
        <v>301</v>
      </c>
      <c r="W56" s="2"/>
      <c r="X56" s="2"/>
      <c r="Y56" s="2"/>
      <c r="Z56" s="2"/>
      <c r="AA56" s="2"/>
      <c r="AB56" s="2"/>
      <c r="AC56" s="2"/>
      <c r="AD56" s="2"/>
      <c r="AE56" s="2"/>
      <c r="AM56">
        <v>8</v>
      </c>
      <c r="AP56" s="2">
        <f>(SQRT(K56*R56)*POWER((MIN(M56,20)+SQRT(MAX(M56-20,0))),0.9)*Data!$B$1)*(1-(S56-1))</f>
        <v>68.475029766042482</v>
      </c>
      <c r="AQ56" s="2"/>
      <c r="AR56" s="2">
        <f>((POWER((K56*K56*R56), 0.33)*LOG10(P56)*10*Data!$B$1)*S56)+AQ56</f>
        <v>86.05873713759469</v>
      </c>
      <c r="AS56" s="2">
        <f t="shared" si="8"/>
        <v>44.354838709677416</v>
      </c>
      <c r="AT56" s="2">
        <f t="shared" si="12"/>
        <v>0</v>
      </c>
      <c r="AV56" s="2">
        <v>1</v>
      </c>
      <c r="AW56" s="2">
        <v>1</v>
      </c>
      <c r="AX56" s="2">
        <f t="shared" si="9"/>
        <v>57</v>
      </c>
      <c r="AY56" s="2">
        <f t="shared" si="10"/>
        <v>57</v>
      </c>
      <c r="AZ56" s="3"/>
      <c r="BA56" s="3"/>
      <c r="BB56" s="3"/>
      <c r="BC56" s="2" t="str">
        <f>CONCATENATE(
ROUND(AZ56*VLOOKUP(I56,'ID Scheme'!$A$2:$E$7,3),0), "x",
ROUND(BA56*VLOOKUP(I56,'ID Scheme'!$A$2:$E$7,5),0), "x",
ROUND(BB56*VLOOKUP(I56,'ID Scheme'!$A$2:$E$7,4),0))</f>
        <v>0x0x0</v>
      </c>
    </row>
    <row r="57" spans="1:56" x14ac:dyDescent="0.25">
      <c r="A57" t="s">
        <v>581</v>
      </c>
      <c r="B57" t="s">
        <v>580</v>
      </c>
      <c r="C57" t="s">
        <v>286</v>
      </c>
      <c r="D57">
        <f>IF(E57 &gt; 2020, ((E57-2020)*4)+1610+G57,IF(E57 &gt; 1900, ((E57-1900)*10)+400+G57, ((E57-1730)*2)+G57))+VLOOKUP(I57,'ID Scheme'!$A$2:$B$7,2, FALSE)</f>
        <v>1601</v>
      </c>
      <c r="E57">
        <v>1960</v>
      </c>
      <c r="F57">
        <v>2</v>
      </c>
      <c r="G57">
        <v>1</v>
      </c>
      <c r="H57" t="s">
        <v>524</v>
      </c>
      <c r="I57" t="s">
        <v>12</v>
      </c>
      <c r="J57" t="s">
        <v>507</v>
      </c>
      <c r="K57">
        <v>30</v>
      </c>
      <c r="L57">
        <v>-1</v>
      </c>
      <c r="M57">
        <v>19</v>
      </c>
      <c r="N57">
        <v>5</v>
      </c>
      <c r="O57">
        <v>5</v>
      </c>
      <c r="P57">
        <v>95</v>
      </c>
      <c r="Q57">
        <v>20</v>
      </c>
      <c r="R57">
        <v>65</v>
      </c>
      <c r="S57">
        <v>1</v>
      </c>
      <c r="T57" t="s">
        <v>366</v>
      </c>
      <c r="U57">
        <v>3</v>
      </c>
      <c r="V57" s="2" t="s">
        <v>582</v>
      </c>
      <c r="W57" s="2"/>
      <c r="X57" s="2"/>
      <c r="Y57" s="2"/>
      <c r="Z57" s="2"/>
      <c r="AA57" s="2"/>
      <c r="AB57" s="2"/>
      <c r="AC57" s="2"/>
      <c r="AD57" s="2"/>
      <c r="AE57" s="2"/>
      <c r="AM57">
        <v>8</v>
      </c>
      <c r="AP57" s="2">
        <f>(SQRT(K57*R57)*POWER((MIN(M57,20)+SQRT(MAX(M57-20,0))),0.9)*Data!$B$1)*(1-(S57-1))</f>
        <v>46.876676153043313</v>
      </c>
      <c r="AQ57" s="2"/>
      <c r="AR57" s="2">
        <f>((POWER((K57*K57*R57), 0.33)*LOG10(P57)*10*Data!$B$1)*S57)+AQ57</f>
        <v>55.512181741920003</v>
      </c>
      <c r="AS57" s="2">
        <f t="shared" si="8"/>
        <v>24.193548387096776</v>
      </c>
      <c r="AT57" s="2">
        <f t="shared" si="12"/>
        <v>0</v>
      </c>
      <c r="AV57" s="2">
        <v>1</v>
      </c>
      <c r="AW57" s="2">
        <v>1</v>
      </c>
      <c r="AX57" s="2">
        <f t="shared" si="9"/>
        <v>65</v>
      </c>
      <c r="AY57" s="2">
        <f t="shared" si="10"/>
        <v>65</v>
      </c>
      <c r="AZ57" s="3">
        <v>11</v>
      </c>
      <c r="BA57" s="3">
        <v>2.5</v>
      </c>
      <c r="BB57" s="3">
        <v>3.8</v>
      </c>
      <c r="BC57" s="2" t="str">
        <f>CONCATENATE(
ROUND(AZ57*VLOOKUP(I57,'ID Scheme'!$A$2:$E$7,3),0), "x",
ROUND(BA57*VLOOKUP(I57,'ID Scheme'!$A$2:$E$7,5),0), "x",
ROUND(BB57*VLOOKUP(I57,'ID Scheme'!$A$2:$E$7,4),0))</f>
        <v>103x36x37</v>
      </c>
    </row>
    <row r="58" spans="1:56" x14ac:dyDescent="0.25">
      <c r="A58" t="s">
        <v>25</v>
      </c>
      <c r="B58" t="s">
        <v>177</v>
      </c>
      <c r="C58" t="s">
        <v>286</v>
      </c>
      <c r="D58">
        <f>IF(E58 &gt; 2020, ((E58-2020)*4)+1610+G58,IF(E58 &gt; 1900, ((E58-1900)*10)+400+G58, ((E58-1730)*2)+G58))+VLOOKUP(I58,'ID Scheme'!$A$2:$B$7,2, FALSE)</f>
        <v>1631</v>
      </c>
      <c r="E58">
        <v>1963</v>
      </c>
      <c r="F58">
        <v>6</v>
      </c>
      <c r="G58">
        <v>1</v>
      </c>
      <c r="H58" t="s">
        <v>524</v>
      </c>
      <c r="I58" t="s">
        <v>12</v>
      </c>
      <c r="J58" t="s">
        <v>502</v>
      </c>
      <c r="K58">
        <v>55</v>
      </c>
      <c r="L58">
        <v>20</v>
      </c>
      <c r="M58">
        <v>18</v>
      </c>
      <c r="N58">
        <v>4</v>
      </c>
      <c r="O58">
        <v>10</v>
      </c>
      <c r="P58">
        <v>143</v>
      </c>
      <c r="Q58">
        <v>20</v>
      </c>
      <c r="R58">
        <v>52</v>
      </c>
      <c r="S58">
        <v>1</v>
      </c>
      <c r="T58" t="s">
        <v>300</v>
      </c>
      <c r="U58">
        <v>3</v>
      </c>
      <c r="V58" s="2" t="s">
        <v>302</v>
      </c>
      <c r="W58" s="2"/>
      <c r="X58" s="2"/>
      <c r="Y58" s="2"/>
      <c r="Z58" s="2"/>
      <c r="AA58" s="2"/>
      <c r="AB58" s="2"/>
      <c r="AC58" s="2"/>
      <c r="AD58" s="2"/>
      <c r="AE58" s="2"/>
      <c r="AM58">
        <v>8</v>
      </c>
      <c r="AP58" s="2">
        <f>(SQRT(K58*R58)*POWER((MIN(M58,20)+SQRT(MAX(M58-20,0))),0.9)*Data!$B$1)*(1-(S58-1))</f>
        <v>54.074129222607461</v>
      </c>
      <c r="AQ58" s="2"/>
      <c r="AR58" s="2">
        <f>((POWER((K58*K58*R58), 0.33)*LOG10(P58)*10*Data!$B$1)*S58)+AQ58</f>
        <v>83.848776966287019</v>
      </c>
      <c r="AS58" s="2">
        <f t="shared" si="8"/>
        <v>44.354838709677416</v>
      </c>
      <c r="AT58" s="2">
        <f t="shared" si="12"/>
        <v>0</v>
      </c>
      <c r="AV58" s="2">
        <v>1</v>
      </c>
      <c r="AW58" s="2">
        <v>1</v>
      </c>
      <c r="AX58" s="2">
        <f t="shared" si="9"/>
        <v>52</v>
      </c>
      <c r="AY58" s="2">
        <f t="shared" si="10"/>
        <v>52</v>
      </c>
      <c r="AZ58" s="3">
        <v>11</v>
      </c>
      <c r="BA58" s="3">
        <v>2.5</v>
      </c>
      <c r="BB58" s="3"/>
      <c r="BC58" s="2" t="str">
        <f>CONCATENATE(
ROUND(AZ58*VLOOKUP(I58,'ID Scheme'!$A$2:$E$7,3),0), "x",
ROUND(BA58*VLOOKUP(I58,'ID Scheme'!$A$2:$E$7,5),0), "x",
ROUND(BB58*VLOOKUP(I58,'ID Scheme'!$A$2:$E$7,4),0))</f>
        <v>103x36x0</v>
      </c>
    </row>
    <row r="59" spans="1:56" x14ac:dyDescent="0.25">
      <c r="A59" t="s">
        <v>45</v>
      </c>
      <c r="B59" t="s">
        <v>178</v>
      </c>
      <c r="C59" t="s">
        <v>286</v>
      </c>
      <c r="D59">
        <f>IF(E59 &gt; 2020, ((E59-2020)*4)+1610+G59,IF(E59 &gt; 1900, ((E59-1900)*10)+400+G59, ((E59-1730)*2)+G59))+VLOOKUP(I59,'ID Scheme'!$A$2:$B$7,2, FALSE)</f>
        <v>1721</v>
      </c>
      <c r="E59">
        <v>1972</v>
      </c>
      <c r="F59">
        <v>1</v>
      </c>
      <c r="G59">
        <v>1</v>
      </c>
      <c r="H59" t="s">
        <v>524</v>
      </c>
      <c r="I59" t="s">
        <v>12</v>
      </c>
      <c r="J59" t="s">
        <v>502</v>
      </c>
      <c r="K59">
        <v>52</v>
      </c>
      <c r="L59">
        <v>23</v>
      </c>
      <c r="M59">
        <v>22</v>
      </c>
      <c r="N59">
        <v>5</v>
      </c>
      <c r="O59">
        <v>7</v>
      </c>
      <c r="P59">
        <v>165</v>
      </c>
      <c r="Q59">
        <v>20</v>
      </c>
      <c r="R59">
        <v>58</v>
      </c>
      <c r="S59">
        <v>1</v>
      </c>
      <c r="T59" t="s">
        <v>290</v>
      </c>
      <c r="U59">
        <v>3</v>
      </c>
      <c r="V59" s="2" t="s">
        <v>303</v>
      </c>
      <c r="W59" s="2"/>
      <c r="X59" s="2"/>
      <c r="Y59" s="2"/>
      <c r="Z59" s="2"/>
      <c r="AA59" s="2"/>
      <c r="AB59" s="2"/>
      <c r="AC59" s="2"/>
      <c r="AD59" s="2"/>
      <c r="AE59" s="2"/>
      <c r="AM59">
        <v>8</v>
      </c>
      <c r="AP59" s="2">
        <f>(SQRT(K59*R59)*POWER((MIN(M59,20)+SQRT(MAX(M59-20,0))),0.9)*Data!$B$1)*(1-(S59-1))</f>
        <v>64.924535113354011</v>
      </c>
      <c r="AQ59" s="2"/>
      <c r="AR59" s="2">
        <f>((POWER((K59*K59*R59), 0.33)*LOG10(P59)*10*Data!$B$1)*S59)+AQ59</f>
        <v>86.181726874059862</v>
      </c>
      <c r="AS59" s="2">
        <f t="shared" si="8"/>
        <v>41.935483870967744</v>
      </c>
      <c r="AT59" s="2">
        <f t="shared" si="12"/>
        <v>0</v>
      </c>
      <c r="AV59" s="2">
        <v>1</v>
      </c>
      <c r="AW59" s="2">
        <v>1</v>
      </c>
      <c r="AX59" s="2">
        <f t="shared" si="9"/>
        <v>58</v>
      </c>
      <c r="AY59" s="2">
        <f t="shared" si="10"/>
        <v>58</v>
      </c>
      <c r="AZ59" s="3">
        <v>11.3</v>
      </c>
      <c r="BA59" s="3">
        <v>2.5</v>
      </c>
      <c r="BB59" s="3"/>
      <c r="BC59" s="2" t="str">
        <f>CONCATENATE(
ROUND(AZ59*VLOOKUP(I59,'ID Scheme'!$A$2:$E$7,3),0), "x",
ROUND(BA59*VLOOKUP(I59,'ID Scheme'!$A$2:$E$7,5),0), "x",
ROUND(BB59*VLOOKUP(I59,'ID Scheme'!$A$2:$E$7,4),0))</f>
        <v>106x36x0</v>
      </c>
    </row>
    <row r="60" spans="1:56" x14ac:dyDescent="0.25">
      <c r="A60" t="s">
        <v>94</v>
      </c>
      <c r="B60" t="s">
        <v>179</v>
      </c>
      <c r="C60" t="s">
        <v>286</v>
      </c>
      <c r="D60">
        <f>IF(E60 &gt; 2020, ((E60-2020)*4)+1610+G60,IF(E60 &gt; 1900, ((E60-1900)*10)+400+G60, ((E60-1730)*2)+G60))+VLOOKUP(I60,'ID Scheme'!$A$2:$B$7,2, FALSE)</f>
        <v>1771</v>
      </c>
      <c r="E60">
        <v>1977</v>
      </c>
      <c r="F60">
        <v>1</v>
      </c>
      <c r="G60">
        <v>1</v>
      </c>
      <c r="H60" t="s">
        <v>524</v>
      </c>
      <c r="I60" t="s">
        <v>12</v>
      </c>
      <c r="J60" t="s">
        <v>502</v>
      </c>
      <c r="K60">
        <v>45</v>
      </c>
      <c r="L60">
        <v>12</v>
      </c>
      <c r="M60">
        <v>19</v>
      </c>
      <c r="N60">
        <v>7</v>
      </c>
      <c r="O60">
        <v>10</v>
      </c>
      <c r="P60">
        <v>210</v>
      </c>
      <c r="Q60">
        <v>20</v>
      </c>
      <c r="R60">
        <v>71</v>
      </c>
      <c r="S60">
        <v>1</v>
      </c>
      <c r="T60" t="s">
        <v>300</v>
      </c>
      <c r="U60">
        <v>3</v>
      </c>
      <c r="V60" s="2" t="s">
        <v>304</v>
      </c>
      <c r="W60" s="2"/>
      <c r="X60" s="2"/>
      <c r="Y60" s="2"/>
      <c r="Z60" s="2"/>
      <c r="AA60" s="2"/>
      <c r="AB60" s="2"/>
      <c r="AC60" s="2"/>
      <c r="AD60" s="2"/>
      <c r="AE60" s="2"/>
      <c r="AM60">
        <v>8</v>
      </c>
      <c r="AP60" s="2">
        <f>(SQRT(K60*R60)*POWER((MIN(M60,20)+SQRT(MAX(M60-20,0))),0.9)*Data!$B$1)*(1-(S60-1))</f>
        <v>60.003272308491312</v>
      </c>
      <c r="AQ60" s="2"/>
      <c r="AR60" s="2">
        <f>((POWER((K60*K60*R60), 0.33)*LOG10(P60)*10*Data!$B$1)*S60)+AQ60</f>
        <v>87.700083475967674</v>
      </c>
      <c r="AS60" s="2">
        <f t="shared" si="8"/>
        <v>36.29032258064516</v>
      </c>
      <c r="AT60" s="2">
        <f t="shared" si="12"/>
        <v>0</v>
      </c>
      <c r="AV60" s="2">
        <v>1</v>
      </c>
      <c r="AW60" s="2">
        <v>1</v>
      </c>
      <c r="AX60" s="2">
        <f t="shared" si="9"/>
        <v>71</v>
      </c>
      <c r="AY60" s="2">
        <f t="shared" si="10"/>
        <v>71</v>
      </c>
      <c r="AZ60" s="3">
        <v>12</v>
      </c>
      <c r="BA60" s="3">
        <v>2.5</v>
      </c>
      <c r="BB60" s="3">
        <v>4.2</v>
      </c>
      <c r="BC60" s="2" t="str">
        <f>CONCATENATE(
ROUND(AZ60*VLOOKUP(I60,'ID Scheme'!$A$2:$E$7,3),0), "x",
ROUND(BA60*VLOOKUP(I60,'ID Scheme'!$A$2:$E$7,5),0), "x",
ROUND(BB60*VLOOKUP(I60,'ID Scheme'!$A$2:$E$7,4),0))</f>
        <v>112x36x41</v>
      </c>
    </row>
    <row r="61" spans="1:56" x14ac:dyDescent="0.25">
      <c r="A61" t="s">
        <v>34</v>
      </c>
      <c r="B61" t="s">
        <v>180</v>
      </c>
      <c r="C61" t="s">
        <v>286</v>
      </c>
      <c r="D61">
        <f>IF(E61 &gt; 2020, ((E61-2020)*4)+1610+G61,IF(E61 &gt; 1900, ((E61-1900)*10)+400+G61, ((E61-1730)*2)+G61))+VLOOKUP(I61,'ID Scheme'!$A$2:$B$7,2, FALSE)</f>
        <v>1781</v>
      </c>
      <c r="E61">
        <v>1978</v>
      </c>
      <c r="F61">
        <v>6</v>
      </c>
      <c r="G61">
        <v>1</v>
      </c>
      <c r="H61" t="s">
        <v>524</v>
      </c>
      <c r="I61" t="s">
        <v>12</v>
      </c>
      <c r="J61" t="s">
        <v>502</v>
      </c>
      <c r="K61">
        <v>62</v>
      </c>
      <c r="L61">
        <v>25</v>
      </c>
      <c r="M61">
        <v>22</v>
      </c>
      <c r="N61">
        <v>4</v>
      </c>
      <c r="O61">
        <v>12</v>
      </c>
      <c r="P61">
        <v>245</v>
      </c>
      <c r="Q61">
        <v>18</v>
      </c>
      <c r="R61">
        <v>55</v>
      </c>
      <c r="S61">
        <v>1</v>
      </c>
      <c r="T61" t="s">
        <v>296</v>
      </c>
      <c r="U61">
        <v>3</v>
      </c>
      <c r="V61" s="2" t="s">
        <v>305</v>
      </c>
      <c r="W61" s="2"/>
      <c r="X61" s="2"/>
      <c r="Y61" s="2"/>
      <c r="Z61" s="2"/>
      <c r="AA61" s="2"/>
      <c r="AB61" s="2"/>
      <c r="AC61" s="2"/>
      <c r="AD61" s="2"/>
      <c r="AE61" s="2"/>
      <c r="AM61">
        <v>8</v>
      </c>
      <c r="AP61" s="2">
        <f>(SQRT(K61*R61)*POWER((MIN(M61,20)+SQRT(MAX(M61-20,0))),0.9)*Data!$B$1)*(1-(S61-1))</f>
        <v>69.035165364270128</v>
      </c>
      <c r="AQ61" s="2"/>
      <c r="AR61" s="2">
        <f>((POWER((K61*K61*R61), 0.33)*LOG10(P61)*10*Data!$B$1)*S61)+AQ61</f>
        <v>102.47214024912293</v>
      </c>
      <c r="AS61" s="2">
        <f t="shared" si="8"/>
        <v>50</v>
      </c>
      <c r="AT61" s="2">
        <f t="shared" si="12"/>
        <v>0</v>
      </c>
      <c r="AV61" s="2">
        <v>1</v>
      </c>
      <c r="AW61" s="2">
        <v>1</v>
      </c>
      <c r="AX61" s="2">
        <f t="shared" si="9"/>
        <v>55</v>
      </c>
      <c r="AY61" s="2">
        <f t="shared" si="10"/>
        <v>55</v>
      </c>
      <c r="AZ61" s="3">
        <v>12</v>
      </c>
      <c r="BA61" s="3">
        <v>2.5</v>
      </c>
      <c r="BB61" s="3">
        <v>3.3</v>
      </c>
      <c r="BC61" s="2" t="str">
        <f>CONCATENATE(
ROUND(AZ61*VLOOKUP(I61,'ID Scheme'!$A$2:$E$7,3),0), "x",
ROUND(BA61*VLOOKUP(I61,'ID Scheme'!$A$2:$E$7,5),0), "x",
ROUND(BB61*VLOOKUP(I61,'ID Scheme'!$A$2:$E$7,4),0))</f>
        <v>112x36x32</v>
      </c>
    </row>
    <row r="62" spans="1:56" x14ac:dyDescent="0.25">
      <c r="A62" t="s">
        <v>32</v>
      </c>
      <c r="B62" t="s">
        <v>181</v>
      </c>
      <c r="C62" t="s">
        <v>286</v>
      </c>
      <c r="D62">
        <f>IF(E62 &gt; 2020, ((E62-2020)*4)+1610+G62,IF(E62 &gt; 1900, ((E62-1900)*10)+400+G62, ((E62-1730)*2)+G62))+VLOOKUP(I62,'ID Scheme'!$A$2:$B$7,2, FALSE)</f>
        <v>1801</v>
      </c>
      <c r="E62">
        <v>1980</v>
      </c>
      <c r="F62">
        <v>1</v>
      </c>
      <c r="G62">
        <v>1</v>
      </c>
      <c r="H62" t="s">
        <v>524</v>
      </c>
      <c r="I62" t="s">
        <v>12</v>
      </c>
      <c r="J62" t="s">
        <v>502</v>
      </c>
      <c r="K62">
        <v>47</v>
      </c>
      <c r="L62">
        <v>13</v>
      </c>
      <c r="M62">
        <v>22</v>
      </c>
      <c r="N62">
        <v>7</v>
      </c>
      <c r="O62">
        <v>10</v>
      </c>
      <c r="P62">
        <v>180</v>
      </c>
      <c r="Q62">
        <v>20</v>
      </c>
      <c r="R62">
        <v>73</v>
      </c>
      <c r="S62">
        <v>1</v>
      </c>
      <c r="T62" t="s">
        <v>290</v>
      </c>
      <c r="U62">
        <v>3</v>
      </c>
      <c r="V62" s="2" t="s">
        <v>314</v>
      </c>
      <c r="W62" s="2"/>
      <c r="X62" s="2"/>
      <c r="Y62" s="2"/>
      <c r="Z62" s="2"/>
      <c r="AA62" s="2"/>
      <c r="AB62" s="2"/>
      <c r="AC62" s="2"/>
      <c r="AD62" s="2"/>
      <c r="AE62" s="2"/>
      <c r="AM62">
        <v>8</v>
      </c>
      <c r="AP62" s="2">
        <f>(SQRT(K62*R62)*POWER((MIN(M62,20)+SQRT(MAX(M62-20,0))),0.9)*Data!$B$1)*(1-(S62-1))</f>
        <v>69.247410718668419</v>
      </c>
      <c r="AQ62" s="2"/>
      <c r="AR62" s="2">
        <f>((POWER((K62*K62*R62), 0.33)*LOG10(P62)*10*Data!$B$1)*S62)+AQ62</f>
        <v>88.458876415134782</v>
      </c>
      <c r="AS62" s="2">
        <f t="shared" si="8"/>
        <v>37.903225806451616</v>
      </c>
      <c r="AT62" s="2">
        <f t="shared" si="12"/>
        <v>0</v>
      </c>
      <c r="AV62" s="2">
        <v>1</v>
      </c>
      <c r="AW62" s="2">
        <v>1</v>
      </c>
      <c r="AX62" s="2">
        <f t="shared" si="9"/>
        <v>73</v>
      </c>
      <c r="AY62" s="2">
        <f t="shared" si="10"/>
        <v>73</v>
      </c>
      <c r="AZ62" s="3">
        <v>12</v>
      </c>
      <c r="BA62" s="3">
        <v>2.5</v>
      </c>
      <c r="BB62" s="3">
        <v>4.2</v>
      </c>
      <c r="BC62" s="2" t="str">
        <f>CONCATENATE(
ROUND(AZ62*VLOOKUP(I62,'ID Scheme'!$A$2:$E$7,3),0), "x",
ROUND(BA62*VLOOKUP(I62,'ID Scheme'!$A$2:$E$7,5),0), "x",
ROUND(BB62*VLOOKUP(I62,'ID Scheme'!$A$2:$E$7,4),0))</f>
        <v>112x36x41</v>
      </c>
    </row>
    <row r="63" spans="1:56" x14ac:dyDescent="0.25">
      <c r="A63" t="s">
        <v>482</v>
      </c>
      <c r="B63" t="s">
        <v>483</v>
      </c>
      <c r="C63" t="s">
        <v>286</v>
      </c>
      <c r="D63">
        <f>IF(E63 &gt; 2020, ((E63-2020)*4)+1610+G63,IF(E63 &gt; 1900, ((E63-1900)*10)+400+G63, ((E63-1730)*2)+G63))+VLOOKUP(I63,'ID Scheme'!$A$2:$B$7,2, FALSE)</f>
        <v>1861</v>
      </c>
      <c r="E63">
        <v>1986</v>
      </c>
      <c r="F63">
        <v>10</v>
      </c>
      <c r="G63">
        <v>1</v>
      </c>
      <c r="H63" t="s">
        <v>524</v>
      </c>
      <c r="I63" t="s">
        <v>12</v>
      </c>
      <c r="J63" t="s">
        <v>502</v>
      </c>
      <c r="K63">
        <v>64</v>
      </c>
      <c r="L63">
        <v>14</v>
      </c>
      <c r="M63">
        <v>11</v>
      </c>
      <c r="N63">
        <v>5</v>
      </c>
      <c r="O63">
        <v>6</v>
      </c>
      <c r="P63">
        <v>130</v>
      </c>
      <c r="Q63">
        <v>24</v>
      </c>
      <c r="R63">
        <v>33</v>
      </c>
      <c r="S63">
        <v>1</v>
      </c>
      <c r="T63" t="s">
        <v>290</v>
      </c>
      <c r="U63">
        <v>2</v>
      </c>
      <c r="V63" s="2" t="s">
        <v>484</v>
      </c>
      <c r="W63" s="2"/>
      <c r="X63" s="2"/>
      <c r="Y63" s="2"/>
      <c r="Z63" s="2"/>
      <c r="AA63" s="2"/>
      <c r="AB63" s="2"/>
      <c r="AC63" s="2"/>
      <c r="AD63" s="2"/>
      <c r="AE63" s="2"/>
      <c r="AM63">
        <v>7</v>
      </c>
      <c r="AP63" s="2">
        <f>(SQRT(K63*R63)*POWER((MIN(M63,20)+SQRT(MAX(M63-20,0))),0.9)*Data!$B$1)*(1-(S63-1))</f>
        <v>29.830575842658725</v>
      </c>
      <c r="AQ63" s="2"/>
      <c r="AR63" s="2">
        <f>((POWER((K63*K63*R63), 0.33)*LOG10(P63)*10*Data!$B$1)*S63)+AQ63</f>
        <v>78.224535261541249</v>
      </c>
      <c r="AS63" s="2">
        <f t="shared" si="8"/>
        <v>51.612903225806456</v>
      </c>
      <c r="AT63" s="2">
        <f t="shared" si="12"/>
        <v>0</v>
      </c>
      <c r="AV63" s="2">
        <v>1</v>
      </c>
      <c r="AW63" s="2">
        <v>1</v>
      </c>
      <c r="AX63" s="2">
        <f t="shared" si="9"/>
        <v>33</v>
      </c>
      <c r="AY63" s="2">
        <f t="shared" si="10"/>
        <v>33</v>
      </c>
      <c r="AZ63" s="3">
        <v>8.4</v>
      </c>
      <c r="BA63" s="3">
        <v>2.2999999999999998</v>
      </c>
      <c r="BB63" s="3">
        <v>2.7</v>
      </c>
      <c r="BC63" s="2" t="str">
        <f>CONCATENATE(
ROUND(AZ63*VLOOKUP(I63,'ID Scheme'!$A$2:$E$7,3),0), "x",
ROUND(BA63*VLOOKUP(I63,'ID Scheme'!$A$2:$E$7,5),0), "x",
ROUND(BB63*VLOOKUP(I63,'ID Scheme'!$A$2:$E$7,4),0))</f>
        <v>78x33x26</v>
      </c>
    </row>
    <row r="64" spans="1:56" x14ac:dyDescent="0.25">
      <c r="A64" t="s">
        <v>46</v>
      </c>
      <c r="B64" t="s">
        <v>182</v>
      </c>
      <c r="C64" t="s">
        <v>286</v>
      </c>
      <c r="D64">
        <f>IF(E64 &gt; 2020, ((E64-2020)*4)+1610+G64,IF(E64 &gt; 1900, ((E64-1900)*10)+400+G64, ((E64-1730)*2)+G64))+VLOOKUP(I64,'ID Scheme'!$A$2:$B$7,2, FALSE)</f>
        <v>1891</v>
      </c>
      <c r="E64">
        <v>1989</v>
      </c>
      <c r="F64">
        <v>1</v>
      </c>
      <c r="G64">
        <v>1</v>
      </c>
      <c r="H64" t="s">
        <v>524</v>
      </c>
      <c r="I64" t="s">
        <v>12</v>
      </c>
      <c r="J64" t="s">
        <v>502</v>
      </c>
      <c r="K64">
        <v>56</v>
      </c>
      <c r="L64">
        <v>19</v>
      </c>
      <c r="M64">
        <v>21</v>
      </c>
      <c r="N64">
        <v>5</v>
      </c>
      <c r="O64">
        <v>6</v>
      </c>
      <c r="P64">
        <v>130</v>
      </c>
      <c r="Q64">
        <v>20</v>
      </c>
      <c r="R64">
        <v>50</v>
      </c>
      <c r="S64">
        <v>1</v>
      </c>
      <c r="T64" t="s">
        <v>290</v>
      </c>
      <c r="U64">
        <v>3</v>
      </c>
      <c r="V64" s="2" t="s">
        <v>315</v>
      </c>
      <c r="W64" s="2"/>
      <c r="X64" s="2"/>
      <c r="Y64" s="2"/>
      <c r="Z64" s="2"/>
      <c r="AA64" s="2"/>
      <c r="AB64" s="2"/>
      <c r="AC64" s="2"/>
      <c r="AD64" s="2"/>
      <c r="AE64" s="2"/>
      <c r="AM64">
        <v>8</v>
      </c>
      <c r="AP64" s="2">
        <f>(SQRT(K64*R64)*POWER((MIN(M64,20)+SQRT(MAX(M64-20,0))),0.9)*Data!$B$1)*(1-(S64-1))</f>
        <v>61.466381101342122</v>
      </c>
      <c r="AQ64" s="2"/>
      <c r="AR64" s="2">
        <f>((POWER((K64*K64*R64), 0.33)*LOG10(P64)*10*Data!$B$1)*S64)+AQ64</f>
        <v>82.152126183000618</v>
      </c>
      <c r="AS64" s="2">
        <f t="shared" si="8"/>
        <v>45.161290322580648</v>
      </c>
      <c r="AT64" s="2">
        <f t="shared" si="12"/>
        <v>0</v>
      </c>
      <c r="AV64" s="2">
        <v>1</v>
      </c>
      <c r="AW64" s="2">
        <v>1</v>
      </c>
      <c r="AX64" s="2">
        <f t="shared" si="9"/>
        <v>50</v>
      </c>
      <c r="AY64" s="2">
        <f t="shared" si="10"/>
        <v>50</v>
      </c>
      <c r="AZ64" s="3">
        <v>10.199999999999999</v>
      </c>
      <c r="BA64" s="3">
        <v>2.4</v>
      </c>
      <c r="BB64" s="3">
        <v>2.7</v>
      </c>
      <c r="BC64" s="2" t="str">
        <f>CONCATENATE(
ROUND(AZ64*VLOOKUP(I64,'ID Scheme'!$A$2:$E$7,3),0), "x",
ROUND(BA64*VLOOKUP(I64,'ID Scheme'!$A$2:$E$7,5),0), "x",
ROUND(BB64*VLOOKUP(I64,'ID Scheme'!$A$2:$E$7,4),0))</f>
        <v>95x35x26</v>
      </c>
    </row>
    <row r="65" spans="1:56" x14ac:dyDescent="0.25">
      <c r="A65" t="s">
        <v>97</v>
      </c>
      <c r="B65" t="s">
        <v>183</v>
      </c>
      <c r="C65" t="s">
        <v>286</v>
      </c>
      <c r="D65">
        <f>IF(E65 &gt; 2020, ((E65-2020)*4)+1610+G65,IF(E65 &gt; 1900, ((E65-1900)*10)+400+G65, ((E65-1730)*2)+G65))+VLOOKUP(I65,'ID Scheme'!$A$2:$B$7,2, FALSE)</f>
        <v>1951</v>
      </c>
      <c r="E65">
        <v>1995</v>
      </c>
      <c r="F65">
        <v>1</v>
      </c>
      <c r="G65">
        <v>1</v>
      </c>
      <c r="H65" t="s">
        <v>524</v>
      </c>
      <c r="I65" t="s">
        <v>12</v>
      </c>
      <c r="J65" t="s">
        <v>502</v>
      </c>
      <c r="K65">
        <v>60</v>
      </c>
      <c r="L65">
        <v>21</v>
      </c>
      <c r="M65">
        <v>17</v>
      </c>
      <c r="N65">
        <v>5</v>
      </c>
      <c r="O65">
        <v>6.5</v>
      </c>
      <c r="P65">
        <v>249</v>
      </c>
      <c r="Q65">
        <v>20</v>
      </c>
      <c r="R65">
        <v>53</v>
      </c>
      <c r="S65">
        <v>1</v>
      </c>
      <c r="T65" t="s">
        <v>290</v>
      </c>
      <c r="U65">
        <v>3</v>
      </c>
      <c r="V65" s="2" t="s">
        <v>316</v>
      </c>
      <c r="W65" s="2"/>
      <c r="X65" s="2"/>
      <c r="Y65" s="2"/>
      <c r="Z65" s="2"/>
      <c r="AA65" s="2"/>
      <c r="AB65" s="2"/>
      <c r="AC65" s="2"/>
      <c r="AD65" s="2"/>
      <c r="AE65" s="2"/>
      <c r="AM65">
        <v>8</v>
      </c>
      <c r="AP65" s="2">
        <f>(SQRT(K65*R65)*POWER((MIN(M65,20)+SQRT(MAX(M65-20,0))),0.9)*Data!$B$1)*(1-(S65-1))</f>
        <v>54.160024560908056</v>
      </c>
      <c r="AQ65" s="2"/>
      <c r="AR65" s="2">
        <f>((POWER((K65*K65*R65), 0.33)*LOG10(P65)*10*Data!$B$1)*S65)+AQ65</f>
        <v>99.351647021851662</v>
      </c>
      <c r="AS65" s="2">
        <f t="shared" si="8"/>
        <v>48.387096774193552</v>
      </c>
      <c r="AT65" s="2">
        <f t="shared" si="12"/>
        <v>0</v>
      </c>
      <c r="AV65" s="2">
        <v>1</v>
      </c>
      <c r="AW65" s="2">
        <v>1</v>
      </c>
      <c r="AX65" s="2">
        <f t="shared" si="9"/>
        <v>53</v>
      </c>
      <c r="AY65" s="2">
        <f t="shared" si="10"/>
        <v>53</v>
      </c>
      <c r="AZ65" s="3">
        <v>10.199999999999999</v>
      </c>
      <c r="BA65" s="3">
        <v>2.4</v>
      </c>
      <c r="BB65" s="3">
        <v>2.7</v>
      </c>
      <c r="BC65" s="2" t="str">
        <f>CONCATENATE(
ROUND(AZ65*VLOOKUP(I65,'ID Scheme'!$A$2:$E$7,3),0), "x",
ROUND(BA65*VLOOKUP(I65,'ID Scheme'!$A$2:$E$7,5),0), "x",
ROUND(BB65*VLOOKUP(I65,'ID Scheme'!$A$2:$E$7,4),0))</f>
        <v>95x35x26</v>
      </c>
      <c r="BD65" t="s">
        <v>98</v>
      </c>
    </row>
    <row r="66" spans="1:56" x14ac:dyDescent="0.25">
      <c r="A66" t="s">
        <v>485</v>
      </c>
      <c r="B66" t="s">
        <v>487</v>
      </c>
      <c r="C66" t="s">
        <v>286</v>
      </c>
      <c r="D66">
        <f>IF(E66 &gt; 2020, ((E66-2020)*4)+1610+G66,IF(E66 &gt; 1900, ((E66-1900)*10)+400+G66, ((E66-1730)*2)+G66))+VLOOKUP(I66,'ID Scheme'!$A$2:$B$7,2, FALSE)</f>
        <v>1971</v>
      </c>
      <c r="E66">
        <v>1997</v>
      </c>
      <c r="F66">
        <v>1</v>
      </c>
      <c r="G66">
        <v>1</v>
      </c>
      <c r="H66" t="s">
        <v>524</v>
      </c>
      <c r="I66" t="s">
        <v>12</v>
      </c>
      <c r="J66" t="s">
        <v>502</v>
      </c>
      <c r="K66">
        <v>55</v>
      </c>
      <c r="L66">
        <v>21</v>
      </c>
      <c r="M66">
        <v>21</v>
      </c>
      <c r="N66">
        <v>5</v>
      </c>
      <c r="O66">
        <v>10</v>
      </c>
      <c r="P66">
        <v>220</v>
      </c>
      <c r="Q66">
        <v>20</v>
      </c>
      <c r="R66">
        <v>82</v>
      </c>
      <c r="S66">
        <v>1</v>
      </c>
      <c r="T66" t="s">
        <v>300</v>
      </c>
      <c r="U66">
        <v>3</v>
      </c>
      <c r="V66" s="2" t="s">
        <v>486</v>
      </c>
      <c r="W66" s="2"/>
      <c r="X66" s="2"/>
      <c r="Y66" s="2"/>
      <c r="Z66" s="2"/>
      <c r="AA66" s="2"/>
      <c r="AB66" s="2"/>
      <c r="AC66" s="2"/>
      <c r="AD66" s="2"/>
      <c r="AE66" s="2"/>
      <c r="AM66">
        <v>8</v>
      </c>
      <c r="AP66" s="2">
        <f>(SQRT(K66*R66)*POWER((MIN(M66,20)+SQRT(MAX(M66-20,0))),0.9)*Data!$B$1)*(1-(S66-1))</f>
        <v>78.009393174536498</v>
      </c>
      <c r="AQ66" s="2"/>
      <c r="AR66" s="2">
        <f>((POWER((K66*K66*R66), 0.33)*LOG10(P66)*10*Data!$B$1)*S66)+AQ66</f>
        <v>105.90695322593139</v>
      </c>
      <c r="AS66" s="2">
        <f t="shared" si="8"/>
        <v>44.354838709677416</v>
      </c>
      <c r="AT66" s="2">
        <f t="shared" si="12"/>
        <v>0</v>
      </c>
      <c r="AV66" s="2">
        <v>1</v>
      </c>
      <c r="AW66" s="2">
        <v>1</v>
      </c>
      <c r="AX66" s="2">
        <f t="shared" si="9"/>
        <v>82</v>
      </c>
      <c r="AY66" s="2">
        <f t="shared" si="10"/>
        <v>82</v>
      </c>
      <c r="AZ66" s="3">
        <v>11</v>
      </c>
      <c r="BA66" s="3">
        <v>2.5499999999999998</v>
      </c>
      <c r="BB66" s="3">
        <v>4.4000000000000004</v>
      </c>
      <c r="BC66" s="2" t="str">
        <f>CONCATENATE(
ROUND(AZ66*VLOOKUP(I66,'ID Scheme'!$A$2:$E$7,3),0), "x",
ROUND(BA66*VLOOKUP(I66,'ID Scheme'!$A$2:$E$7,5),0), "x",
ROUND(BB66*VLOOKUP(I66,'ID Scheme'!$A$2:$E$7,4),0))</f>
        <v>103x37x43</v>
      </c>
    </row>
    <row r="67" spans="1:56" x14ac:dyDescent="0.25">
      <c r="A67" t="s">
        <v>64</v>
      </c>
      <c r="B67" t="s">
        <v>184</v>
      </c>
      <c r="C67" t="s">
        <v>286</v>
      </c>
      <c r="D67">
        <f>IF(E67 &gt; 2020, ((E67-2020)*4)+1610+G67,IF(E67 &gt; 1900, ((E67-1900)*10)+400+G67, ((E67-1730)*2)+G67))+VLOOKUP(I67,'ID Scheme'!$A$2:$B$7,2, FALSE)</f>
        <v>1981</v>
      </c>
      <c r="E67">
        <v>1998</v>
      </c>
      <c r="F67">
        <v>1</v>
      </c>
      <c r="G67">
        <v>1</v>
      </c>
      <c r="H67" t="s">
        <v>524</v>
      </c>
      <c r="I67" t="s">
        <v>12</v>
      </c>
      <c r="J67" t="s">
        <v>502</v>
      </c>
      <c r="K67">
        <v>59</v>
      </c>
      <c r="L67">
        <v>15</v>
      </c>
      <c r="M67">
        <v>15</v>
      </c>
      <c r="N67">
        <v>5</v>
      </c>
      <c r="O67">
        <v>7</v>
      </c>
      <c r="P67">
        <v>110</v>
      </c>
      <c r="Q67">
        <v>20</v>
      </c>
      <c r="R67">
        <v>33</v>
      </c>
      <c r="S67">
        <v>1</v>
      </c>
      <c r="T67" t="s">
        <v>300</v>
      </c>
      <c r="U67">
        <v>2</v>
      </c>
      <c r="V67" s="2" t="s">
        <v>317</v>
      </c>
      <c r="W67" s="2"/>
      <c r="X67" s="2"/>
      <c r="Y67" s="2"/>
      <c r="Z67" s="2"/>
      <c r="AA67" s="2"/>
      <c r="AB67" s="2"/>
      <c r="AC67" s="2"/>
      <c r="AD67" s="2"/>
      <c r="AE67" s="2"/>
      <c r="AM67">
        <v>8</v>
      </c>
      <c r="AP67" s="2">
        <f>(SQRT(K67*R67)*POWER((MIN(M67,20)+SQRT(MAX(M67-20,0))),0.9)*Data!$B$1)*(1-(S67-1))</f>
        <v>37.863989611191968</v>
      </c>
      <c r="AQ67" s="2"/>
      <c r="AR67" s="2">
        <f>((POWER((K67*K67*R67), 0.33)*LOG10(P67)*10*Data!$B$1)*S67)+AQ67</f>
        <v>71.591217050010968</v>
      </c>
      <c r="AS67" s="2">
        <f t="shared" si="8"/>
        <v>47.58064516129032</v>
      </c>
      <c r="AT67" s="2">
        <f t="shared" si="12"/>
        <v>0</v>
      </c>
      <c r="AV67" s="2">
        <v>1</v>
      </c>
      <c r="AW67" s="2">
        <v>1</v>
      </c>
      <c r="AX67" s="2">
        <f t="shared" si="9"/>
        <v>33</v>
      </c>
      <c r="AY67" s="2">
        <f t="shared" si="10"/>
        <v>33</v>
      </c>
      <c r="AZ67" s="3">
        <v>10.199999999999999</v>
      </c>
      <c r="BA67" s="3">
        <v>2.2999999999999998</v>
      </c>
      <c r="BB67" s="3">
        <v>2.7</v>
      </c>
      <c r="BC67" s="2" t="str">
        <f>CONCATENATE(
ROUND(AZ67*VLOOKUP(I67,'ID Scheme'!$A$2:$E$7,3),0), "x",
ROUND(BA67*VLOOKUP(I67,'ID Scheme'!$A$2:$E$7,5),0), "x",
ROUND(BB67*VLOOKUP(I67,'ID Scheme'!$A$2:$E$7,4),0))</f>
        <v>95x33x26</v>
      </c>
    </row>
    <row r="68" spans="1:56" x14ac:dyDescent="0.25">
      <c r="A68" t="s">
        <v>35</v>
      </c>
      <c r="B68" t="s">
        <v>276</v>
      </c>
      <c r="C68" t="s">
        <v>286</v>
      </c>
      <c r="D68">
        <f>IF(E68 &gt; 2020, ((E68-2020)*4)+1610+G68,IF(E68 &gt; 1900, ((E68-1900)*10)+400+G68, ((E68-1730)*2)+G68))+VLOOKUP(I68,'ID Scheme'!$A$2:$B$7,2, FALSE)</f>
        <v>2011</v>
      </c>
      <c r="E68">
        <v>2001</v>
      </c>
      <c r="F68">
        <v>1</v>
      </c>
      <c r="G68">
        <v>1</v>
      </c>
      <c r="H68" t="s">
        <v>524</v>
      </c>
      <c r="I68" t="s">
        <v>12</v>
      </c>
      <c r="J68" t="s">
        <v>502</v>
      </c>
      <c r="K68">
        <v>70</v>
      </c>
      <c r="L68">
        <v>-1</v>
      </c>
      <c r="M68">
        <v>22</v>
      </c>
      <c r="N68">
        <v>4</v>
      </c>
      <c r="O68">
        <v>12</v>
      </c>
      <c r="P68">
        <v>320</v>
      </c>
      <c r="Q68">
        <v>18</v>
      </c>
      <c r="R68">
        <v>58</v>
      </c>
      <c r="S68">
        <v>1</v>
      </c>
      <c r="T68" t="s">
        <v>296</v>
      </c>
      <c r="U68">
        <v>3</v>
      </c>
      <c r="V68" s="2" t="s">
        <v>319</v>
      </c>
      <c r="W68" s="2"/>
      <c r="X68" s="2"/>
      <c r="Y68" s="2"/>
      <c r="Z68" s="2"/>
      <c r="AA68" s="2"/>
      <c r="AB68" s="2"/>
      <c r="AC68" s="2"/>
      <c r="AD68" s="2"/>
      <c r="AE68" s="2"/>
      <c r="AF68">
        <v>62</v>
      </c>
      <c r="AM68">
        <v>8</v>
      </c>
      <c r="AP68" s="2">
        <f>(SQRT(K68*R68)*POWER((MIN(M68,20)+SQRT(MAX(M68-20,0))),0.9)*Data!$B$1)*(1-(S68-1))</f>
        <v>75.327958362845649</v>
      </c>
      <c r="AQ68" s="2"/>
      <c r="AR68" s="2">
        <f>((POWER((K68*K68*R68), 0.33)*LOG10(P68)*10*Data!$B$1)*S68)+AQ68</f>
        <v>118.46524010653438</v>
      </c>
      <c r="AS68" s="2">
        <f t="shared" ref="AS68:AS104" si="16">K68/1.24</f>
        <v>56.451612903225808</v>
      </c>
      <c r="AT68" s="2">
        <f t="shared" si="12"/>
        <v>50</v>
      </c>
      <c r="AV68" s="2">
        <v>1</v>
      </c>
      <c r="AW68" s="2">
        <v>1</v>
      </c>
      <c r="AX68" s="2">
        <f t="shared" ref="AX68:AX104" si="17">R68/AW68</f>
        <v>58</v>
      </c>
      <c r="AY68" s="2">
        <f t="shared" ref="AY68:AY104" si="18">(R68)/MAX(AV68-1, 1)</f>
        <v>58</v>
      </c>
      <c r="AZ68" s="3">
        <v>12</v>
      </c>
      <c r="BA68" s="3">
        <v>2.5</v>
      </c>
      <c r="BB68" s="3">
        <v>3.3</v>
      </c>
      <c r="BC68" s="2" t="str">
        <f>CONCATENATE(
ROUND(AZ68*VLOOKUP(I68,'ID Scheme'!$A$2:$E$7,3),0), "x",
ROUND(BA68*VLOOKUP(I68,'ID Scheme'!$A$2:$E$7,5),0), "x",
ROUND(BB68*VLOOKUP(I68,'ID Scheme'!$A$2:$E$7,4),0))</f>
        <v>112x36x32</v>
      </c>
    </row>
    <row r="69" spans="1:56" x14ac:dyDescent="0.25">
      <c r="A69" t="s">
        <v>58</v>
      </c>
      <c r="B69" t="s">
        <v>185</v>
      </c>
      <c r="C69" t="s">
        <v>325</v>
      </c>
      <c r="D69">
        <f>IF(E69 &gt; 2020, ((E69-2020)*4)+1610+G69,IF(E69 &gt; 1900, ((E69-1900)*10)+400+G69, ((E69-1730)*2)+G69))+VLOOKUP(I69,'ID Scheme'!$A$2:$B$7,2, FALSE)</f>
        <v>2012</v>
      </c>
      <c r="E69">
        <v>2001</v>
      </c>
      <c r="F69">
        <v>1</v>
      </c>
      <c r="G69">
        <v>2</v>
      </c>
      <c r="H69" t="s">
        <v>524</v>
      </c>
      <c r="I69" t="s">
        <v>12</v>
      </c>
      <c r="J69" t="s">
        <v>502</v>
      </c>
      <c r="K69">
        <v>55</v>
      </c>
      <c r="L69">
        <v>-1</v>
      </c>
      <c r="M69">
        <v>11</v>
      </c>
      <c r="N69">
        <v>10</v>
      </c>
      <c r="O69">
        <v>14</v>
      </c>
      <c r="P69">
        <v>320</v>
      </c>
      <c r="Q69">
        <v>25</v>
      </c>
      <c r="R69">
        <v>140</v>
      </c>
      <c r="S69">
        <v>1</v>
      </c>
      <c r="T69" t="s">
        <v>290</v>
      </c>
      <c r="U69">
        <v>3</v>
      </c>
      <c r="V69" s="2" t="s">
        <v>326</v>
      </c>
      <c r="W69" s="2"/>
      <c r="X69" s="2"/>
      <c r="Y69" s="2"/>
      <c r="Z69" s="2"/>
      <c r="AA69" s="2"/>
      <c r="AB69" s="2"/>
      <c r="AC69" s="2"/>
      <c r="AD69" s="2"/>
      <c r="AE69" s="2"/>
      <c r="AG69" t="s">
        <v>373</v>
      </c>
      <c r="AH69" t="s">
        <v>399</v>
      </c>
      <c r="AI69" t="s">
        <v>371</v>
      </c>
      <c r="AJ69" t="s">
        <v>373</v>
      </c>
      <c r="AK69" t="s">
        <v>374</v>
      </c>
      <c r="AL69" t="s">
        <v>549</v>
      </c>
      <c r="AM69">
        <v>6</v>
      </c>
      <c r="AP69" s="2">
        <f>(SQRT(K69*R69)*POWER((MIN(M69,20)+SQRT(MAX(M69-20,0))),0.9)*Data!$B$1)*(1-(S69-1))</f>
        <v>56.95869659296028</v>
      </c>
      <c r="AQ69" s="2"/>
      <c r="AR69" s="2">
        <f>((POWER((K69*K69*R69), 0.33)*LOG10(P69)*10*Data!$B$1)*S69)+AQ69</f>
        <v>135.13150745681415</v>
      </c>
      <c r="AS69" s="2">
        <f t="shared" si="16"/>
        <v>44.354838709677416</v>
      </c>
      <c r="AT69" s="2">
        <f t="shared" si="12"/>
        <v>0</v>
      </c>
      <c r="AV69" s="2">
        <v>2</v>
      </c>
      <c r="AW69" s="2">
        <v>2</v>
      </c>
      <c r="AX69" s="2">
        <f t="shared" si="17"/>
        <v>70</v>
      </c>
      <c r="AY69" s="2">
        <f t="shared" si="18"/>
        <v>140</v>
      </c>
      <c r="AZ69" s="3">
        <v>18</v>
      </c>
      <c r="BA69" s="3">
        <v>2.5</v>
      </c>
      <c r="BB69" s="3">
        <v>3.2</v>
      </c>
      <c r="BC69" s="2" t="str">
        <f>CONCATENATE(
ROUND(AZ69*VLOOKUP(I69,'ID Scheme'!$A$2:$E$7,3),0), "x",
ROUND(BA69*VLOOKUP(I69,'ID Scheme'!$A$2:$E$7,5),0), "x",
ROUND(BB69*VLOOKUP(I69,'ID Scheme'!$A$2:$E$7,4),0))</f>
        <v>168x36x31</v>
      </c>
    </row>
    <row r="70" spans="1:56" x14ac:dyDescent="0.25">
      <c r="A70" t="s">
        <v>33</v>
      </c>
      <c r="B70" t="s">
        <v>186</v>
      </c>
      <c r="C70" t="s">
        <v>286</v>
      </c>
      <c r="D70">
        <f>IF(E70 &gt; 2020, ((E70-2020)*4)+1610+G70,IF(E70 &gt; 1900, ((E70-1900)*10)+400+G70, ((E70-1730)*2)+G70))+VLOOKUP(I70,'ID Scheme'!$A$2:$B$7,2, FALSE)</f>
        <v>2051</v>
      </c>
      <c r="E70">
        <v>2005</v>
      </c>
      <c r="F70">
        <v>1</v>
      </c>
      <c r="G70">
        <v>1</v>
      </c>
      <c r="H70" t="s">
        <v>524</v>
      </c>
      <c r="I70" t="s">
        <v>12</v>
      </c>
      <c r="J70" t="s">
        <v>502</v>
      </c>
      <c r="K70">
        <v>60</v>
      </c>
      <c r="L70">
        <v>-1</v>
      </c>
      <c r="M70">
        <v>20</v>
      </c>
      <c r="N70">
        <v>7</v>
      </c>
      <c r="O70">
        <v>11</v>
      </c>
      <c r="P70">
        <v>185</v>
      </c>
      <c r="Q70">
        <v>20</v>
      </c>
      <c r="R70">
        <v>90</v>
      </c>
      <c r="S70">
        <v>1</v>
      </c>
      <c r="T70" t="s">
        <v>296</v>
      </c>
      <c r="U70">
        <v>3</v>
      </c>
      <c r="V70" s="2" t="s">
        <v>320</v>
      </c>
      <c r="W70" s="2"/>
      <c r="X70" s="2"/>
      <c r="Y70" s="2"/>
      <c r="Z70" s="2"/>
      <c r="AA70" s="2"/>
      <c r="AB70" s="2"/>
      <c r="AC70" s="2"/>
      <c r="AD70" s="2"/>
      <c r="AE70" s="2"/>
      <c r="AM70">
        <v>8</v>
      </c>
      <c r="AP70" s="2">
        <f>(SQRT(K70*R70)*POWER((MIN(M70,20)+SQRT(MAX(M70-20,0))),0.9)*Data!$B$1)*(1-(S70-1))</f>
        <v>81.693055399982839</v>
      </c>
      <c r="AQ70" s="2"/>
      <c r="AR70" s="2">
        <f>((POWER((K70*K70*R70), 0.33)*LOG10(P70)*10*Data!$B$1)*S70)+AQ70</f>
        <v>111.95037019981191</v>
      </c>
      <c r="AS70" s="2">
        <f t="shared" si="16"/>
        <v>48.387096774193552</v>
      </c>
      <c r="AT70" s="2">
        <f t="shared" si="12"/>
        <v>0</v>
      </c>
      <c r="AV70" s="2">
        <v>1</v>
      </c>
      <c r="AW70" s="2">
        <v>1</v>
      </c>
      <c r="AX70" s="2">
        <f t="shared" si="17"/>
        <v>90</v>
      </c>
      <c r="AY70" s="2">
        <f t="shared" si="18"/>
        <v>90</v>
      </c>
      <c r="AZ70" s="3">
        <v>11.4</v>
      </c>
      <c r="BA70" s="3">
        <v>2.5499999999999998</v>
      </c>
      <c r="BB70" s="3">
        <v>4.2</v>
      </c>
      <c r="BC70" s="2" t="str">
        <f>CONCATENATE(
ROUND(AZ70*VLOOKUP(I70,'ID Scheme'!$A$2:$E$7,3),0), "x",
ROUND(BA70*VLOOKUP(I70,'ID Scheme'!$A$2:$E$7,5),0), "x",
ROUND(BB70*VLOOKUP(I70,'ID Scheme'!$A$2:$E$7,4),0))</f>
        <v>106x37x41</v>
      </c>
    </row>
    <row r="71" spans="1:56" x14ac:dyDescent="0.25">
      <c r="A71" t="s">
        <v>321</v>
      </c>
      <c r="B71" t="s">
        <v>187</v>
      </c>
      <c r="C71" t="s">
        <v>286</v>
      </c>
      <c r="D71">
        <f>IF(E71 &gt; 2020, ((E71-2020)*4)+1610+G71,IF(E71 &gt; 1900, ((E71-1900)*10)+400+G71, ((E71-1730)*2)+G71))+VLOOKUP(I71,'ID Scheme'!$A$2:$B$7,2, FALSE)</f>
        <v>2112</v>
      </c>
      <c r="E71">
        <v>2011</v>
      </c>
      <c r="F71">
        <v>1</v>
      </c>
      <c r="G71">
        <v>2</v>
      </c>
      <c r="H71" t="s">
        <v>524</v>
      </c>
      <c r="I71" t="s">
        <v>12</v>
      </c>
      <c r="J71" t="s">
        <v>502</v>
      </c>
      <c r="K71">
        <v>50</v>
      </c>
      <c r="L71">
        <v>-1</v>
      </c>
      <c r="M71">
        <v>16</v>
      </c>
      <c r="N71">
        <v>6</v>
      </c>
      <c r="O71">
        <v>10</v>
      </c>
      <c r="P71">
        <v>101</v>
      </c>
      <c r="Q71">
        <v>22</v>
      </c>
      <c r="R71">
        <v>72</v>
      </c>
      <c r="S71">
        <v>1</v>
      </c>
      <c r="T71" t="s">
        <v>322</v>
      </c>
      <c r="U71">
        <v>3</v>
      </c>
      <c r="V71" s="2" t="s">
        <v>323</v>
      </c>
      <c r="W71" s="2"/>
      <c r="X71" s="2"/>
      <c r="Y71" s="2"/>
      <c r="Z71" s="2"/>
      <c r="AA71" s="2"/>
      <c r="AB71" s="2"/>
      <c r="AC71" s="2"/>
      <c r="AD71" s="2"/>
      <c r="AE71" s="2"/>
      <c r="AM71">
        <v>8</v>
      </c>
      <c r="AP71" s="2">
        <f>(SQRT(K71*R71)*POWER((MIN(M71,20)+SQRT(MAX(M71-20,0))),0.9)*Data!$B$1)*(1-(S71-1))</f>
        <v>54.565796394374324</v>
      </c>
      <c r="AQ71" s="2"/>
      <c r="AR71" s="2">
        <f>((POWER((K71*K71*R71), 0.33)*LOG10(P71)*10*Data!$B$1)*S71)+AQ71</f>
        <v>81.520821564001579</v>
      </c>
      <c r="AS71" s="2">
        <f t="shared" si="16"/>
        <v>40.322580645161288</v>
      </c>
      <c r="AT71" s="2">
        <f t="shared" si="12"/>
        <v>0</v>
      </c>
      <c r="AV71" s="2">
        <v>1</v>
      </c>
      <c r="AW71" s="2">
        <v>1</v>
      </c>
      <c r="AX71" s="2">
        <f t="shared" si="17"/>
        <v>72</v>
      </c>
      <c r="AY71" s="2">
        <f t="shared" si="18"/>
        <v>72</v>
      </c>
      <c r="AZ71" s="3"/>
      <c r="BA71" s="3"/>
      <c r="BB71" s="3"/>
      <c r="BC71" s="2" t="str">
        <f>CONCATENATE(
ROUND(AZ71*VLOOKUP(I71,'ID Scheme'!$A$2:$E$7,3),0), "x",
ROUND(BA71*VLOOKUP(I71,'ID Scheme'!$A$2:$E$7,5),0), "x",
ROUND(BB71*VLOOKUP(I71,'ID Scheme'!$A$2:$E$7,4),0))</f>
        <v>0x0x0</v>
      </c>
    </row>
    <row r="72" spans="1:56" x14ac:dyDescent="0.25">
      <c r="A72" t="s">
        <v>66</v>
      </c>
      <c r="B72" t="s">
        <v>188</v>
      </c>
      <c r="C72" t="s">
        <v>286</v>
      </c>
      <c r="D72">
        <f>IF(E72 &gt; 2020, ((E72-2020)*4)+1610+G72,IF(E72 &gt; 1900, ((E72-1900)*10)+400+G72, ((E72-1730)*2)+G72))+VLOOKUP(I72,'ID Scheme'!$A$2:$B$7,2, FALSE)</f>
        <v>2121</v>
      </c>
      <c r="E72">
        <v>2012</v>
      </c>
      <c r="F72">
        <v>1</v>
      </c>
      <c r="G72">
        <v>1</v>
      </c>
      <c r="H72" t="s">
        <v>524</v>
      </c>
      <c r="I72" t="s">
        <v>12</v>
      </c>
      <c r="J72" t="s">
        <v>502</v>
      </c>
      <c r="K72">
        <v>50</v>
      </c>
      <c r="L72">
        <v>-1</v>
      </c>
      <c r="M72">
        <v>20</v>
      </c>
      <c r="N72">
        <v>7</v>
      </c>
      <c r="O72">
        <v>12.5</v>
      </c>
      <c r="P72">
        <v>185</v>
      </c>
      <c r="Q72">
        <v>23</v>
      </c>
      <c r="R72">
        <v>87</v>
      </c>
      <c r="S72">
        <v>1</v>
      </c>
      <c r="T72" t="s">
        <v>300</v>
      </c>
      <c r="U72">
        <v>3</v>
      </c>
      <c r="V72" s="2" t="s">
        <v>324</v>
      </c>
      <c r="W72" s="2"/>
      <c r="X72" s="2"/>
      <c r="Y72" s="2"/>
      <c r="Z72" s="2"/>
      <c r="AA72" s="2"/>
      <c r="AB72" s="2"/>
      <c r="AC72" s="2"/>
      <c r="AD72" s="2"/>
      <c r="AE72" s="2"/>
      <c r="AM72">
        <v>8</v>
      </c>
      <c r="AP72" s="2">
        <f>(SQRT(K72*R72)*POWER((MIN(M72,20)+SQRT(MAX(M72-20,0))),0.9)*Data!$B$1)*(1-(S72-1))</f>
        <v>73.321761154546138</v>
      </c>
      <c r="AQ72" s="2"/>
      <c r="AR72" s="2">
        <f>((POWER((K72*K72*R72), 0.33)*LOG10(P72)*10*Data!$B$1)*S72)+AQ72</f>
        <v>98.153826904979823</v>
      </c>
      <c r="AS72" s="2">
        <f t="shared" si="16"/>
        <v>40.322580645161288</v>
      </c>
      <c r="AT72" s="2">
        <f t="shared" si="12"/>
        <v>0</v>
      </c>
      <c r="AV72" s="2">
        <v>1</v>
      </c>
      <c r="AW72" s="2">
        <v>1</v>
      </c>
      <c r="AX72" s="2">
        <f t="shared" si="17"/>
        <v>87</v>
      </c>
      <c r="AY72" s="2">
        <f t="shared" si="18"/>
        <v>87</v>
      </c>
      <c r="AZ72" s="3"/>
      <c r="BA72" s="3"/>
      <c r="BB72" s="3"/>
      <c r="BC72" s="2" t="str">
        <f>CONCATENATE(
ROUND(AZ72*VLOOKUP(I72,'ID Scheme'!$A$2:$E$7,3),0), "x",
ROUND(BA72*VLOOKUP(I72,'ID Scheme'!$A$2:$E$7,5),0), "x",
ROUND(BB72*VLOOKUP(I72,'ID Scheme'!$A$2:$E$7,4),0))</f>
        <v>0x0x0</v>
      </c>
    </row>
    <row r="73" spans="1:56" x14ac:dyDescent="0.25">
      <c r="A73" t="s">
        <v>65</v>
      </c>
      <c r="B73" t="s">
        <v>189</v>
      </c>
      <c r="C73" t="s">
        <v>286</v>
      </c>
      <c r="D73">
        <f>IF(E73 &gt; 2020, ((E73-2020)*4)+1610+G73,IF(E73 &gt; 1900, ((E73-1900)*10)+400+G73, ((E73-1730)*2)+G73))+VLOOKUP(I73,'ID Scheme'!$A$2:$B$7,2, FALSE)</f>
        <v>2122</v>
      </c>
      <c r="E73">
        <v>2012</v>
      </c>
      <c r="F73">
        <v>1</v>
      </c>
      <c r="G73">
        <v>2</v>
      </c>
      <c r="H73" t="s">
        <v>524</v>
      </c>
      <c r="I73" t="s">
        <v>12</v>
      </c>
      <c r="J73" t="s">
        <v>502</v>
      </c>
      <c r="K73">
        <v>60</v>
      </c>
      <c r="L73">
        <v>-1</v>
      </c>
      <c r="M73">
        <v>16</v>
      </c>
      <c r="N73">
        <v>5</v>
      </c>
      <c r="O73">
        <v>7.5</v>
      </c>
      <c r="P73">
        <v>110</v>
      </c>
      <c r="Q73">
        <v>20</v>
      </c>
      <c r="R73">
        <v>35</v>
      </c>
      <c r="S73">
        <v>0.95</v>
      </c>
      <c r="T73" t="s">
        <v>300</v>
      </c>
      <c r="U73">
        <v>2</v>
      </c>
      <c r="V73" s="2" t="s">
        <v>318</v>
      </c>
      <c r="W73" s="2"/>
      <c r="X73" s="2"/>
      <c r="Y73" s="2"/>
      <c r="Z73" s="2"/>
      <c r="AA73" s="2"/>
      <c r="AB73" s="2"/>
      <c r="AC73" s="2"/>
      <c r="AD73" s="2"/>
      <c r="AE73" s="2"/>
      <c r="AM73">
        <v>8</v>
      </c>
      <c r="AP73" s="2">
        <f>(SQRT(K73*R73)*POWER((MIN(M73,20)+SQRT(MAX(M73-20,0))),0.9)*Data!$B$1)*(1-(S73-1))</f>
        <v>43.759081158234544</v>
      </c>
      <c r="AQ73" s="2"/>
      <c r="AR73" s="2">
        <f>((POWER((K73*K73*R73), 0.33)*LOG10(P73)*10*Data!$B$1)*S73)+AQ73</f>
        <v>70.118675319420305</v>
      </c>
      <c r="AS73" s="2">
        <f t="shared" si="16"/>
        <v>48.387096774193552</v>
      </c>
      <c r="AT73" s="2">
        <f t="shared" si="12"/>
        <v>0</v>
      </c>
      <c r="AV73" s="2">
        <v>1</v>
      </c>
      <c r="AW73" s="2">
        <v>1</v>
      </c>
      <c r="AX73" s="2">
        <f t="shared" si="17"/>
        <v>35</v>
      </c>
      <c r="AY73" s="2">
        <f t="shared" si="18"/>
        <v>35</v>
      </c>
      <c r="AZ73" s="3">
        <v>10.199999999999999</v>
      </c>
      <c r="BA73" s="3">
        <v>2.2999999999999998</v>
      </c>
      <c r="BB73" s="3">
        <v>2.7</v>
      </c>
      <c r="BC73" s="2" t="str">
        <f>CONCATENATE(
ROUND(AZ73*VLOOKUP(I73,'ID Scheme'!$A$2:$E$7,3),0), "x",
ROUND(BA73*VLOOKUP(I73,'ID Scheme'!$A$2:$E$7,5),0), "x",
ROUND(BB73*VLOOKUP(I73,'ID Scheme'!$A$2:$E$7,4),0))</f>
        <v>95x33x26</v>
      </c>
    </row>
    <row r="74" spans="1:56" x14ac:dyDescent="0.25">
      <c r="A74" t="s">
        <v>490</v>
      </c>
      <c r="B74" t="s">
        <v>492</v>
      </c>
      <c r="C74" t="s">
        <v>286</v>
      </c>
      <c r="D74">
        <f>IF(E74 &gt; 2020, ((E74-2020)*4)+1610+G74,IF(E74 &gt; 1900, ((E74-1900)*10)+400+G74, ((E74-1730)*2)+G74))+VLOOKUP(I74,'ID Scheme'!$A$2:$B$7,2, FALSE)</f>
        <v>2141</v>
      </c>
      <c r="E74">
        <v>2014</v>
      </c>
      <c r="F74">
        <v>10</v>
      </c>
      <c r="G74">
        <v>1</v>
      </c>
      <c r="H74" t="s">
        <v>524</v>
      </c>
      <c r="I74" t="s">
        <v>12</v>
      </c>
      <c r="J74" t="s">
        <v>502</v>
      </c>
      <c r="K74">
        <v>60</v>
      </c>
      <c r="L74">
        <v>-1</v>
      </c>
      <c r="M74">
        <v>20</v>
      </c>
      <c r="N74">
        <v>7</v>
      </c>
      <c r="O74">
        <v>11</v>
      </c>
      <c r="P74">
        <v>240</v>
      </c>
      <c r="Q74">
        <v>20</v>
      </c>
      <c r="R74">
        <v>90</v>
      </c>
      <c r="S74">
        <v>0.9</v>
      </c>
      <c r="T74" t="s">
        <v>300</v>
      </c>
      <c r="U74">
        <v>3</v>
      </c>
      <c r="V74" s="2" t="s">
        <v>491</v>
      </c>
      <c r="W74" s="2"/>
      <c r="X74" s="2"/>
      <c r="Y74" s="2"/>
      <c r="Z74" s="2"/>
      <c r="AA74" s="2"/>
      <c r="AB74" s="2"/>
      <c r="AC74" s="2"/>
      <c r="AD74" s="2"/>
      <c r="AE74" s="2"/>
      <c r="AM74">
        <v>8</v>
      </c>
      <c r="AP74" s="2">
        <f>(SQRT(K74*R74)*POWER((MIN(M74,20)+SQRT(MAX(M74-20,0))),0.9)*Data!$B$1)*(1-(S74-1))</f>
        <v>89.86236093998113</v>
      </c>
      <c r="AQ74" s="2"/>
      <c r="AR74" s="2">
        <f>((POWER((K74*K74*R74), 0.33)*LOG10(P74)*10*Data!$B$1)*S74)+AQ74</f>
        <v>105.77891991708935</v>
      </c>
      <c r="AS74" s="2">
        <f t="shared" si="16"/>
        <v>48.387096774193552</v>
      </c>
      <c r="AT74" s="2">
        <f t="shared" ref="AT74:AT99" si="19">AF74/1.24</f>
        <v>0</v>
      </c>
      <c r="AV74" s="2">
        <v>1</v>
      </c>
      <c r="AW74" s="2">
        <v>1</v>
      </c>
      <c r="AX74" s="2">
        <f t="shared" si="17"/>
        <v>90</v>
      </c>
      <c r="AY74" s="2">
        <f t="shared" si="18"/>
        <v>90</v>
      </c>
      <c r="AZ74" s="3">
        <v>11.4</v>
      </c>
      <c r="BA74" s="3">
        <v>2.5499999999999998</v>
      </c>
      <c r="BB74" s="3">
        <v>4.2</v>
      </c>
      <c r="BC74" s="2" t="str">
        <f>CONCATENATE(
ROUND(AZ74*VLOOKUP(I74,'ID Scheme'!$A$2:$E$7,3),0), "x",
ROUND(BA74*VLOOKUP(I74,'ID Scheme'!$A$2:$E$7,5),0), "x",
ROUND(BB74*VLOOKUP(I74,'ID Scheme'!$A$2:$E$7,4),0))</f>
        <v>106x37x41</v>
      </c>
    </row>
    <row r="75" spans="1:56" x14ac:dyDescent="0.25">
      <c r="A75" t="s">
        <v>607</v>
      </c>
      <c r="B75" t="s">
        <v>606</v>
      </c>
      <c r="C75" t="s">
        <v>286</v>
      </c>
      <c r="D75">
        <f>IF(E75 &gt; 2020, ((E75-2020)*4)+1610+G75,IF(E75 &gt; 1900, ((E75-1900)*10)+400+G75, ((E75-1730)*2)+G75))+VLOOKUP(I75,'ID Scheme'!$A$2:$B$7,2, FALSE)</f>
        <v>2201</v>
      </c>
      <c r="E75">
        <v>2020</v>
      </c>
      <c r="F75">
        <v>1</v>
      </c>
      <c r="G75">
        <v>1</v>
      </c>
      <c r="H75" t="s">
        <v>524</v>
      </c>
      <c r="I75" t="s">
        <v>12</v>
      </c>
      <c r="J75" t="s">
        <v>502</v>
      </c>
      <c r="K75">
        <v>55</v>
      </c>
      <c r="L75">
        <v>-1</v>
      </c>
      <c r="M75">
        <v>20</v>
      </c>
      <c r="N75">
        <v>7</v>
      </c>
      <c r="O75">
        <v>12</v>
      </c>
      <c r="P75">
        <v>300</v>
      </c>
      <c r="Q75">
        <v>20</v>
      </c>
      <c r="R75">
        <v>90</v>
      </c>
      <c r="S75">
        <v>0.75</v>
      </c>
      <c r="T75" t="s">
        <v>608</v>
      </c>
      <c r="U75">
        <v>1</v>
      </c>
      <c r="V75" s="2" t="s">
        <v>609</v>
      </c>
      <c r="W75" s="2"/>
      <c r="X75" s="2"/>
      <c r="Y75" s="2"/>
      <c r="Z75" s="2"/>
      <c r="AA75" s="2"/>
      <c r="AB75" s="2"/>
      <c r="AC75" s="2"/>
      <c r="AD75" s="2"/>
      <c r="AE75" s="2"/>
      <c r="AM75">
        <v>8</v>
      </c>
      <c r="AP75" s="2">
        <f>(SQRT(K75*R75)*POWER((MIN(M75,20)+SQRT(MAX(M75-20,0))),0.9)*Data!$B$1)*(1-(S75-1))</f>
        <v>97.768932194229819</v>
      </c>
      <c r="AQ75" s="2"/>
      <c r="AR75" s="2">
        <f>((POWER((K75*K75*R75), 0.33)*LOG10(P75)*10*Data!$B$1)*S75)+AQ75</f>
        <v>86.618208225799165</v>
      </c>
      <c r="AS75" s="2">
        <f t="shared" ref="AS75" si="20">K75/1.24</f>
        <v>44.354838709677416</v>
      </c>
      <c r="AT75" s="2">
        <f t="shared" ref="AT75" si="21">AF75/1.24</f>
        <v>0</v>
      </c>
      <c r="AV75" s="2">
        <v>1</v>
      </c>
      <c r="AW75" s="2">
        <v>1</v>
      </c>
      <c r="AX75" s="2">
        <f t="shared" ref="AX75" si="22">R75/AW75</f>
        <v>90</v>
      </c>
      <c r="AY75" s="2">
        <f t="shared" ref="AY75" si="23">(R75)/MAX(AV75-1, 1)</f>
        <v>90</v>
      </c>
      <c r="AZ75" s="3">
        <v>11.4</v>
      </c>
      <c r="BA75" s="3">
        <v>2.5499999999999998</v>
      </c>
      <c r="BB75" s="3">
        <v>4.2</v>
      </c>
      <c r="BC75" s="2" t="str">
        <f>CONCATENATE(
ROUND(AZ75*VLOOKUP(I75,'ID Scheme'!$A$2:$E$7,3),0), "x",
ROUND(BA75*VLOOKUP(I75,'ID Scheme'!$A$2:$E$7,5),0), "x",
ROUND(BB75*VLOOKUP(I75,'ID Scheme'!$A$2:$E$7,4),0))</f>
        <v>106x37x41</v>
      </c>
    </row>
    <row r="76" spans="1:56" x14ac:dyDescent="0.25">
      <c r="A76" t="s">
        <v>39</v>
      </c>
      <c r="B76" t="s">
        <v>228</v>
      </c>
      <c r="C76" t="s">
        <v>328</v>
      </c>
      <c r="D76">
        <f>IF(E76 &gt; 2020, ((E76-2020)*4)+1610+G76,IF(E76 &gt; 1900, ((E76-1900)*10)+400+G76, ((E76-1730)*2)+G76))+VLOOKUP(I76,'ID Scheme'!$A$2:$B$7,2, FALSE)</f>
        <v>2935</v>
      </c>
      <c r="E76">
        <v>1897</v>
      </c>
      <c r="F76">
        <v>1</v>
      </c>
      <c r="G76">
        <v>1</v>
      </c>
      <c r="H76" t="s">
        <v>523</v>
      </c>
      <c r="I76" t="s">
        <v>13</v>
      </c>
      <c r="J76" t="s">
        <v>509</v>
      </c>
      <c r="K76">
        <v>20</v>
      </c>
      <c r="L76">
        <v>20</v>
      </c>
      <c r="M76">
        <v>15</v>
      </c>
      <c r="N76">
        <v>5</v>
      </c>
      <c r="O76">
        <v>4</v>
      </c>
      <c r="P76">
        <v>20</v>
      </c>
      <c r="Q76">
        <v>20</v>
      </c>
      <c r="R76">
        <v>13</v>
      </c>
      <c r="S76">
        <v>1</v>
      </c>
      <c r="T76" t="s">
        <v>289</v>
      </c>
      <c r="U76">
        <v>-3</v>
      </c>
      <c r="V76" s="2" t="s">
        <v>330</v>
      </c>
      <c r="W76" s="2"/>
      <c r="X76" s="2"/>
      <c r="Y76" s="2"/>
      <c r="Z76" s="2"/>
      <c r="AA76" s="2" t="s">
        <v>332</v>
      </c>
      <c r="AB76" s="2" t="s">
        <v>332</v>
      </c>
      <c r="AC76" s="2"/>
      <c r="AD76" s="2"/>
      <c r="AE76" s="2"/>
      <c r="AM76">
        <v>6</v>
      </c>
      <c r="AP76" s="2">
        <f>(SQRT(K76*R76)*POWER((MIN(M76,20)+SQRT(MAX(M76-20,0))),0.9)*Data!$B$1)*(1-(S76-1))</f>
        <v>13.836621803521316</v>
      </c>
      <c r="AQ76" s="2"/>
      <c r="AR76" s="2">
        <f>((POWER((K76*K76*R76), 0.33)*LOG10(P76)*10*Data!$B$1)*S76)+AQ76</f>
        <v>16.429701619516372</v>
      </c>
      <c r="AS76" s="2">
        <f t="shared" si="16"/>
        <v>16.129032258064516</v>
      </c>
      <c r="AT76" s="2">
        <f t="shared" si="19"/>
        <v>0</v>
      </c>
      <c r="AV76" s="2">
        <v>1</v>
      </c>
      <c r="AW76" s="2">
        <v>1</v>
      </c>
      <c r="AX76" s="2">
        <f t="shared" si="17"/>
        <v>13</v>
      </c>
      <c r="AY76" s="2">
        <f t="shared" si="18"/>
        <v>13</v>
      </c>
      <c r="AZ76" s="3"/>
      <c r="BA76" s="3"/>
      <c r="BB76" s="3"/>
      <c r="BC76" s="2" t="str">
        <f>CONCATENATE(
ROUND(AZ76*VLOOKUP(I76,'ID Scheme'!$A$2:$E$7,3),0), "x",
ROUND(BA76*VLOOKUP(I76,'ID Scheme'!$A$2:$E$7,5),0), "x",
ROUND(BB76*VLOOKUP(I76,'ID Scheme'!$A$2:$E$7,4),0))</f>
        <v>0x0x0</v>
      </c>
    </row>
    <row r="77" spans="1:56" x14ac:dyDescent="0.25">
      <c r="A77" t="s">
        <v>8</v>
      </c>
      <c r="B77" t="s">
        <v>197</v>
      </c>
      <c r="C77" t="s">
        <v>328</v>
      </c>
      <c r="D77">
        <f>IF(E77 &gt; 2020, ((E77-2020)*4)+1610+G77,IF(E77 &gt; 1900, ((E77-1900)*10)+400+G77, ((E77-1730)*2)+G77))+VLOOKUP(I77,'ID Scheme'!$A$2:$B$7,2, FALSE)</f>
        <v>3021</v>
      </c>
      <c r="E77">
        <v>1902</v>
      </c>
      <c r="F77">
        <v>1</v>
      </c>
      <c r="G77">
        <v>1</v>
      </c>
      <c r="H77" t="s">
        <v>523</v>
      </c>
      <c r="I77" t="s">
        <v>13</v>
      </c>
      <c r="J77" t="s">
        <v>509</v>
      </c>
      <c r="K77">
        <v>19</v>
      </c>
      <c r="L77">
        <v>20</v>
      </c>
      <c r="M77">
        <v>15</v>
      </c>
      <c r="N77">
        <v>5</v>
      </c>
      <c r="O77">
        <v>5</v>
      </c>
      <c r="P77">
        <v>35</v>
      </c>
      <c r="Q77">
        <v>20</v>
      </c>
      <c r="R77">
        <v>16</v>
      </c>
      <c r="S77">
        <v>1</v>
      </c>
      <c r="T77" t="s">
        <v>289</v>
      </c>
      <c r="U77">
        <v>-3</v>
      </c>
      <c r="V77" s="2" t="s">
        <v>333</v>
      </c>
      <c r="W77" s="2"/>
      <c r="X77" s="2"/>
      <c r="Y77" s="2"/>
      <c r="Z77" s="2"/>
      <c r="AA77" s="2" t="s">
        <v>332</v>
      </c>
      <c r="AB77" s="2" t="s">
        <v>332</v>
      </c>
      <c r="AC77" s="2"/>
      <c r="AD77" s="2"/>
      <c r="AE77" s="2"/>
      <c r="AM77">
        <v>8</v>
      </c>
      <c r="AP77" s="2">
        <f>(SQRT(K77*R77)*POWER((MIN(M77,20)+SQRT(MAX(M77-20,0))),0.9)*Data!$B$1)*(1-(S77-1))</f>
        <v>14.961674023450612</v>
      </c>
      <c r="AQ77" s="2"/>
      <c r="AR77" s="2">
        <f>((POWER((K77*K77*R77), 0.33)*LOG10(P77)*10*Data!$B$1)*S77)+AQ77</f>
        <v>20.186669341050663</v>
      </c>
      <c r="AS77" s="2">
        <f t="shared" si="16"/>
        <v>15.32258064516129</v>
      </c>
      <c r="AT77" s="2">
        <f t="shared" si="19"/>
        <v>0</v>
      </c>
      <c r="AV77" s="2">
        <v>1</v>
      </c>
      <c r="AW77" s="2">
        <v>1</v>
      </c>
      <c r="AX77" s="2">
        <f t="shared" si="17"/>
        <v>16</v>
      </c>
      <c r="AY77" s="2">
        <f t="shared" si="18"/>
        <v>16</v>
      </c>
      <c r="AZ77" s="3"/>
      <c r="BA77" s="3"/>
      <c r="BB77" s="3"/>
      <c r="BC77" s="2" t="str">
        <f>CONCATENATE(
ROUND(AZ77*VLOOKUP(I77,'ID Scheme'!$A$2:$E$7,3),0), "x",
ROUND(BA77*VLOOKUP(I77,'ID Scheme'!$A$2:$E$7,5),0), "x",
ROUND(BB77*VLOOKUP(I77,'ID Scheme'!$A$2:$E$7,4),0))</f>
        <v>0x0x0</v>
      </c>
    </row>
    <row r="78" spans="1:56" x14ac:dyDescent="0.25">
      <c r="A78" t="s">
        <v>22</v>
      </c>
      <c r="B78" t="s">
        <v>229</v>
      </c>
      <c r="C78" t="s">
        <v>328</v>
      </c>
      <c r="D78">
        <f>IF(E78 &gt; 2020, ((E78-2020)*4)+1610+G78,IF(E78 &gt; 1900, ((E78-1900)*10)+400+G78, ((E78-1730)*2)+G78))+VLOOKUP(I78,'ID Scheme'!$A$2:$B$7,2, FALSE)</f>
        <v>3071</v>
      </c>
      <c r="E78">
        <v>1907</v>
      </c>
      <c r="F78">
        <v>1</v>
      </c>
      <c r="G78">
        <v>1</v>
      </c>
      <c r="H78" t="s">
        <v>523</v>
      </c>
      <c r="I78" t="s">
        <v>13</v>
      </c>
      <c r="J78" t="s">
        <v>502</v>
      </c>
      <c r="K78">
        <v>22</v>
      </c>
      <c r="L78">
        <v>15</v>
      </c>
      <c r="M78">
        <v>15</v>
      </c>
      <c r="N78">
        <v>5</v>
      </c>
      <c r="O78">
        <v>5.5</v>
      </c>
      <c r="P78">
        <v>35</v>
      </c>
      <c r="Q78">
        <v>20</v>
      </c>
      <c r="R78">
        <v>18</v>
      </c>
      <c r="S78">
        <v>1</v>
      </c>
      <c r="T78" t="s">
        <v>290</v>
      </c>
      <c r="U78">
        <v>2</v>
      </c>
      <c r="V78" s="2" t="s">
        <v>334</v>
      </c>
      <c r="W78" s="2" t="s">
        <v>332</v>
      </c>
      <c r="X78" s="2"/>
      <c r="Y78" s="2"/>
      <c r="Z78" s="2"/>
      <c r="AA78" s="2" t="s">
        <v>332</v>
      </c>
      <c r="AB78" s="2" t="s">
        <v>332</v>
      </c>
      <c r="AC78" s="2"/>
      <c r="AD78" s="2"/>
      <c r="AE78" s="2"/>
      <c r="AM78">
        <v>7</v>
      </c>
      <c r="AP78" s="2">
        <f>(SQRT(K78*R78)*POWER((MIN(M78,20)+SQRT(MAX(M78-20,0))),0.9)*Data!$B$1)*(1-(S78-1))</f>
        <v>17.076190437355692</v>
      </c>
      <c r="AQ78" s="2"/>
      <c r="AR78" s="2">
        <f>((POWER((K78*K78*R78), 0.33)*LOG10(P78)*10*Data!$B$1)*S78)+AQ78</f>
        <v>23.11886954917755</v>
      </c>
      <c r="AS78" s="2">
        <f t="shared" si="16"/>
        <v>17.741935483870968</v>
      </c>
      <c r="AT78" s="2">
        <f t="shared" si="19"/>
        <v>0</v>
      </c>
      <c r="AV78" s="2">
        <v>1</v>
      </c>
      <c r="AW78" s="2">
        <v>1</v>
      </c>
      <c r="AX78" s="2">
        <f t="shared" si="17"/>
        <v>18</v>
      </c>
      <c r="AY78" s="2">
        <f t="shared" si="18"/>
        <v>18</v>
      </c>
      <c r="AZ78" s="3"/>
      <c r="BA78" s="3"/>
      <c r="BB78" s="3"/>
      <c r="BC78" s="2" t="str">
        <f>CONCATENATE(
ROUND(AZ78*VLOOKUP(I78,'ID Scheme'!$A$2:$E$7,3),0), "x",
ROUND(BA78*VLOOKUP(I78,'ID Scheme'!$A$2:$E$7,5),0), "x",
ROUND(BB78*VLOOKUP(I78,'ID Scheme'!$A$2:$E$7,4),0))</f>
        <v>0x0x0</v>
      </c>
    </row>
    <row r="79" spans="1:56" x14ac:dyDescent="0.25">
      <c r="A79" t="s">
        <v>235</v>
      </c>
      <c r="B79" t="s">
        <v>234</v>
      </c>
      <c r="C79" t="s">
        <v>328</v>
      </c>
      <c r="D79">
        <f>IF(E79 &gt; 2020, ((E79-2020)*4)+1610+G79,IF(E79 &gt; 1900, ((E79-1900)*10)+400+G79, ((E79-1730)*2)+G79))+VLOOKUP(I79,'ID Scheme'!$A$2:$B$7,2, FALSE)</f>
        <v>3131</v>
      </c>
      <c r="E79">
        <v>1913</v>
      </c>
      <c r="F79">
        <v>1</v>
      </c>
      <c r="G79">
        <v>1</v>
      </c>
      <c r="H79" t="s">
        <v>523</v>
      </c>
      <c r="I79" t="s">
        <v>13</v>
      </c>
      <c r="J79" t="s">
        <v>509</v>
      </c>
      <c r="K79">
        <v>24</v>
      </c>
      <c r="L79">
        <v>20</v>
      </c>
      <c r="M79">
        <v>18</v>
      </c>
      <c r="N79">
        <v>5</v>
      </c>
      <c r="O79">
        <v>4.5</v>
      </c>
      <c r="P79">
        <v>30</v>
      </c>
      <c r="Q79">
        <v>20</v>
      </c>
      <c r="R79">
        <v>18</v>
      </c>
      <c r="S79">
        <v>1</v>
      </c>
      <c r="T79" t="s">
        <v>290</v>
      </c>
      <c r="U79">
        <v>2</v>
      </c>
      <c r="V79" s="2" t="s">
        <v>479</v>
      </c>
      <c r="W79" s="2" t="s">
        <v>332</v>
      </c>
      <c r="X79" s="2" t="s">
        <v>332</v>
      </c>
      <c r="Y79" s="2"/>
      <c r="Z79" s="2"/>
      <c r="AA79" s="2" t="s">
        <v>332</v>
      </c>
      <c r="AB79" s="2" t="s">
        <v>332</v>
      </c>
      <c r="AC79" s="2"/>
      <c r="AD79" s="2"/>
      <c r="AE79" s="2"/>
      <c r="AM79">
        <v>7</v>
      </c>
      <c r="AP79" s="2">
        <f>(SQRT(K79*R79)*POWER((MIN(M79,20)+SQRT(MAX(M79-20,0))),0.9)*Data!$B$1)*(1-(S79-1))</f>
        <v>21.01591926507977</v>
      </c>
      <c r="AQ79" s="2"/>
      <c r="AR79" s="2">
        <f>((POWER((K79*K79*R79), 0.33)*LOG10(P79)*10*Data!$B$1)*S79)+AQ79</f>
        <v>23.42376794797384</v>
      </c>
      <c r="AS79" s="2">
        <f t="shared" si="16"/>
        <v>19.35483870967742</v>
      </c>
      <c r="AT79" s="2">
        <f t="shared" si="19"/>
        <v>0</v>
      </c>
      <c r="AV79" s="2">
        <v>1</v>
      </c>
      <c r="AW79" s="2">
        <v>1</v>
      </c>
      <c r="AX79" s="2">
        <f t="shared" si="17"/>
        <v>18</v>
      </c>
      <c r="AY79" s="2">
        <f t="shared" si="18"/>
        <v>18</v>
      </c>
      <c r="AZ79" s="3"/>
      <c r="BA79" s="3"/>
      <c r="BB79" s="3"/>
      <c r="BC79" s="2" t="str">
        <f>CONCATENATE(
ROUND(AZ79*VLOOKUP(I79,'ID Scheme'!$A$2:$E$7,3),0), "x",
ROUND(BA79*VLOOKUP(I79,'ID Scheme'!$A$2:$E$7,5),0), "x",
ROUND(BB79*VLOOKUP(I79,'ID Scheme'!$A$2:$E$7,4),0))</f>
        <v>0x0x0</v>
      </c>
    </row>
    <row r="80" spans="1:56" x14ac:dyDescent="0.25">
      <c r="A80" t="s">
        <v>600</v>
      </c>
      <c r="B80" t="s">
        <v>601</v>
      </c>
      <c r="C80" t="s">
        <v>328</v>
      </c>
      <c r="D80">
        <f>IF(E80 &gt; 2020, ((E80-2020)*4)+1610+G80,IF(E80 &gt; 1900, ((E80-1900)*10)+400+G80, ((E80-1730)*2)+G80))+VLOOKUP(I80,'ID Scheme'!$A$2:$B$7,2, FALSE)</f>
        <v>3231</v>
      </c>
      <c r="E80">
        <v>1923</v>
      </c>
      <c r="F80">
        <v>1</v>
      </c>
      <c r="G80">
        <v>1</v>
      </c>
      <c r="H80" t="s">
        <v>523</v>
      </c>
      <c r="I80" t="s">
        <v>13</v>
      </c>
      <c r="J80" t="s">
        <v>502</v>
      </c>
      <c r="K80">
        <v>28</v>
      </c>
      <c r="L80">
        <v>21</v>
      </c>
      <c r="M80">
        <v>19</v>
      </c>
      <c r="N80">
        <v>5</v>
      </c>
      <c r="O80">
        <v>4.5</v>
      </c>
      <c r="P80">
        <v>40</v>
      </c>
      <c r="Q80">
        <v>20</v>
      </c>
      <c r="R80">
        <v>18</v>
      </c>
      <c r="S80">
        <v>1</v>
      </c>
      <c r="T80" t="s">
        <v>290</v>
      </c>
      <c r="U80">
        <v>2</v>
      </c>
      <c r="V80" s="2" t="s">
        <v>602</v>
      </c>
      <c r="W80" s="2" t="s">
        <v>332</v>
      </c>
      <c r="X80" s="2" t="s">
        <v>332</v>
      </c>
      <c r="Y80" s="2"/>
      <c r="Z80" s="2"/>
      <c r="AA80" s="2" t="s">
        <v>332</v>
      </c>
      <c r="AB80" s="2" t="s">
        <v>332</v>
      </c>
      <c r="AC80" s="2"/>
      <c r="AD80" s="2"/>
      <c r="AE80" s="2"/>
      <c r="AM80">
        <v>7</v>
      </c>
      <c r="AP80" s="2">
        <f>(SQRT(K80*R80)*POWER((MIN(M80,20)+SQRT(MAX(M80-20,0))),0.9)*Data!$B$1)*(1-(S80-1))</f>
        <v>23.83168624016955</v>
      </c>
      <c r="AQ80" s="2"/>
      <c r="AR80" s="2">
        <f>((POWER((K80*K80*R80), 0.33)*LOG10(P80)*10*Data!$B$1)*S80)+AQ80</f>
        <v>28.125759935399518</v>
      </c>
      <c r="AS80" s="2">
        <f t="shared" si="16"/>
        <v>22.580645161290324</v>
      </c>
      <c r="AT80" s="2">
        <f t="shared" ref="AT80" si="24">AF80/1.24</f>
        <v>0</v>
      </c>
      <c r="AV80" s="2">
        <v>1</v>
      </c>
      <c r="AW80" s="2">
        <v>1</v>
      </c>
      <c r="AX80" s="2">
        <f t="shared" si="17"/>
        <v>18</v>
      </c>
      <c r="AY80" s="2">
        <f t="shared" si="18"/>
        <v>18</v>
      </c>
      <c r="AZ80" s="3"/>
      <c r="BA80" s="3"/>
      <c r="BB80" s="3"/>
      <c r="BC80" s="2" t="str">
        <f>CONCATENATE(
ROUND(AZ80*VLOOKUP(I80,'ID Scheme'!$A$2:$E$7,3),0), "x",
ROUND(BA80*VLOOKUP(I80,'ID Scheme'!$A$2:$E$7,5),0), "x",
ROUND(BB80*VLOOKUP(I80,'ID Scheme'!$A$2:$E$7,4),0))</f>
        <v>0x0x0</v>
      </c>
    </row>
    <row r="81" spans="1:56" x14ac:dyDescent="0.25">
      <c r="A81" t="s">
        <v>60</v>
      </c>
      <c r="B81" t="s">
        <v>219</v>
      </c>
      <c r="C81" t="s">
        <v>328</v>
      </c>
      <c r="D81">
        <f>IF(E81 &gt; 2020, ((E81-2020)*4)+1610+G81,IF(E81 &gt; 1900, ((E81-1900)*10)+400+G81, ((E81-1730)*2)+G81))+VLOOKUP(I81,'ID Scheme'!$A$2:$B$7,2, FALSE)</f>
        <v>3281</v>
      </c>
      <c r="E81">
        <v>1928</v>
      </c>
      <c r="F81">
        <v>1</v>
      </c>
      <c r="G81">
        <v>1</v>
      </c>
      <c r="H81" t="s">
        <v>523</v>
      </c>
      <c r="I81" t="s">
        <v>13</v>
      </c>
      <c r="J81" t="s">
        <v>502</v>
      </c>
      <c r="K81">
        <v>37</v>
      </c>
      <c r="L81">
        <v>20</v>
      </c>
      <c r="M81">
        <v>16</v>
      </c>
      <c r="N81">
        <v>5</v>
      </c>
      <c r="O81">
        <v>6</v>
      </c>
      <c r="P81">
        <v>100</v>
      </c>
      <c r="Q81">
        <v>20</v>
      </c>
      <c r="R81">
        <v>15</v>
      </c>
      <c r="S81">
        <v>1.05</v>
      </c>
      <c r="T81" t="s">
        <v>289</v>
      </c>
      <c r="U81">
        <v>-3</v>
      </c>
      <c r="V81" s="2" t="s">
        <v>335</v>
      </c>
      <c r="W81" s="2" t="s">
        <v>332</v>
      </c>
      <c r="X81" s="2"/>
      <c r="Y81" s="2"/>
      <c r="Z81" s="2"/>
      <c r="AA81" s="2" t="s">
        <v>332</v>
      </c>
      <c r="AB81" s="2"/>
      <c r="AC81" s="2"/>
      <c r="AD81" s="2"/>
      <c r="AE81" s="2"/>
      <c r="AM81">
        <v>8</v>
      </c>
      <c r="AP81" s="2">
        <f>(SQRT(K81*R81)*POWER((MIN(M81,20)+SQRT(MAX(M81-20,0))),0.9)*Data!$B$1)*(1-(S81-1))</f>
        <v>20.353511393559973</v>
      </c>
      <c r="AQ81" s="2"/>
      <c r="AR81" s="2">
        <f>((POWER((K81*K81*R81), 0.33)*LOG10(P81)*10*Data!$B$1)*S81)+AQ81</f>
        <v>41.725717318942067</v>
      </c>
      <c r="AS81" s="2">
        <f t="shared" si="16"/>
        <v>29.838709677419356</v>
      </c>
      <c r="AT81" s="2">
        <f t="shared" si="19"/>
        <v>0</v>
      </c>
      <c r="AV81" s="2">
        <v>1</v>
      </c>
      <c r="AW81" s="2">
        <v>1</v>
      </c>
      <c r="AX81" s="2">
        <f t="shared" si="17"/>
        <v>15</v>
      </c>
      <c r="AY81" s="2">
        <f t="shared" si="18"/>
        <v>15</v>
      </c>
      <c r="AZ81" s="3"/>
      <c r="BA81" s="3"/>
      <c r="BB81" s="3"/>
      <c r="BC81" s="2" t="str">
        <f>CONCATENATE(
ROUND(AZ81*VLOOKUP(I81,'ID Scheme'!$A$2:$E$7,3),0), "x",
ROUND(BA81*VLOOKUP(I81,'ID Scheme'!$A$2:$E$7,5),0), "x",
ROUND(BB81*VLOOKUP(I81,'ID Scheme'!$A$2:$E$7,4),0))</f>
        <v>0x0x0</v>
      </c>
    </row>
    <row r="82" spans="1:56" x14ac:dyDescent="0.25">
      <c r="A82" t="s">
        <v>61</v>
      </c>
      <c r="B82" t="s">
        <v>190</v>
      </c>
      <c r="C82" t="s">
        <v>328</v>
      </c>
      <c r="D82">
        <f>IF(E82 &gt; 2020, ((E82-2020)*4)+1610+G82,IF(E82 &gt; 1900, ((E82-1900)*10)+400+G82, ((E82-1730)*2)+G82))+VLOOKUP(I82,'ID Scheme'!$A$2:$B$7,2, FALSE)</f>
        <v>3351</v>
      </c>
      <c r="E82">
        <v>1935</v>
      </c>
      <c r="F82">
        <v>1</v>
      </c>
      <c r="G82">
        <v>1</v>
      </c>
      <c r="H82" t="s">
        <v>523</v>
      </c>
      <c r="I82" t="s">
        <v>13</v>
      </c>
      <c r="J82" t="s">
        <v>502</v>
      </c>
      <c r="K82">
        <v>29</v>
      </c>
      <c r="L82">
        <v>25</v>
      </c>
      <c r="M82">
        <v>15</v>
      </c>
      <c r="N82">
        <v>5</v>
      </c>
      <c r="O82">
        <v>7</v>
      </c>
      <c r="P82">
        <v>110</v>
      </c>
      <c r="Q82">
        <v>20</v>
      </c>
      <c r="R82">
        <v>24</v>
      </c>
      <c r="S82">
        <v>1</v>
      </c>
      <c r="T82" t="s">
        <v>290</v>
      </c>
      <c r="U82">
        <v>3</v>
      </c>
      <c r="V82" s="2" t="s">
        <v>336</v>
      </c>
      <c r="W82" s="2" t="s">
        <v>332</v>
      </c>
      <c r="X82" s="2"/>
      <c r="Y82" s="2"/>
      <c r="Z82" s="2"/>
      <c r="AA82" s="2"/>
      <c r="AB82" s="2"/>
      <c r="AC82" s="2"/>
      <c r="AD82" s="2"/>
      <c r="AE82" s="2"/>
      <c r="AM82">
        <v>8</v>
      </c>
      <c r="AP82" s="2">
        <f>(SQRT(K82*R82)*POWER((MIN(M82,20)+SQRT(MAX(M82-20,0))),0.9)*Data!$B$1)*(1-(S82-1))</f>
        <v>22.638519219874436</v>
      </c>
      <c r="AQ82" s="2"/>
      <c r="AR82" s="2">
        <f>((POWER((K82*K82*R82), 0.33)*LOG10(P82)*10*Data!$B$1)*S82)+AQ82</f>
        <v>40.331112889521961</v>
      </c>
      <c r="AS82" s="2">
        <f t="shared" si="16"/>
        <v>23.387096774193548</v>
      </c>
      <c r="AT82" s="2">
        <f t="shared" si="19"/>
        <v>0</v>
      </c>
      <c r="AV82" s="2">
        <v>1</v>
      </c>
      <c r="AW82" s="2">
        <v>1</v>
      </c>
      <c r="AX82" s="2">
        <f t="shared" si="17"/>
        <v>24</v>
      </c>
      <c r="AY82" s="2">
        <f t="shared" si="18"/>
        <v>24</v>
      </c>
      <c r="AZ82" s="3"/>
      <c r="BA82" s="3"/>
      <c r="BB82" s="3"/>
      <c r="BC82" s="2" t="str">
        <f>CONCATENATE(
ROUND(AZ82*VLOOKUP(I82,'ID Scheme'!$A$2:$E$7,3),0), "x",
ROUND(BA82*VLOOKUP(I82,'ID Scheme'!$A$2:$E$7,5),0), "x",
ROUND(BB82*VLOOKUP(I82,'ID Scheme'!$A$2:$E$7,4),0))</f>
        <v>0x0x0</v>
      </c>
    </row>
    <row r="83" spans="1:56" x14ac:dyDescent="0.25">
      <c r="A83" t="s">
        <v>0</v>
      </c>
      <c r="B83" t="s">
        <v>207</v>
      </c>
      <c r="C83" t="s">
        <v>328</v>
      </c>
      <c r="D83">
        <f>IF(E83 &gt; 2020, ((E83-2020)*4)+1610+G83,IF(E83 &gt; 1900, ((E83-1900)*10)+400+G83, ((E83-1730)*2)+G83))+VLOOKUP(I83,'ID Scheme'!$A$2:$B$7,2, FALSE)</f>
        <v>3361</v>
      </c>
      <c r="E83">
        <v>1936</v>
      </c>
      <c r="F83">
        <v>1</v>
      </c>
      <c r="G83">
        <v>1</v>
      </c>
      <c r="H83" t="s">
        <v>523</v>
      </c>
      <c r="I83" t="s">
        <v>13</v>
      </c>
      <c r="J83" t="s">
        <v>502</v>
      </c>
      <c r="K83">
        <v>37</v>
      </c>
      <c r="L83">
        <v>20</v>
      </c>
      <c r="M83">
        <v>15</v>
      </c>
      <c r="N83">
        <v>5</v>
      </c>
      <c r="O83">
        <v>5.5</v>
      </c>
      <c r="P83">
        <v>70</v>
      </c>
      <c r="Q83">
        <v>20</v>
      </c>
      <c r="R83">
        <v>20</v>
      </c>
      <c r="S83">
        <v>1</v>
      </c>
      <c r="T83" t="s">
        <v>290</v>
      </c>
      <c r="U83">
        <v>2</v>
      </c>
      <c r="V83" s="2" t="s">
        <v>337</v>
      </c>
      <c r="W83" s="2" t="s">
        <v>332</v>
      </c>
      <c r="X83" s="2"/>
      <c r="Y83" s="2"/>
      <c r="Z83" s="2"/>
      <c r="AA83" s="2" t="s">
        <v>332</v>
      </c>
      <c r="AB83" s="2" t="s">
        <v>332</v>
      </c>
      <c r="AC83" s="2"/>
      <c r="AD83" s="2"/>
      <c r="AE83" s="2"/>
      <c r="AM83">
        <v>7</v>
      </c>
      <c r="AP83" s="2">
        <f>(SQRT(K83*R83)*POWER((MIN(M83,20)+SQRT(MAX(M83-20,0))),0.9)*Data!$B$1)*(1-(S83-1))</f>
        <v>23.343139015970831</v>
      </c>
      <c r="AQ83" s="2"/>
      <c r="AR83" s="2">
        <f>((POWER((K83*K83*R83), 0.33)*LOG10(P83)*10*Data!$B$1)*S83)+AQ83</f>
        <v>40.311944493951287</v>
      </c>
      <c r="AS83" s="2">
        <f t="shared" si="16"/>
        <v>29.838709677419356</v>
      </c>
      <c r="AT83" s="2">
        <f t="shared" si="19"/>
        <v>0</v>
      </c>
      <c r="AV83" s="2">
        <v>1</v>
      </c>
      <c r="AW83" s="2">
        <v>1</v>
      </c>
      <c r="AX83" s="2">
        <f t="shared" si="17"/>
        <v>20</v>
      </c>
      <c r="AY83" s="2">
        <f t="shared" si="18"/>
        <v>20</v>
      </c>
      <c r="AZ83" s="3"/>
      <c r="BA83" s="3"/>
      <c r="BB83" s="3"/>
      <c r="BC83" s="2" t="str">
        <f>CONCATENATE(
ROUND(AZ83*VLOOKUP(I83,'ID Scheme'!$A$2:$E$7,3),0), "x",
ROUND(BA83*VLOOKUP(I83,'ID Scheme'!$A$2:$E$7,5),0), "x",
ROUND(BB83*VLOOKUP(I83,'ID Scheme'!$A$2:$E$7,4),0))</f>
        <v>0x0x0</v>
      </c>
    </row>
    <row r="84" spans="1:56" x14ac:dyDescent="0.25">
      <c r="A84" t="s">
        <v>603</v>
      </c>
      <c r="B84" t="s">
        <v>604</v>
      </c>
      <c r="C84" t="s">
        <v>328</v>
      </c>
      <c r="D84">
        <f>IF(E84 &gt; 2020, ((E84-2020)*4)+1610+G84,IF(E84 &gt; 1900, ((E84-1900)*10)+400+G84, ((E84-1730)*2)+G84))+VLOOKUP(I84,'ID Scheme'!$A$2:$B$7,2, FALSE)</f>
        <v>3491</v>
      </c>
      <c r="E84">
        <v>1949</v>
      </c>
      <c r="F84">
        <v>7</v>
      </c>
      <c r="G84">
        <v>1</v>
      </c>
      <c r="H84" t="s">
        <v>523</v>
      </c>
      <c r="I84" t="s">
        <v>13</v>
      </c>
      <c r="J84" t="s">
        <v>502</v>
      </c>
      <c r="K84">
        <v>46</v>
      </c>
      <c r="L84">
        <v>18</v>
      </c>
      <c r="M84">
        <v>15</v>
      </c>
      <c r="N84">
        <v>5</v>
      </c>
      <c r="O84">
        <v>6</v>
      </c>
      <c r="P84">
        <v>90</v>
      </c>
      <c r="Q84">
        <v>20</v>
      </c>
      <c r="R84">
        <v>19</v>
      </c>
      <c r="S84">
        <v>1</v>
      </c>
      <c r="T84" t="s">
        <v>290</v>
      </c>
      <c r="U84">
        <v>2</v>
      </c>
      <c r="V84" s="2" t="s">
        <v>605</v>
      </c>
      <c r="W84" s="2" t="s">
        <v>332</v>
      </c>
      <c r="X84" s="2" t="s">
        <v>332</v>
      </c>
      <c r="Y84" s="2"/>
      <c r="Z84" s="2"/>
      <c r="AA84" s="2"/>
      <c r="AB84" s="2"/>
      <c r="AC84" s="2"/>
      <c r="AD84" s="2"/>
      <c r="AE84" s="2"/>
      <c r="AM84">
        <v>8</v>
      </c>
      <c r="AP84" s="2">
        <f>(SQRT(K84*R84)*POWER((MIN(M84,20)+SQRT(MAX(M84-20,0))),0.9)*Data!$B$1)*(1-(S84-1))</f>
        <v>25.368752581748886</v>
      </c>
      <c r="AQ84" s="2"/>
      <c r="AR84" s="2">
        <f>((POWER((K84*K84*R84), 0.33)*LOG10(P84)*10*Data!$B$1)*S84)+AQ84</f>
        <v>48.467272071279751</v>
      </c>
      <c r="AS84" s="2">
        <f t="shared" si="16"/>
        <v>37.096774193548384</v>
      </c>
      <c r="AT84" s="2">
        <f t="shared" ref="AT84" si="25">AF84/1.24</f>
        <v>0</v>
      </c>
      <c r="AV84" s="2">
        <v>1</v>
      </c>
      <c r="AW84" s="2">
        <v>1</v>
      </c>
      <c r="AX84" s="2">
        <f t="shared" si="17"/>
        <v>19</v>
      </c>
      <c r="AY84" s="2">
        <f t="shared" si="18"/>
        <v>19</v>
      </c>
      <c r="AZ84" s="3"/>
      <c r="BA84" s="3"/>
      <c r="BB84" s="3"/>
      <c r="BC84" s="2" t="str">
        <f>CONCATENATE(
ROUND(AZ84*VLOOKUP(I84,'ID Scheme'!$A$2:$E$7,3),0), "x",
ROUND(BA84*VLOOKUP(I84,'ID Scheme'!$A$2:$E$7,5),0), "x",
ROUND(BB84*VLOOKUP(I84,'ID Scheme'!$A$2:$E$7,4),0))</f>
        <v>0x0x0</v>
      </c>
    </row>
    <row r="85" spans="1:56" x14ac:dyDescent="0.25">
      <c r="A85" t="s">
        <v>1</v>
      </c>
      <c r="B85" t="s">
        <v>209</v>
      </c>
      <c r="C85" t="s">
        <v>328</v>
      </c>
      <c r="D85">
        <f>IF(E85 &gt; 2020, ((E85-2020)*4)+1610+G85,IF(E85 &gt; 1900, ((E85-1900)*10)+400+G85, ((E85-1730)*2)+G85))+VLOOKUP(I85,'ID Scheme'!$A$2:$B$7,2, FALSE)</f>
        <v>3521</v>
      </c>
      <c r="E85">
        <v>1952</v>
      </c>
      <c r="F85">
        <v>1</v>
      </c>
      <c r="G85">
        <v>1</v>
      </c>
      <c r="H85" t="s">
        <v>523</v>
      </c>
      <c r="I85" t="s">
        <v>13</v>
      </c>
      <c r="J85" t="s">
        <v>502</v>
      </c>
      <c r="K85">
        <v>38</v>
      </c>
      <c r="L85">
        <v>25</v>
      </c>
      <c r="M85">
        <v>15</v>
      </c>
      <c r="N85">
        <v>5</v>
      </c>
      <c r="O85">
        <v>7.5</v>
      </c>
      <c r="P85">
        <v>100</v>
      </c>
      <c r="Q85">
        <v>20</v>
      </c>
      <c r="R85">
        <v>25</v>
      </c>
      <c r="S85">
        <v>1</v>
      </c>
      <c r="T85" t="s">
        <v>290</v>
      </c>
      <c r="U85">
        <v>3</v>
      </c>
      <c r="V85" s="2" t="s">
        <v>338</v>
      </c>
      <c r="W85" s="2" t="s">
        <v>332</v>
      </c>
      <c r="X85" s="2"/>
      <c r="Y85" s="2"/>
      <c r="Z85" s="2"/>
      <c r="AA85" s="2"/>
      <c r="AB85" s="2"/>
      <c r="AC85" s="2"/>
      <c r="AD85" s="2"/>
      <c r="AE85" s="2"/>
      <c r="AM85">
        <v>8</v>
      </c>
      <c r="AP85" s="2">
        <f>(SQRT(K85*R85)*POWER((MIN(M85,20)+SQRT(MAX(M85-20,0))),0.9)*Data!$B$1)*(1-(S85-1))</f>
        <v>26.448752899711359</v>
      </c>
      <c r="AQ85" s="2"/>
      <c r="AR85" s="2">
        <f>((POWER((K85*K85*R85), 0.33)*LOG10(P85)*10*Data!$B$1)*S85)+AQ85</f>
        <v>47.870574076263431</v>
      </c>
      <c r="AS85" s="2">
        <f t="shared" si="16"/>
        <v>30.64516129032258</v>
      </c>
      <c r="AT85" s="2">
        <f t="shared" si="19"/>
        <v>0</v>
      </c>
      <c r="AV85" s="2">
        <v>1</v>
      </c>
      <c r="AW85" s="2">
        <v>1</v>
      </c>
      <c r="AX85" s="2">
        <f t="shared" si="17"/>
        <v>25</v>
      </c>
      <c r="AY85" s="2">
        <f t="shared" si="18"/>
        <v>25</v>
      </c>
      <c r="AZ85" s="3"/>
      <c r="BA85" s="3"/>
      <c r="BB85" s="3"/>
      <c r="BC85" s="2" t="str">
        <f>CONCATENATE(
ROUND(AZ85*VLOOKUP(I85,'ID Scheme'!$A$2:$E$7,3),0), "x",
ROUND(BA85*VLOOKUP(I85,'ID Scheme'!$A$2:$E$7,5),0), "x",
ROUND(BB85*VLOOKUP(I85,'ID Scheme'!$A$2:$E$7,4),0))</f>
        <v>0x0x0</v>
      </c>
    </row>
    <row r="86" spans="1:56" x14ac:dyDescent="0.25">
      <c r="A86" t="s">
        <v>4</v>
      </c>
      <c r="B86" t="s">
        <v>199</v>
      </c>
      <c r="C86" t="s">
        <v>328</v>
      </c>
      <c r="D86">
        <f>IF(E86 &gt; 2020, ((E86-2020)*4)+1610+G86,IF(E86 &gt; 1900, ((E86-1900)*10)+400+G86, ((E86-1730)*2)+G86))+VLOOKUP(I86,'ID Scheme'!$A$2:$B$7,2, FALSE)</f>
        <v>3571</v>
      </c>
      <c r="E86">
        <v>1957</v>
      </c>
      <c r="F86">
        <v>1</v>
      </c>
      <c r="G86">
        <v>1</v>
      </c>
      <c r="H86" t="s">
        <v>523</v>
      </c>
      <c r="I86" t="s">
        <v>13</v>
      </c>
      <c r="J86" t="s">
        <v>502</v>
      </c>
      <c r="K86">
        <v>44</v>
      </c>
      <c r="L86">
        <v>20</v>
      </c>
      <c r="M86">
        <v>15</v>
      </c>
      <c r="N86">
        <v>5</v>
      </c>
      <c r="O86">
        <v>6.5</v>
      </c>
      <c r="P86">
        <v>110</v>
      </c>
      <c r="Q86">
        <v>20</v>
      </c>
      <c r="R86">
        <v>21</v>
      </c>
      <c r="S86">
        <v>1</v>
      </c>
      <c r="T86" t="s">
        <v>290</v>
      </c>
      <c r="U86">
        <v>2</v>
      </c>
      <c r="V86" s="2" t="s">
        <v>339</v>
      </c>
      <c r="W86" s="2" t="s">
        <v>332</v>
      </c>
      <c r="X86" s="2" t="s">
        <v>332</v>
      </c>
      <c r="Y86" s="2"/>
      <c r="Z86" s="2"/>
      <c r="AA86" s="2"/>
      <c r="AB86" s="2"/>
      <c r="AC86" s="2"/>
      <c r="AD86" s="2"/>
      <c r="AE86" s="2"/>
      <c r="AM86">
        <v>8</v>
      </c>
      <c r="AP86" s="2">
        <f>(SQRT(K86*R86)*POWER((MIN(M86,20)+SQRT(MAX(M86-20,0))),0.9)*Data!$B$1)*(1-(S86-1))</f>
        <v>26.084311753554509</v>
      </c>
      <c r="AQ86" s="2"/>
      <c r="AR86" s="2">
        <f>((POWER((K86*K86*R86), 0.33)*LOG10(P86)*10*Data!$B$1)*S86)+AQ86</f>
        <v>50.815821559497905</v>
      </c>
      <c r="AS86" s="2">
        <f t="shared" si="16"/>
        <v>35.483870967741936</v>
      </c>
      <c r="AT86" s="2">
        <f t="shared" si="19"/>
        <v>0</v>
      </c>
      <c r="AV86" s="2">
        <v>1</v>
      </c>
      <c r="AW86" s="2">
        <v>1</v>
      </c>
      <c r="AX86" s="2">
        <f t="shared" si="17"/>
        <v>21</v>
      </c>
      <c r="AY86" s="2">
        <f t="shared" si="18"/>
        <v>21</v>
      </c>
      <c r="AZ86" s="3"/>
      <c r="BA86" s="3"/>
      <c r="BB86" s="3"/>
      <c r="BC86" s="2" t="str">
        <f>CONCATENATE(
ROUND(AZ86*VLOOKUP(I86,'ID Scheme'!$A$2:$E$7,3),0), "x",
ROUND(BA86*VLOOKUP(I86,'ID Scheme'!$A$2:$E$7,5),0), "x",
ROUND(BB86*VLOOKUP(I86,'ID Scheme'!$A$2:$E$7,4),0))</f>
        <v>0x0x0</v>
      </c>
    </row>
    <row r="87" spans="1:56" x14ac:dyDescent="0.25">
      <c r="A87" t="s">
        <v>74</v>
      </c>
      <c r="B87" t="s">
        <v>192</v>
      </c>
      <c r="C87" t="s">
        <v>328</v>
      </c>
      <c r="D87">
        <f>IF(E87 &gt; 2020, ((E87-2020)*4)+1610+G87,IF(E87 &gt; 1900, ((E87-1900)*10)+400+G87, ((E87-1730)*2)+G87))+VLOOKUP(I87,'ID Scheme'!$A$2:$B$7,2, FALSE)</f>
        <v>3591</v>
      </c>
      <c r="E87">
        <v>1959</v>
      </c>
      <c r="F87">
        <v>1</v>
      </c>
      <c r="G87">
        <v>1</v>
      </c>
      <c r="H87" t="s">
        <v>523</v>
      </c>
      <c r="I87" t="s">
        <v>13</v>
      </c>
      <c r="J87" t="s">
        <v>502</v>
      </c>
      <c r="K87">
        <v>58</v>
      </c>
      <c r="L87">
        <v>30</v>
      </c>
      <c r="M87">
        <v>20</v>
      </c>
      <c r="N87">
        <v>5</v>
      </c>
      <c r="O87">
        <v>3</v>
      </c>
      <c r="P87">
        <v>72</v>
      </c>
      <c r="Q87">
        <v>20</v>
      </c>
      <c r="R87">
        <v>16</v>
      </c>
      <c r="S87">
        <v>1</v>
      </c>
      <c r="T87" t="s">
        <v>290</v>
      </c>
      <c r="U87">
        <v>0</v>
      </c>
      <c r="V87" s="2" t="s">
        <v>340</v>
      </c>
      <c r="W87" s="2" t="s">
        <v>332</v>
      </c>
      <c r="X87" s="2" t="s">
        <v>332</v>
      </c>
      <c r="Y87" s="2"/>
      <c r="Z87" s="2"/>
      <c r="AA87" s="2"/>
      <c r="AB87" s="2"/>
      <c r="AC87" s="2"/>
      <c r="AD87" s="2"/>
      <c r="AE87" s="2"/>
      <c r="AM87">
        <v>6</v>
      </c>
      <c r="AP87" s="2">
        <f>(SQRT(K87*R87)*POWER((MIN(M87,20)+SQRT(MAX(M87-20,0))),0.9)*Data!$B$1)*(1-(S87-1))</f>
        <v>33.865870832027731</v>
      </c>
      <c r="AQ87" s="2"/>
      <c r="AR87" s="2">
        <f>((POWER((K87*K87*R87), 0.33)*LOG10(P87)*10*Data!$B$1)*S87)+AQ87</f>
        <v>50.719269605559212</v>
      </c>
      <c r="AS87" s="2">
        <f t="shared" si="16"/>
        <v>46.774193548387096</v>
      </c>
      <c r="AT87" s="2">
        <f t="shared" si="19"/>
        <v>0</v>
      </c>
      <c r="AV87" s="2">
        <v>1</v>
      </c>
      <c r="AW87" s="2">
        <v>1</v>
      </c>
      <c r="AX87" s="2">
        <f t="shared" si="17"/>
        <v>16</v>
      </c>
      <c r="AY87" s="2">
        <f t="shared" si="18"/>
        <v>16</v>
      </c>
      <c r="AZ87" s="3">
        <v>6.2</v>
      </c>
      <c r="BA87" s="3">
        <v>2.2000000000000002</v>
      </c>
      <c r="BB87" s="3">
        <v>2.6</v>
      </c>
      <c r="BC87" s="2" t="str">
        <f>CONCATENATE(
ROUND(AZ87*VLOOKUP(I87,'ID Scheme'!$A$2:$E$7,3),0), "x",
ROUND(BA87*VLOOKUP(I87,'ID Scheme'!$A$2:$E$7,5),0), "x",
ROUND(BB87*VLOOKUP(I87,'ID Scheme'!$A$2:$E$7,4),0))</f>
        <v>58x32x25</v>
      </c>
      <c r="BD87" t="s">
        <v>81</v>
      </c>
    </row>
    <row r="88" spans="1:56" x14ac:dyDescent="0.25">
      <c r="A88" t="s">
        <v>496</v>
      </c>
      <c r="B88" t="s">
        <v>497</v>
      </c>
      <c r="C88" t="s">
        <v>498</v>
      </c>
      <c r="D88">
        <f>IF(E88 &gt; 2020, ((E88-2020)*4)+1610+G88,IF(E88 &gt; 1900, ((E88-1900)*10)+400+G88, ((E88-1730)*2)+G88))+VLOOKUP(I88,'ID Scheme'!$A$2:$B$7,2, FALSE)</f>
        <v>3581</v>
      </c>
      <c r="E88">
        <v>1958</v>
      </c>
      <c r="F88">
        <v>2</v>
      </c>
      <c r="G88">
        <v>1</v>
      </c>
      <c r="H88" t="s">
        <v>523</v>
      </c>
      <c r="I88" t="s">
        <v>13</v>
      </c>
      <c r="J88" t="s">
        <v>502</v>
      </c>
      <c r="K88">
        <v>52</v>
      </c>
      <c r="L88">
        <v>10</v>
      </c>
      <c r="M88">
        <v>15</v>
      </c>
      <c r="N88">
        <v>5</v>
      </c>
      <c r="O88">
        <v>8</v>
      </c>
      <c r="P88">
        <v>200</v>
      </c>
      <c r="Q88">
        <v>20</v>
      </c>
      <c r="R88">
        <v>22</v>
      </c>
      <c r="S88">
        <v>1</v>
      </c>
      <c r="T88" t="s">
        <v>290</v>
      </c>
      <c r="U88">
        <v>3</v>
      </c>
      <c r="V88" s="2" t="s">
        <v>499</v>
      </c>
      <c r="W88" s="2"/>
      <c r="X88" s="2"/>
      <c r="Y88" s="2"/>
      <c r="Z88" s="2"/>
      <c r="AA88" s="2"/>
      <c r="AB88" s="2"/>
      <c r="AC88" s="2"/>
      <c r="AD88" s="2"/>
      <c r="AE88" s="2"/>
      <c r="AM88">
        <v>8</v>
      </c>
      <c r="AP88" s="2">
        <f>(SQRT(K88*R88)*POWER((MIN(M88,20)+SQRT(MAX(M88-20,0))),0.9)*Data!$B$1)*(1-(S88-1))</f>
        <v>29.023942752634394</v>
      </c>
      <c r="AQ88" s="2"/>
      <c r="AR88" s="2">
        <f>((POWER((K88*K88*R88), 0.33)*LOG10(P88)*10*Data!$B$1)*S88)+AQ88</f>
        <v>64.944927291155707</v>
      </c>
      <c r="AS88" s="2">
        <f t="shared" si="16"/>
        <v>41.935483870967744</v>
      </c>
      <c r="AT88" s="2">
        <f t="shared" si="19"/>
        <v>0</v>
      </c>
      <c r="AV88" s="2">
        <v>1</v>
      </c>
      <c r="AW88" s="2">
        <v>1</v>
      </c>
      <c r="AX88" s="2">
        <f t="shared" si="17"/>
        <v>22</v>
      </c>
      <c r="AY88" s="2">
        <f t="shared" si="18"/>
        <v>22</v>
      </c>
      <c r="AZ88" s="3"/>
      <c r="BA88" s="3"/>
      <c r="BB88" s="3"/>
      <c r="BC88" s="2" t="str">
        <f>CONCATENATE(
ROUND(AZ88*VLOOKUP(I88,'ID Scheme'!$A$2:$E$7,3),0), "x",
ROUND(BA88*VLOOKUP(I88,'ID Scheme'!$A$2:$E$7,5),0), "x",
ROUND(BB88*VLOOKUP(I88,'ID Scheme'!$A$2:$E$7,4),0))</f>
        <v>0x0x0</v>
      </c>
    </row>
    <row r="89" spans="1:56" x14ac:dyDescent="0.25">
      <c r="A89" t="s">
        <v>3</v>
      </c>
      <c r="B89" t="s">
        <v>200</v>
      </c>
      <c r="C89" t="s">
        <v>328</v>
      </c>
      <c r="D89">
        <f>IF(E89 &gt; 2020, ((E89-2020)*4)+1610+G89,IF(E89 &gt; 1900, ((E89-1900)*10)+400+G89, ((E89-1730)*2)+G89))+VLOOKUP(I89,'ID Scheme'!$A$2:$B$7,2, FALSE)</f>
        <v>3631</v>
      </c>
      <c r="E89">
        <v>1963</v>
      </c>
      <c r="F89">
        <v>1</v>
      </c>
      <c r="G89">
        <v>1</v>
      </c>
      <c r="H89" t="s">
        <v>523</v>
      </c>
      <c r="I89" t="s">
        <v>13</v>
      </c>
      <c r="J89" t="s">
        <v>502</v>
      </c>
      <c r="K89">
        <v>48</v>
      </c>
      <c r="L89">
        <v>20</v>
      </c>
      <c r="M89">
        <v>16</v>
      </c>
      <c r="N89">
        <v>5</v>
      </c>
      <c r="O89">
        <v>7</v>
      </c>
      <c r="P89">
        <v>120</v>
      </c>
      <c r="Q89">
        <v>20</v>
      </c>
      <c r="R89">
        <v>24</v>
      </c>
      <c r="S89">
        <v>1</v>
      </c>
      <c r="T89" t="s">
        <v>290</v>
      </c>
      <c r="U89">
        <v>3</v>
      </c>
      <c r="V89" s="2" t="s">
        <v>341</v>
      </c>
      <c r="W89" s="2" t="s">
        <v>332</v>
      </c>
      <c r="X89" s="2" t="s">
        <v>332</v>
      </c>
      <c r="Y89" s="2"/>
      <c r="Z89" s="2"/>
      <c r="AA89" s="2"/>
      <c r="AB89" s="2"/>
      <c r="AC89" s="2"/>
      <c r="AD89" s="2"/>
      <c r="AE89" s="2"/>
      <c r="AM89">
        <v>8</v>
      </c>
      <c r="AP89" s="2">
        <f>(SQRT(K89*R89)*POWER((MIN(M89,20)+SQRT(MAX(M89-20,0))),0.9)*Data!$B$1)*(1-(S89-1))</f>
        <v>30.867075721045236</v>
      </c>
      <c r="AQ89" s="2"/>
      <c r="AR89" s="2">
        <f>((POWER((K89*K89*R89), 0.33)*LOG10(P89)*10*Data!$B$1)*S89)+AQ89</f>
        <v>57.285213898505866</v>
      </c>
      <c r="AS89" s="2">
        <f t="shared" si="16"/>
        <v>38.70967741935484</v>
      </c>
      <c r="AT89" s="2">
        <f t="shared" si="19"/>
        <v>0</v>
      </c>
      <c r="AV89" s="2">
        <v>1</v>
      </c>
      <c r="AW89" s="2">
        <v>1</v>
      </c>
      <c r="AX89" s="2">
        <f t="shared" si="17"/>
        <v>24</v>
      </c>
      <c r="AY89" s="2">
        <f t="shared" si="18"/>
        <v>24</v>
      </c>
      <c r="AZ89" s="3"/>
      <c r="BA89" s="3"/>
      <c r="BB89" s="3"/>
      <c r="BC89" s="2" t="str">
        <f>CONCATENATE(
ROUND(AZ89*VLOOKUP(I89,'ID Scheme'!$A$2:$E$7,3),0), "x",
ROUND(BA89*VLOOKUP(I89,'ID Scheme'!$A$2:$E$7,5),0), "x",
ROUND(BB89*VLOOKUP(I89,'ID Scheme'!$A$2:$E$7,4),0))</f>
        <v>0x0x0</v>
      </c>
    </row>
    <row r="90" spans="1:56" x14ac:dyDescent="0.25">
      <c r="A90" t="s">
        <v>20</v>
      </c>
      <c r="B90" t="s">
        <v>227</v>
      </c>
      <c r="C90" t="s">
        <v>328</v>
      </c>
      <c r="D90">
        <f>IF(E90 &gt; 2020, ((E90-2020)*4)+1610+G90,IF(E90 &gt; 1900, ((E90-1900)*10)+400+G90, ((E90-1730)*2)+G90))+VLOOKUP(I90,'ID Scheme'!$A$2:$B$7,2, FALSE)</f>
        <v>3642</v>
      </c>
      <c r="E90">
        <v>1964</v>
      </c>
      <c r="F90">
        <v>1</v>
      </c>
      <c r="G90">
        <v>2</v>
      </c>
      <c r="H90" t="s">
        <v>523</v>
      </c>
      <c r="I90" t="s">
        <v>13</v>
      </c>
      <c r="J90" t="s">
        <v>502</v>
      </c>
      <c r="K90">
        <v>54</v>
      </c>
      <c r="L90">
        <v>20</v>
      </c>
      <c r="M90">
        <v>15</v>
      </c>
      <c r="N90">
        <v>5</v>
      </c>
      <c r="O90">
        <v>7.5</v>
      </c>
      <c r="P90">
        <v>170</v>
      </c>
      <c r="Q90">
        <v>20</v>
      </c>
      <c r="R90">
        <v>22</v>
      </c>
      <c r="S90">
        <v>1</v>
      </c>
      <c r="T90" t="s">
        <v>290</v>
      </c>
      <c r="U90">
        <v>3</v>
      </c>
      <c r="V90" s="2" t="s">
        <v>342</v>
      </c>
      <c r="W90" s="2" t="s">
        <v>332</v>
      </c>
      <c r="X90" s="2"/>
      <c r="Y90" s="2"/>
      <c r="Z90" s="2"/>
      <c r="AA90" s="2"/>
      <c r="AB90" s="2"/>
      <c r="AC90" s="2"/>
      <c r="AD90" s="2"/>
      <c r="AE90" s="2"/>
      <c r="AM90">
        <v>8</v>
      </c>
      <c r="AP90" s="2">
        <f>(SQRT(K90*R90)*POWER((MIN(M90,20)+SQRT(MAX(M90-20,0))),0.9)*Data!$B$1)*(1-(S90-1))</f>
        <v>29.576829437221864</v>
      </c>
      <c r="AQ90" s="2"/>
      <c r="AR90" s="2">
        <f>((POWER((K90*K90*R90), 0.33)*LOG10(P90)*10*Data!$B$1)*S90)+AQ90</f>
        <v>64.540587091557995</v>
      </c>
      <c r="AS90" s="2">
        <f t="shared" si="16"/>
        <v>43.548387096774192</v>
      </c>
      <c r="AT90" s="2">
        <f t="shared" si="19"/>
        <v>0</v>
      </c>
      <c r="AV90" s="2">
        <v>1</v>
      </c>
      <c r="AW90" s="2">
        <v>1</v>
      </c>
      <c r="AX90" s="2">
        <f t="shared" si="17"/>
        <v>22</v>
      </c>
      <c r="AY90" s="2">
        <f t="shared" si="18"/>
        <v>22</v>
      </c>
      <c r="AZ90" s="3"/>
      <c r="BA90" s="3"/>
      <c r="BB90" s="3"/>
      <c r="BC90" s="2" t="str">
        <f>CONCATENATE(
ROUND(AZ90*VLOOKUP(I90,'ID Scheme'!$A$2:$E$7,3),0), "x",
ROUND(BA90*VLOOKUP(I90,'ID Scheme'!$A$2:$E$7,5),0), "x",
ROUND(BB90*VLOOKUP(I90,'ID Scheme'!$A$2:$E$7,4),0))</f>
        <v>0x0x0</v>
      </c>
      <c r="BD90" t="s">
        <v>21</v>
      </c>
    </row>
    <row r="91" spans="1:56" x14ac:dyDescent="0.25">
      <c r="A91" t="s">
        <v>75</v>
      </c>
      <c r="B91" t="s">
        <v>225</v>
      </c>
      <c r="C91" t="s">
        <v>328</v>
      </c>
      <c r="D91">
        <f>IF(E91 &gt; 2020, ((E91-2020)*4)+1610+G91,IF(E91 &gt; 1900, ((E91-1900)*10)+400+G91, ((E91-1730)*2)+G91))+VLOOKUP(I91,'ID Scheme'!$A$2:$B$7,2, FALSE)</f>
        <v>3652</v>
      </c>
      <c r="E91">
        <v>1965</v>
      </c>
      <c r="F91">
        <v>1</v>
      </c>
      <c r="G91">
        <v>2</v>
      </c>
      <c r="H91" t="s">
        <v>523</v>
      </c>
      <c r="I91" t="s">
        <v>13</v>
      </c>
      <c r="J91" t="s">
        <v>502</v>
      </c>
      <c r="K91">
        <v>60</v>
      </c>
      <c r="L91">
        <v>20</v>
      </c>
      <c r="M91">
        <v>17</v>
      </c>
      <c r="N91">
        <v>5</v>
      </c>
      <c r="O91">
        <v>3</v>
      </c>
      <c r="P91">
        <v>82</v>
      </c>
      <c r="Q91">
        <v>20</v>
      </c>
      <c r="R91">
        <v>16</v>
      </c>
      <c r="S91">
        <v>1</v>
      </c>
      <c r="T91" t="s">
        <v>290</v>
      </c>
      <c r="U91">
        <v>0</v>
      </c>
      <c r="V91" s="2" t="s">
        <v>329</v>
      </c>
      <c r="W91" s="2" t="s">
        <v>332</v>
      </c>
      <c r="X91" s="2"/>
      <c r="Y91" s="2"/>
      <c r="Z91" s="2"/>
      <c r="AA91" s="2"/>
      <c r="AB91" s="2"/>
      <c r="AC91" s="2"/>
      <c r="AD91" s="2"/>
      <c r="AE91" s="2"/>
      <c r="AF91">
        <v>56</v>
      </c>
      <c r="AM91">
        <v>6</v>
      </c>
      <c r="AP91" s="2">
        <f>(SQRT(K91*R91)*POWER((MIN(M91,20)+SQRT(MAX(M91-20,0))),0.9)*Data!$B$1)*(1-(S91-1))</f>
        <v>29.757806068644722</v>
      </c>
      <c r="AQ91" s="2"/>
      <c r="AR91" s="2">
        <f>((POWER((K91*K91*R91), 0.33)*LOG10(P91)*10*Data!$B$1)*S91)+AQ91</f>
        <v>53.444174907561425</v>
      </c>
      <c r="AS91" s="2">
        <f t="shared" si="16"/>
        <v>48.387096774193552</v>
      </c>
      <c r="AT91" s="2">
        <f t="shared" si="19"/>
        <v>45.161290322580648</v>
      </c>
      <c r="AV91" s="2">
        <v>1</v>
      </c>
      <c r="AW91" s="2">
        <v>1</v>
      </c>
      <c r="AX91" s="2">
        <f t="shared" si="17"/>
        <v>16</v>
      </c>
      <c r="AY91" s="2">
        <f t="shared" si="18"/>
        <v>16</v>
      </c>
      <c r="AZ91" s="3">
        <v>6.2</v>
      </c>
      <c r="BA91" s="3">
        <v>2.2000000000000002</v>
      </c>
      <c r="BB91" s="3">
        <v>2.6</v>
      </c>
      <c r="BC91" s="2" t="str">
        <f>CONCATENATE(
ROUND(AZ91*VLOOKUP(I91,'ID Scheme'!$A$2:$E$7,3),0), "x",
ROUND(BA91*VLOOKUP(I91,'ID Scheme'!$A$2:$E$7,5),0), "x",
ROUND(BB91*VLOOKUP(I91,'ID Scheme'!$A$2:$E$7,4),0))</f>
        <v>58x32x25</v>
      </c>
      <c r="BD91" t="s">
        <v>80</v>
      </c>
    </row>
    <row r="92" spans="1:56" x14ac:dyDescent="0.25">
      <c r="A92" t="s">
        <v>83</v>
      </c>
      <c r="B92" t="s">
        <v>217</v>
      </c>
      <c r="C92" t="s">
        <v>328</v>
      </c>
      <c r="D92">
        <f>IF(E92 &gt; 2020, ((E92-2020)*4)+1610+G92,IF(E92 &gt; 1900, ((E92-1900)*10)+400+G92, ((E92-1730)*2)+G92))+VLOOKUP(I92,'ID Scheme'!$A$2:$B$7,2, FALSE)</f>
        <v>3671</v>
      </c>
      <c r="E92">
        <v>1967</v>
      </c>
      <c r="F92">
        <v>1</v>
      </c>
      <c r="G92">
        <v>1</v>
      </c>
      <c r="H92" t="s">
        <v>523</v>
      </c>
      <c r="I92" t="s">
        <v>13</v>
      </c>
      <c r="J92" t="s">
        <v>502</v>
      </c>
      <c r="K92">
        <v>56</v>
      </c>
      <c r="L92">
        <v>15</v>
      </c>
      <c r="M92">
        <v>22</v>
      </c>
      <c r="N92">
        <v>5</v>
      </c>
      <c r="O92">
        <v>5</v>
      </c>
      <c r="P92">
        <v>170</v>
      </c>
      <c r="Q92">
        <v>20</v>
      </c>
      <c r="R92">
        <v>22</v>
      </c>
      <c r="S92">
        <v>1</v>
      </c>
      <c r="T92" t="s">
        <v>290</v>
      </c>
      <c r="U92">
        <v>3</v>
      </c>
      <c r="V92" s="2" t="s">
        <v>345</v>
      </c>
      <c r="W92" s="2" t="s">
        <v>332</v>
      </c>
      <c r="X92" s="2" t="s">
        <v>332</v>
      </c>
      <c r="Y92" s="2"/>
      <c r="Z92" s="2"/>
      <c r="AA92" s="2"/>
      <c r="AB92" s="2"/>
      <c r="AC92" s="2"/>
      <c r="AD92" s="2"/>
      <c r="AE92" s="2"/>
      <c r="AM92">
        <v>8</v>
      </c>
      <c r="AP92" s="2">
        <f>(SQRT(K92*R92)*POWER((MIN(M92,20)+SQRT(MAX(M92-20,0))),0.9)*Data!$B$1)*(1-(S92-1))</f>
        <v>41.495264182549853</v>
      </c>
      <c r="AQ92" s="2"/>
      <c r="AR92" s="2">
        <f>((POWER((K92*K92*R92), 0.33)*LOG10(P92)*10*Data!$B$1)*S92)+AQ92</f>
        <v>66.108473335639829</v>
      </c>
      <c r="AS92" s="2">
        <f t="shared" si="16"/>
        <v>45.161290322580648</v>
      </c>
      <c r="AT92" s="2">
        <f t="shared" si="19"/>
        <v>0</v>
      </c>
      <c r="AV92" s="2">
        <v>1</v>
      </c>
      <c r="AW92" s="2">
        <v>1</v>
      </c>
      <c r="AX92" s="2">
        <f t="shared" si="17"/>
        <v>22</v>
      </c>
      <c r="AY92" s="2">
        <f t="shared" si="18"/>
        <v>22</v>
      </c>
      <c r="AZ92" s="3">
        <v>8.5</v>
      </c>
      <c r="BA92" s="3">
        <v>2.5</v>
      </c>
      <c r="BB92" s="3">
        <v>2.8</v>
      </c>
      <c r="BC92" s="2" t="str">
        <f>CONCATENATE(
ROUND(AZ92*VLOOKUP(I92,'ID Scheme'!$A$2:$E$7,3),0), "x",
ROUND(BA92*VLOOKUP(I92,'ID Scheme'!$A$2:$E$7,5),0), "x",
ROUND(BB92*VLOOKUP(I92,'ID Scheme'!$A$2:$E$7,4),0))</f>
        <v>79x36x27</v>
      </c>
      <c r="BD92" t="s">
        <v>21</v>
      </c>
    </row>
    <row r="93" spans="1:56" x14ac:dyDescent="0.25">
      <c r="A93" t="s">
        <v>616</v>
      </c>
      <c r="B93" t="s">
        <v>615</v>
      </c>
      <c r="C93" t="s">
        <v>328</v>
      </c>
      <c r="D93">
        <f>IF(E93 &gt; 2020, ((E93-2020)*4)+1610+G93,IF(E93 &gt; 1900, ((E93-1900)*10)+400+G93, ((E93-1730)*2)+G93))+VLOOKUP(I93,'ID Scheme'!$A$2:$B$7,2, FALSE)</f>
        <v>3701</v>
      </c>
      <c r="E93">
        <v>1970</v>
      </c>
      <c r="F93">
        <v>1</v>
      </c>
      <c r="G93">
        <v>1</v>
      </c>
      <c r="H93" t="s">
        <v>523</v>
      </c>
      <c r="I93" t="s">
        <v>13</v>
      </c>
      <c r="J93" t="s">
        <v>502</v>
      </c>
      <c r="K93">
        <v>55</v>
      </c>
      <c r="L93">
        <v>21</v>
      </c>
      <c r="M93">
        <v>19</v>
      </c>
      <c r="N93">
        <v>5</v>
      </c>
      <c r="O93">
        <v>8</v>
      </c>
      <c r="P93">
        <v>220</v>
      </c>
      <c r="Q93">
        <v>20</v>
      </c>
      <c r="R93">
        <v>26</v>
      </c>
      <c r="S93">
        <v>1</v>
      </c>
      <c r="T93" t="s">
        <v>290</v>
      </c>
      <c r="U93">
        <v>3</v>
      </c>
      <c r="V93" s="2" t="s">
        <v>617</v>
      </c>
      <c r="W93" s="2" t="s">
        <v>332</v>
      </c>
      <c r="X93" s="2" t="s">
        <v>332</v>
      </c>
      <c r="Y93" s="2"/>
      <c r="Z93" s="2"/>
      <c r="AA93" s="2"/>
      <c r="AB93" s="2"/>
      <c r="AC93" s="2"/>
      <c r="AD93" s="2"/>
      <c r="AE93" s="2"/>
      <c r="AM93">
        <v>8</v>
      </c>
      <c r="AP93" s="2">
        <f>(SQRT(K93*R93)*POWER((MIN(M93,20)+SQRT(MAX(M93-20,0))),0.9)*Data!$B$1)*(1-(S93-1))</f>
        <v>40.14278718004045</v>
      </c>
      <c r="AQ93" s="2"/>
      <c r="AR93" s="2">
        <f>((POWER((K93*K93*R93), 0.33)*LOG10(P93)*10*Data!$B$1)*S93)+AQ93</f>
        <v>72.494842022665296</v>
      </c>
      <c r="AS93" s="2">
        <f t="shared" si="16"/>
        <v>44.354838709677416</v>
      </c>
      <c r="AT93" s="2">
        <f t="shared" si="19"/>
        <v>0</v>
      </c>
      <c r="AV93" s="2">
        <v>1</v>
      </c>
      <c r="AW93" s="2">
        <v>1</v>
      </c>
      <c r="AX93" s="2">
        <f t="shared" si="17"/>
        <v>26</v>
      </c>
      <c r="AY93" s="2">
        <f t="shared" si="18"/>
        <v>26</v>
      </c>
      <c r="AZ93" s="3"/>
      <c r="BA93" s="3"/>
      <c r="BB93" s="3"/>
      <c r="BC93" s="2" t="str">
        <f>CONCATENATE(
ROUND(AZ93*VLOOKUP(I93,'ID Scheme'!$A$2:$E$7,3),0), "x",
ROUND(BA93*VLOOKUP(I93,'ID Scheme'!$A$2:$E$7,5),0), "x",
ROUND(BB93*VLOOKUP(I93,'ID Scheme'!$A$2:$E$7,4),0))</f>
        <v>0x0x0</v>
      </c>
    </row>
    <row r="94" spans="1:56" x14ac:dyDescent="0.25">
      <c r="A94" t="s">
        <v>610</v>
      </c>
      <c r="B94" t="s">
        <v>611</v>
      </c>
      <c r="C94" t="s">
        <v>328</v>
      </c>
      <c r="D94">
        <f>IF(E94 &gt; 2020, ((E94-2020)*4)+1610+G94,IF(E94 &gt; 1900, ((E94-1900)*10)+400+G94, ((E94-1730)*2)+G94))+VLOOKUP(I94,'ID Scheme'!$A$2:$B$7,2, FALSE)</f>
        <v>3751</v>
      </c>
      <c r="E94">
        <v>1975</v>
      </c>
      <c r="F94">
        <v>1</v>
      </c>
      <c r="G94">
        <v>1</v>
      </c>
      <c r="H94" t="s">
        <v>523</v>
      </c>
      <c r="I94" t="s">
        <v>13</v>
      </c>
      <c r="J94" t="s">
        <v>502</v>
      </c>
      <c r="K94">
        <v>58</v>
      </c>
      <c r="L94">
        <v>22</v>
      </c>
      <c r="M94">
        <v>17</v>
      </c>
      <c r="N94">
        <v>5</v>
      </c>
      <c r="O94">
        <v>8</v>
      </c>
      <c r="P94">
        <v>240</v>
      </c>
      <c r="Q94">
        <v>20</v>
      </c>
      <c r="R94">
        <v>26</v>
      </c>
      <c r="S94">
        <v>1</v>
      </c>
      <c r="T94" t="s">
        <v>290</v>
      </c>
      <c r="U94">
        <v>3</v>
      </c>
      <c r="V94" s="2" t="s">
        <v>612</v>
      </c>
      <c r="W94" s="2" t="s">
        <v>332</v>
      </c>
      <c r="X94" s="2" t="s">
        <v>332</v>
      </c>
      <c r="Y94" s="2"/>
      <c r="Z94" s="2"/>
      <c r="AA94" s="2"/>
      <c r="AB94" s="2"/>
      <c r="AC94" s="2"/>
      <c r="AD94" s="2"/>
      <c r="AE94" s="2"/>
      <c r="AM94">
        <v>8</v>
      </c>
      <c r="AP94" s="2">
        <f>(SQRT(K94*R94)*POWER((MIN(M94,20)+SQRT(MAX(M94-20,0))),0.9)*Data!$B$1)*(1-(S94-1))</f>
        <v>37.296318367299385</v>
      </c>
      <c r="AQ94" s="2"/>
      <c r="AR94" s="2">
        <f>((POWER((K94*K94*R94), 0.33)*LOG10(P94)*10*Data!$B$1)*S94)+AQ94</f>
        <v>76.292254000000923</v>
      </c>
      <c r="AS94" s="2">
        <f t="shared" ref="AS94" si="26">K94/1.24</f>
        <v>46.774193548387096</v>
      </c>
      <c r="AT94" s="2">
        <f t="shared" ref="AT94" si="27">AF94/1.24</f>
        <v>0</v>
      </c>
      <c r="AV94" s="2">
        <v>1</v>
      </c>
      <c r="AW94" s="2">
        <v>1</v>
      </c>
      <c r="AX94" s="2">
        <f t="shared" ref="AX94" si="28">R94/AW94</f>
        <v>26</v>
      </c>
      <c r="AY94" s="2">
        <f t="shared" ref="AY94" si="29">(R94)/MAX(AV94-1, 1)</f>
        <v>26</v>
      </c>
      <c r="AZ94" s="3"/>
      <c r="BA94" s="3"/>
      <c r="BB94" s="3"/>
      <c r="BC94" s="2" t="str">
        <f>CONCATENATE(
ROUND(AZ94*VLOOKUP(I94,'ID Scheme'!$A$2:$E$7,3),0), "x",
ROUND(BA94*VLOOKUP(I94,'ID Scheme'!$A$2:$E$7,5),0), "x",
ROUND(BB94*VLOOKUP(I94,'ID Scheme'!$A$2:$E$7,4),0))</f>
        <v>0x0x0</v>
      </c>
    </row>
    <row r="95" spans="1:56" x14ac:dyDescent="0.25">
      <c r="A95" t="s">
        <v>73</v>
      </c>
      <c r="B95" t="s">
        <v>201</v>
      </c>
      <c r="C95" t="s">
        <v>328</v>
      </c>
      <c r="D95">
        <f>IF(E95 &gt; 2020, ((E95-2020)*4)+1610+G95,IF(E95 &gt; 1900, ((E95-1900)*10)+400+G95, ((E95-1730)*2)+G95))+VLOOKUP(I95,'ID Scheme'!$A$2:$B$7,2, FALSE)</f>
        <v>3811</v>
      </c>
      <c r="E95">
        <v>1981</v>
      </c>
      <c r="F95">
        <v>1</v>
      </c>
      <c r="G95">
        <v>1</v>
      </c>
      <c r="H95" t="s">
        <v>523</v>
      </c>
      <c r="I95" t="s">
        <v>13</v>
      </c>
      <c r="J95" t="s">
        <v>502</v>
      </c>
      <c r="K95">
        <v>68</v>
      </c>
      <c r="L95">
        <v>16</v>
      </c>
      <c r="M95">
        <v>18</v>
      </c>
      <c r="N95">
        <v>5</v>
      </c>
      <c r="O95">
        <v>3</v>
      </c>
      <c r="P95">
        <v>90</v>
      </c>
      <c r="Q95">
        <v>20</v>
      </c>
      <c r="R95">
        <v>18</v>
      </c>
      <c r="S95">
        <v>1</v>
      </c>
      <c r="T95" t="s">
        <v>290</v>
      </c>
      <c r="U95">
        <v>0</v>
      </c>
      <c r="V95" s="2" t="s">
        <v>478</v>
      </c>
      <c r="W95" s="2" t="s">
        <v>332</v>
      </c>
      <c r="X95" s="2" t="s">
        <v>332</v>
      </c>
      <c r="Y95" s="2"/>
      <c r="Z95" s="2"/>
      <c r="AA95" s="2"/>
      <c r="AB95" s="2"/>
      <c r="AC95" s="2"/>
      <c r="AD95" s="2"/>
      <c r="AE95" s="2"/>
      <c r="AF95">
        <v>56</v>
      </c>
      <c r="AM95">
        <v>6</v>
      </c>
      <c r="AP95" s="2">
        <f>(SQRT(K95*R95)*POWER((MIN(M95,20)+SQRT(MAX(M95-20,0))),0.9)*Data!$B$1)*(1-(S95-1))</f>
        <v>35.375063400315305</v>
      </c>
      <c r="AQ95" s="2"/>
      <c r="AR95" s="2">
        <f>((POWER((K95*K95*R95), 0.33)*LOG10(P95)*10*Data!$B$1)*S95)+AQ95</f>
        <v>61.621962939651276</v>
      </c>
      <c r="AS95" s="2">
        <f t="shared" si="16"/>
        <v>54.838709677419352</v>
      </c>
      <c r="AT95" s="2">
        <f t="shared" si="19"/>
        <v>45.161290322580648</v>
      </c>
      <c r="AV95" s="2">
        <v>1</v>
      </c>
      <c r="AW95" s="2">
        <v>1</v>
      </c>
      <c r="AX95" s="2">
        <f t="shared" si="17"/>
        <v>18</v>
      </c>
      <c r="AY95" s="2">
        <f t="shared" si="18"/>
        <v>18</v>
      </c>
      <c r="AZ95" s="3">
        <v>6.2</v>
      </c>
      <c r="BA95" s="3">
        <v>2.2000000000000002</v>
      </c>
      <c r="BB95" s="3">
        <v>2.6</v>
      </c>
      <c r="BC95" s="2" t="str">
        <f>CONCATENATE(
ROUND(AZ95*VLOOKUP(I95,'ID Scheme'!$A$2:$E$7,3),0), "x",
ROUND(BA95*VLOOKUP(I95,'ID Scheme'!$A$2:$E$7,5),0), "x",
ROUND(BB95*VLOOKUP(I95,'ID Scheme'!$A$2:$E$7,4),0))</f>
        <v>58x32x25</v>
      </c>
      <c r="BD95" t="s">
        <v>79</v>
      </c>
    </row>
    <row r="96" spans="1:56" x14ac:dyDescent="0.25">
      <c r="A96" t="s">
        <v>30</v>
      </c>
      <c r="B96" t="s">
        <v>195</v>
      </c>
      <c r="C96" t="s">
        <v>328</v>
      </c>
      <c r="D96">
        <f>IF(E96 &gt; 2020, ((E96-2020)*4)+1610+G96,IF(E96 &gt; 1900, ((E96-1900)*10)+400+G96, ((E96-1730)*2)+G96))+VLOOKUP(I96,'ID Scheme'!$A$2:$B$7,2, FALSE)</f>
        <v>3821</v>
      </c>
      <c r="E96">
        <v>1982</v>
      </c>
      <c r="F96">
        <v>1</v>
      </c>
      <c r="G96">
        <v>1</v>
      </c>
      <c r="H96" t="s">
        <v>523</v>
      </c>
      <c r="I96" t="s">
        <v>13</v>
      </c>
      <c r="J96" t="s">
        <v>502</v>
      </c>
      <c r="K96">
        <v>60</v>
      </c>
      <c r="L96">
        <v>20</v>
      </c>
      <c r="M96">
        <v>20</v>
      </c>
      <c r="N96">
        <v>5</v>
      </c>
      <c r="O96">
        <v>9</v>
      </c>
      <c r="P96">
        <v>315</v>
      </c>
      <c r="Q96">
        <v>20</v>
      </c>
      <c r="R96">
        <v>28</v>
      </c>
      <c r="S96">
        <v>1</v>
      </c>
      <c r="T96" t="s">
        <v>300</v>
      </c>
      <c r="U96">
        <v>3</v>
      </c>
      <c r="V96" s="2" t="s">
        <v>473</v>
      </c>
      <c r="W96" s="2" t="s">
        <v>332</v>
      </c>
      <c r="X96" s="2" t="s">
        <v>332</v>
      </c>
      <c r="Y96" s="2"/>
      <c r="Z96" s="2"/>
      <c r="AA96" s="2"/>
      <c r="AB96" s="2"/>
      <c r="AC96" s="2"/>
      <c r="AD96" s="2"/>
      <c r="AE96" s="2"/>
      <c r="AF96">
        <v>56</v>
      </c>
      <c r="AM96">
        <v>8</v>
      </c>
      <c r="AP96" s="2">
        <f>(SQRT(K96*R96)*POWER((MIN(M96,20)+SQRT(MAX(M96-20,0))),0.9)*Data!$B$1)*(1-(S96-1))</f>
        <v>45.566209265732887</v>
      </c>
      <c r="AQ96" s="2"/>
      <c r="AR96" s="2">
        <f>((POWER((K96*K96*R96), 0.33)*LOG10(P96)*10*Data!$B$1)*S96)+AQ96</f>
        <v>83.916944346608517</v>
      </c>
      <c r="AS96" s="2">
        <f t="shared" si="16"/>
        <v>48.387096774193552</v>
      </c>
      <c r="AT96" s="2">
        <f t="shared" si="19"/>
        <v>45.161290322580648</v>
      </c>
      <c r="AV96" s="2">
        <v>1</v>
      </c>
      <c r="AW96" s="2">
        <v>1</v>
      </c>
      <c r="AX96" s="2">
        <f t="shared" si="17"/>
        <v>28</v>
      </c>
      <c r="AY96" s="2">
        <f t="shared" si="18"/>
        <v>28</v>
      </c>
      <c r="AZ96" s="3"/>
      <c r="BA96" s="3"/>
      <c r="BB96" s="3"/>
      <c r="BC96" s="2" t="str">
        <f>CONCATENATE(
ROUND(AZ96*VLOOKUP(I96,'ID Scheme'!$A$2:$E$7,3),0), "x",
ROUND(BA96*VLOOKUP(I96,'ID Scheme'!$A$2:$E$7,5),0), "x",
ROUND(BB96*VLOOKUP(I96,'ID Scheme'!$A$2:$E$7,4),0))</f>
        <v>0x0x0</v>
      </c>
    </row>
    <row r="97" spans="1:56" x14ac:dyDescent="0.25">
      <c r="A97" t="s">
        <v>88</v>
      </c>
      <c r="B97" t="s">
        <v>213</v>
      </c>
      <c r="C97" t="s">
        <v>328</v>
      </c>
      <c r="D97">
        <f>IF(E97 &gt; 2020, ((E97-2020)*4)+1610+G97,IF(E97 &gt; 1900, ((E97-1900)*10)+400+G97, ((E97-1730)*2)+G97))+VLOOKUP(I97,'ID Scheme'!$A$2:$B$7,2, FALSE)</f>
        <v>3831</v>
      </c>
      <c r="E97">
        <v>1983</v>
      </c>
      <c r="F97">
        <v>1</v>
      </c>
      <c r="G97">
        <v>1</v>
      </c>
      <c r="H97" t="s">
        <v>523</v>
      </c>
      <c r="I97" t="s">
        <v>13</v>
      </c>
      <c r="J97" t="s">
        <v>502</v>
      </c>
      <c r="K97">
        <v>64</v>
      </c>
      <c r="L97">
        <v>18</v>
      </c>
      <c r="M97">
        <v>19</v>
      </c>
      <c r="N97">
        <v>5</v>
      </c>
      <c r="O97">
        <v>9</v>
      </c>
      <c r="P97">
        <v>136</v>
      </c>
      <c r="Q97">
        <v>20</v>
      </c>
      <c r="R97">
        <v>22</v>
      </c>
      <c r="S97">
        <v>1</v>
      </c>
      <c r="T97" t="s">
        <v>290</v>
      </c>
      <c r="U97">
        <v>0</v>
      </c>
      <c r="V97" s="2" t="s">
        <v>472</v>
      </c>
      <c r="W97" s="2" t="s">
        <v>332</v>
      </c>
      <c r="X97" s="2" t="s">
        <v>332</v>
      </c>
      <c r="Y97" s="2"/>
      <c r="Z97" s="2"/>
      <c r="AA97" s="2"/>
      <c r="AB97" s="2"/>
      <c r="AC97" s="2"/>
      <c r="AD97" s="2"/>
      <c r="AE97" s="2"/>
      <c r="AF97">
        <v>56</v>
      </c>
      <c r="AM97">
        <v>7</v>
      </c>
      <c r="AP97" s="2">
        <f>(SQRT(K97*R97)*POWER((MIN(M97,20)+SQRT(MAX(M97-20,0))),0.9)*Data!$B$1)*(1-(S97-1))</f>
        <v>39.832799628379171</v>
      </c>
      <c r="AQ97" s="2"/>
      <c r="AR97" s="2">
        <f>((POWER((K97*K97*R97), 0.33)*LOG10(P97)*10*Data!$B$1)*S97)+AQ97</f>
        <v>69.06215060093264</v>
      </c>
      <c r="AS97" s="2">
        <f t="shared" si="16"/>
        <v>51.612903225806456</v>
      </c>
      <c r="AT97" s="2">
        <f t="shared" si="19"/>
        <v>45.161290322580648</v>
      </c>
      <c r="AV97" s="2">
        <v>1</v>
      </c>
      <c r="AW97" s="2">
        <v>1</v>
      </c>
      <c r="AX97" s="2">
        <f t="shared" si="17"/>
        <v>22</v>
      </c>
      <c r="AY97" s="2">
        <f t="shared" si="18"/>
        <v>22</v>
      </c>
      <c r="AZ97" s="3">
        <v>7.7</v>
      </c>
      <c r="BA97" s="3">
        <v>2.2000000000000002</v>
      </c>
      <c r="BB97" s="3">
        <v>2.6</v>
      </c>
      <c r="BC97" s="2" t="str">
        <f>CONCATENATE(
ROUND(AZ97*VLOOKUP(I97,'ID Scheme'!$A$2:$E$7,3),0), "x",
ROUND(BA97*VLOOKUP(I97,'ID Scheme'!$A$2:$E$7,5),0), "x",
ROUND(BB97*VLOOKUP(I97,'ID Scheme'!$A$2:$E$7,4),0))</f>
        <v>72x32x25</v>
      </c>
      <c r="BD97" t="s">
        <v>89</v>
      </c>
    </row>
    <row r="98" spans="1:56" ht="14.25" customHeight="1" x14ac:dyDescent="0.25">
      <c r="A98" t="s">
        <v>31</v>
      </c>
      <c r="B98" t="s">
        <v>196</v>
      </c>
      <c r="C98" t="s">
        <v>328</v>
      </c>
      <c r="D98">
        <f>IF(E98 &gt; 2020, ((E98-2020)*4)+1610+G98,IF(E98 &gt; 1900, ((E98-1900)*10)+400+G98, ((E98-1730)*2)+G98))+VLOOKUP(I98,'ID Scheme'!$A$2:$B$7,2, FALSE)</f>
        <v>3861</v>
      </c>
      <c r="E98">
        <v>1986</v>
      </c>
      <c r="F98">
        <v>1</v>
      </c>
      <c r="G98">
        <v>1</v>
      </c>
      <c r="H98" t="s">
        <v>523</v>
      </c>
      <c r="I98" t="s">
        <v>13</v>
      </c>
      <c r="J98" t="s">
        <v>502</v>
      </c>
      <c r="K98">
        <v>62</v>
      </c>
      <c r="L98">
        <v>20</v>
      </c>
      <c r="M98">
        <v>20</v>
      </c>
      <c r="N98">
        <v>5</v>
      </c>
      <c r="O98">
        <v>9</v>
      </c>
      <c r="P98">
        <v>315</v>
      </c>
      <c r="Q98">
        <v>20</v>
      </c>
      <c r="R98">
        <v>30</v>
      </c>
      <c r="S98">
        <v>1</v>
      </c>
      <c r="T98" t="s">
        <v>300</v>
      </c>
      <c r="U98">
        <v>3</v>
      </c>
      <c r="V98" s="2" t="s">
        <v>471</v>
      </c>
      <c r="W98" s="2" t="s">
        <v>332</v>
      </c>
      <c r="X98" s="2" t="s">
        <v>332</v>
      </c>
      <c r="Y98" s="2"/>
      <c r="Z98" s="2"/>
      <c r="AA98" s="2"/>
      <c r="AB98" s="2"/>
      <c r="AC98" s="2"/>
      <c r="AD98" s="2"/>
      <c r="AE98" s="2"/>
      <c r="AF98">
        <v>56</v>
      </c>
      <c r="AM98">
        <v>8</v>
      </c>
      <c r="AP98" s="2">
        <f>(SQRT(K98*R98)*POWER((MIN(M98,20)+SQRT(MAX(M98-20,0))),0.9)*Data!$B$1)*(1-(S98-1))</f>
        <v>47.945155509895372</v>
      </c>
      <c r="AQ98" s="2"/>
      <c r="AR98" s="2">
        <f>((POWER((K98*K98*R98), 0.33)*LOG10(P98)*10*Data!$B$1)*S98)+AQ98</f>
        <v>87.727593286354292</v>
      </c>
      <c r="AS98" s="2">
        <f t="shared" si="16"/>
        <v>50</v>
      </c>
      <c r="AT98" s="2">
        <f t="shared" si="19"/>
        <v>45.161290322580648</v>
      </c>
      <c r="AV98" s="2">
        <v>1</v>
      </c>
      <c r="AW98" s="2">
        <v>1</v>
      </c>
      <c r="AX98" s="2">
        <f t="shared" si="17"/>
        <v>30</v>
      </c>
      <c r="AY98" s="2">
        <f t="shared" si="18"/>
        <v>30</v>
      </c>
      <c r="AZ98" s="3"/>
      <c r="BA98" s="3"/>
      <c r="BB98" s="3"/>
      <c r="BC98" s="2" t="str">
        <f>CONCATENATE(
ROUND(AZ98*VLOOKUP(I98,'ID Scheme'!$A$2:$E$7,3),0), "x",
ROUND(BA98*VLOOKUP(I98,'ID Scheme'!$A$2:$E$7,5),0), "x",
ROUND(BB98*VLOOKUP(I98,'ID Scheme'!$A$2:$E$7,4),0))</f>
        <v>0x0x0</v>
      </c>
    </row>
    <row r="99" spans="1:56" x14ac:dyDescent="0.25">
      <c r="A99" t="s">
        <v>76</v>
      </c>
      <c r="B99" t="s">
        <v>205</v>
      </c>
      <c r="C99" t="s">
        <v>328</v>
      </c>
      <c r="D99">
        <f>IF(E99 &gt; 2020, ((E99-2020)*4)+1610+G99,IF(E99 &gt; 1900, ((E99-1900)*10)+400+G99, ((E99-1730)*2)+G99))+VLOOKUP(I99,'ID Scheme'!$A$2:$B$7,2, FALSE)</f>
        <v>3931</v>
      </c>
      <c r="E99">
        <v>1993</v>
      </c>
      <c r="F99">
        <v>1</v>
      </c>
      <c r="G99">
        <v>1</v>
      </c>
      <c r="H99" t="s">
        <v>523</v>
      </c>
      <c r="I99" t="s">
        <v>13</v>
      </c>
      <c r="J99" t="s">
        <v>502</v>
      </c>
      <c r="K99">
        <v>72</v>
      </c>
      <c r="L99">
        <v>-1</v>
      </c>
      <c r="M99">
        <v>18</v>
      </c>
      <c r="N99">
        <v>5</v>
      </c>
      <c r="O99">
        <v>3</v>
      </c>
      <c r="P99">
        <v>105</v>
      </c>
      <c r="Q99">
        <v>20</v>
      </c>
      <c r="R99">
        <v>18</v>
      </c>
      <c r="S99">
        <v>1</v>
      </c>
      <c r="T99" t="s">
        <v>290</v>
      </c>
      <c r="U99">
        <v>0</v>
      </c>
      <c r="V99" s="2" t="s">
        <v>470</v>
      </c>
      <c r="W99" s="2" t="s">
        <v>332</v>
      </c>
      <c r="X99" s="2" t="s">
        <v>332</v>
      </c>
      <c r="Y99" s="2"/>
      <c r="Z99" s="2"/>
      <c r="AA99" s="2"/>
      <c r="AB99" s="2"/>
      <c r="AC99" s="2"/>
      <c r="AD99" s="2"/>
      <c r="AE99" s="2"/>
      <c r="AF99">
        <v>56</v>
      </c>
      <c r="AM99">
        <v>7</v>
      </c>
      <c r="AP99" s="2">
        <f>(SQRT(K99*R99)*POWER((MIN(M99,20)+SQRT(MAX(M99-20,0))),0.9)*Data!$B$1)*(1-(S99-1))</f>
        <v>36.400639934883735</v>
      </c>
      <c r="AQ99" s="2"/>
      <c r="AR99" s="2">
        <f>((POWER((K99*K99*R99), 0.33)*LOG10(P99)*10*Data!$B$1)*S99)+AQ99</f>
        <v>66.183179614250491</v>
      </c>
      <c r="AS99" s="2">
        <f t="shared" si="16"/>
        <v>58.064516129032256</v>
      </c>
      <c r="AT99" s="2">
        <f t="shared" si="19"/>
        <v>45.161290322580648</v>
      </c>
      <c r="AV99" s="2">
        <v>1</v>
      </c>
      <c r="AW99" s="2">
        <v>1</v>
      </c>
      <c r="AX99" s="2">
        <f t="shared" si="17"/>
        <v>18</v>
      </c>
      <c r="AY99" s="2">
        <f t="shared" si="18"/>
        <v>18</v>
      </c>
      <c r="AZ99" s="3">
        <v>6.2</v>
      </c>
      <c r="BA99" s="3">
        <v>2.2000000000000002</v>
      </c>
      <c r="BB99" s="3">
        <v>2.6</v>
      </c>
      <c r="BC99" s="2" t="str">
        <f>CONCATENATE(
ROUND(AZ99*VLOOKUP(I99,'ID Scheme'!$A$2:$E$7,3),0), "x",
ROUND(BA99*VLOOKUP(I99,'ID Scheme'!$A$2:$E$7,5),0), "x",
ROUND(BB99*VLOOKUP(I99,'ID Scheme'!$A$2:$E$7,4),0))</f>
        <v>58x32x25</v>
      </c>
      <c r="BD99" t="s">
        <v>82</v>
      </c>
    </row>
    <row r="100" spans="1:56" ht="14.25" customHeight="1" x14ac:dyDescent="0.25">
      <c r="A100" t="s">
        <v>620</v>
      </c>
      <c r="B100" t="s">
        <v>621</v>
      </c>
      <c r="C100" t="s">
        <v>328</v>
      </c>
      <c r="D100">
        <f>IF(E100 &gt; 2020, ((E100-2020)*4)+1610+G100,IF(E100 &gt; 1900, ((E100-1900)*10)+400+G100, ((E100-1730)*2)+G100))+VLOOKUP(I100,'ID Scheme'!$A$2:$B$7,2, FALSE)</f>
        <v>3932</v>
      </c>
      <c r="E100">
        <v>1993</v>
      </c>
      <c r="F100">
        <v>3</v>
      </c>
      <c r="G100">
        <v>2</v>
      </c>
      <c r="H100" t="s">
        <v>523</v>
      </c>
      <c r="I100" t="s">
        <v>13</v>
      </c>
      <c r="J100" t="s">
        <v>502</v>
      </c>
      <c r="K100">
        <v>65</v>
      </c>
      <c r="L100">
        <v>22</v>
      </c>
      <c r="M100">
        <v>19</v>
      </c>
      <c r="N100">
        <v>5</v>
      </c>
      <c r="O100">
        <v>9</v>
      </c>
      <c r="P100">
        <v>420</v>
      </c>
      <c r="Q100">
        <v>20</v>
      </c>
      <c r="R100">
        <v>30</v>
      </c>
      <c r="S100">
        <v>1</v>
      </c>
      <c r="T100" t="s">
        <v>296</v>
      </c>
      <c r="U100">
        <v>3</v>
      </c>
      <c r="V100" s="2" t="s">
        <v>622</v>
      </c>
      <c r="W100" s="2" t="s">
        <v>332</v>
      </c>
      <c r="X100" s="2" t="s">
        <v>332</v>
      </c>
      <c r="Y100" s="2"/>
      <c r="Z100" s="2"/>
      <c r="AA100" s="2"/>
      <c r="AB100" s="2"/>
      <c r="AC100" s="2"/>
      <c r="AD100" s="2"/>
      <c r="AE100" s="2"/>
      <c r="AF100">
        <v>56</v>
      </c>
      <c r="AM100">
        <v>8</v>
      </c>
      <c r="AP100" s="2">
        <f>(SQRT(K100*R100)*POWER((MIN(M100,20)+SQRT(MAX(M100-20,0))),0.9)*Data!$B$1)*(1-(S100-1))</f>
        <v>46.876676153043313</v>
      </c>
      <c r="AQ100" s="2"/>
      <c r="AR100" s="2">
        <f>((POWER((K100*K100*R100), 0.33)*LOG10(P100)*10*Data!$B$1)*S100)+AQ100</f>
        <v>95.032828795885933</v>
      </c>
      <c r="AS100" s="2">
        <f t="shared" ref="AS100" si="30">K100/1.24</f>
        <v>52.41935483870968</v>
      </c>
      <c r="AT100" s="2">
        <f t="shared" ref="AT100" si="31">AF100/1.24</f>
        <v>45.161290322580648</v>
      </c>
      <c r="AV100" s="2">
        <v>1</v>
      </c>
      <c r="AW100" s="2">
        <v>1</v>
      </c>
      <c r="AX100" s="2">
        <f t="shared" ref="AX100" si="32">R100/AW100</f>
        <v>30</v>
      </c>
      <c r="AY100" s="2">
        <f t="shared" ref="AY100" si="33">(R100)/MAX(AV100-1, 1)</f>
        <v>30</v>
      </c>
      <c r="AZ100" s="3"/>
      <c r="BA100" s="3"/>
      <c r="BB100" s="3"/>
      <c r="BC100" s="2" t="str">
        <f>CONCATENATE(
ROUND(AZ100*VLOOKUP(I100,'ID Scheme'!$A$2:$E$7,3),0), "x",
ROUND(BA100*VLOOKUP(I100,'ID Scheme'!$A$2:$E$7,5),0), "x",
ROUND(BB100*VLOOKUP(I100,'ID Scheme'!$A$2:$E$7,4),0))</f>
        <v>0x0x0</v>
      </c>
    </row>
    <row r="101" spans="1:56" x14ac:dyDescent="0.25">
      <c r="A101" t="s">
        <v>15</v>
      </c>
      <c r="B101" t="s">
        <v>198</v>
      </c>
      <c r="C101" t="s">
        <v>328</v>
      </c>
      <c r="D101">
        <f>IF(E101 &gt; 2020, ((E101-2020)*4)+1610+G101,IF(E101 &gt; 1900, ((E101-1900)*10)+400+G101, ((E101-1730)*2)+G101))+VLOOKUP(I101,'ID Scheme'!$A$2:$B$7,2, FALSE)</f>
        <v>3971</v>
      </c>
      <c r="E101">
        <v>1997</v>
      </c>
      <c r="F101">
        <v>1</v>
      </c>
      <c r="G101">
        <v>1</v>
      </c>
      <c r="H101" t="s">
        <v>523</v>
      </c>
      <c r="I101" t="s">
        <v>13</v>
      </c>
      <c r="J101" t="s">
        <v>502</v>
      </c>
      <c r="K101">
        <v>70</v>
      </c>
      <c r="L101">
        <v>-1</v>
      </c>
      <c r="M101">
        <v>15</v>
      </c>
      <c r="N101">
        <v>5</v>
      </c>
      <c r="O101">
        <v>9</v>
      </c>
      <c r="P101">
        <v>405</v>
      </c>
      <c r="Q101">
        <v>20</v>
      </c>
      <c r="R101">
        <v>32</v>
      </c>
      <c r="S101">
        <v>1</v>
      </c>
      <c r="T101" t="s">
        <v>300</v>
      </c>
      <c r="U101">
        <v>3</v>
      </c>
      <c r="V101" s="2" t="s">
        <v>467</v>
      </c>
      <c r="W101" s="2" t="s">
        <v>332</v>
      </c>
      <c r="X101" s="2" t="s">
        <v>332</v>
      </c>
      <c r="Y101" s="2"/>
      <c r="Z101" s="2"/>
      <c r="AA101" s="2"/>
      <c r="AB101" s="2"/>
      <c r="AC101" s="2"/>
      <c r="AD101" s="2"/>
      <c r="AE101" s="2"/>
      <c r="AF101">
        <v>56</v>
      </c>
      <c r="AM101">
        <v>8</v>
      </c>
      <c r="AP101" s="2">
        <f>(SQRT(K101*R101)*POWER((MIN(M101,20)+SQRT(MAX(M101-20,0))),0.9)*Data!$B$1)*(1-(S101-1))</f>
        <v>40.613218318644378</v>
      </c>
      <c r="AQ101" s="2"/>
      <c r="AR101" s="2">
        <f>((POWER((K101*K101*R101), 0.33)*LOG10(P101)*10*Data!$B$1)*S101)+AQ101</f>
        <v>101.33099065775636</v>
      </c>
      <c r="AS101" s="2">
        <f t="shared" si="16"/>
        <v>56.451612903225808</v>
      </c>
      <c r="AT101" s="2">
        <f t="shared" ref="AT101:AT131" si="34">AF101/1.24</f>
        <v>45.161290322580648</v>
      </c>
      <c r="AV101" s="2">
        <v>1</v>
      </c>
      <c r="AW101" s="2">
        <v>1</v>
      </c>
      <c r="AX101" s="2">
        <f t="shared" si="17"/>
        <v>32</v>
      </c>
      <c r="AY101" s="2">
        <f t="shared" si="18"/>
        <v>32</v>
      </c>
      <c r="AZ101" s="3"/>
      <c r="BA101" s="3"/>
      <c r="BB101" s="3"/>
      <c r="BC101" s="2" t="str">
        <f>CONCATENATE(
ROUND(AZ101*VLOOKUP(I101,'ID Scheme'!$A$2:$E$7,3),0), "x",
ROUND(BA101*VLOOKUP(I101,'ID Scheme'!$A$2:$E$7,5),0), "x",
ROUND(BB101*VLOOKUP(I101,'ID Scheme'!$A$2:$E$7,4),0))</f>
        <v>0x0x0</v>
      </c>
    </row>
    <row r="102" spans="1:56" ht="14.25" customHeight="1" x14ac:dyDescent="0.25">
      <c r="A102" t="s">
        <v>623</v>
      </c>
      <c r="B102" t="s">
        <v>624</v>
      </c>
      <c r="C102" t="s">
        <v>328</v>
      </c>
      <c r="D102">
        <f>IF(E102 &gt; 2020, ((E102-2020)*4)+1610+G102,IF(E102 &gt; 1900, ((E102-1900)*10)+400+G102, ((E102-1730)*2)+G102))+VLOOKUP(I102,'ID Scheme'!$A$2:$B$7,2, FALSE)</f>
        <v>3981</v>
      </c>
      <c r="E102">
        <v>1998</v>
      </c>
      <c r="F102">
        <v>5</v>
      </c>
      <c r="G102">
        <v>1</v>
      </c>
      <c r="H102" t="s">
        <v>523</v>
      </c>
      <c r="I102" t="s">
        <v>13</v>
      </c>
      <c r="J102" t="s">
        <v>502</v>
      </c>
      <c r="K102">
        <v>72</v>
      </c>
      <c r="L102">
        <v>-1</v>
      </c>
      <c r="M102">
        <v>14</v>
      </c>
      <c r="N102">
        <v>5</v>
      </c>
      <c r="O102">
        <v>9</v>
      </c>
      <c r="P102">
        <v>460</v>
      </c>
      <c r="Q102">
        <v>20</v>
      </c>
      <c r="R102">
        <v>30</v>
      </c>
      <c r="S102">
        <v>1</v>
      </c>
      <c r="T102" t="s">
        <v>290</v>
      </c>
      <c r="U102">
        <v>3</v>
      </c>
      <c r="V102" s="2" t="s">
        <v>625</v>
      </c>
      <c r="W102" s="2" t="s">
        <v>332</v>
      </c>
      <c r="X102" s="2" t="s">
        <v>332</v>
      </c>
      <c r="Y102" s="2"/>
      <c r="Z102" s="2"/>
      <c r="AA102" s="2"/>
      <c r="AB102" s="2"/>
      <c r="AC102" s="2"/>
      <c r="AD102" s="2"/>
      <c r="AE102" s="2"/>
      <c r="AF102">
        <v>56</v>
      </c>
      <c r="AM102">
        <v>8</v>
      </c>
      <c r="AP102" s="2">
        <f>(SQRT(K102*R102)*POWER((MIN(M102,20)+SQRT(MAX(M102-20,0))),0.9)*Data!$B$1)*(1-(S102-1))</f>
        <v>37.480326983572404</v>
      </c>
      <c r="AQ102" s="2"/>
      <c r="AR102" s="2">
        <f>((POWER((K102*K102*R102), 0.33)*LOG10(P102)*10*Data!$B$1)*S102)+AQ102</f>
        <v>103.20064123902668</v>
      </c>
      <c r="AS102" s="2">
        <f t="shared" si="16"/>
        <v>58.064516129032256</v>
      </c>
      <c r="AT102" s="2">
        <f t="shared" si="34"/>
        <v>45.161290322580648</v>
      </c>
      <c r="AV102" s="2">
        <v>1</v>
      </c>
      <c r="AW102" s="2">
        <v>1</v>
      </c>
      <c r="AX102" s="2">
        <f t="shared" si="17"/>
        <v>30</v>
      </c>
      <c r="AY102" s="2">
        <f t="shared" si="18"/>
        <v>30</v>
      </c>
      <c r="AZ102" s="3"/>
      <c r="BA102" s="3"/>
      <c r="BB102" s="3"/>
      <c r="BC102" s="2" t="str">
        <f>CONCATENATE(
ROUND(AZ102*VLOOKUP(I102,'ID Scheme'!$A$2:$E$7,3),0), "x",
ROUND(BA102*VLOOKUP(I102,'ID Scheme'!$A$2:$E$7,5),0), "x",
ROUND(BB102*VLOOKUP(I102,'ID Scheme'!$A$2:$E$7,4),0))</f>
        <v>0x0x0</v>
      </c>
    </row>
    <row r="103" spans="1:56" x14ac:dyDescent="0.25">
      <c r="A103" t="s">
        <v>90</v>
      </c>
      <c r="B103" t="s">
        <v>193</v>
      </c>
      <c r="C103" t="s">
        <v>328</v>
      </c>
      <c r="D103">
        <f>IF(E103 &gt; 2020, ((E103-2020)*4)+1610+G103,IF(E103 &gt; 1900, ((E103-1900)*10)+400+G103, ((E103-1730)*2)+G103))+VLOOKUP(I103,'ID Scheme'!$A$2:$B$7,2, FALSE)</f>
        <v>4012</v>
      </c>
      <c r="E103">
        <v>2001</v>
      </c>
      <c r="F103">
        <v>1</v>
      </c>
      <c r="G103">
        <v>2</v>
      </c>
      <c r="H103" t="s">
        <v>523</v>
      </c>
      <c r="I103" t="s">
        <v>13</v>
      </c>
      <c r="J103" t="s">
        <v>502</v>
      </c>
      <c r="K103">
        <v>75</v>
      </c>
      <c r="L103">
        <v>-1</v>
      </c>
      <c r="M103">
        <v>18</v>
      </c>
      <c r="N103">
        <v>5</v>
      </c>
      <c r="O103">
        <v>9</v>
      </c>
      <c r="P103">
        <v>207</v>
      </c>
      <c r="Q103">
        <v>20</v>
      </c>
      <c r="R103">
        <v>24</v>
      </c>
      <c r="S103">
        <v>1</v>
      </c>
      <c r="T103" t="s">
        <v>290</v>
      </c>
      <c r="U103">
        <v>0</v>
      </c>
      <c r="V103" s="2" t="s">
        <v>465</v>
      </c>
      <c r="W103" s="2" t="s">
        <v>332</v>
      </c>
      <c r="X103" s="2" t="s">
        <v>332</v>
      </c>
      <c r="Y103" s="2"/>
      <c r="Z103" s="2"/>
      <c r="AA103" s="2"/>
      <c r="AB103" s="2"/>
      <c r="AC103" s="2"/>
      <c r="AD103" s="2"/>
      <c r="AE103" s="2"/>
      <c r="AF103">
        <v>56</v>
      </c>
      <c r="AM103">
        <v>7</v>
      </c>
      <c r="AP103" s="2">
        <f>(SQRT(K103*R103)*POWER((MIN(M103,20)+SQRT(MAX(M103-20,0))),0.9)*Data!$B$1)*(1-(S103-1))</f>
        <v>42.898565562476904</v>
      </c>
      <c r="AQ103" s="2"/>
      <c r="AR103" s="2">
        <f>((POWER((K103*K103*R103), 0.33)*LOG10(P103)*10*Data!$B$1)*S103)+AQ103</f>
        <v>85.665193700262009</v>
      </c>
      <c r="AS103" s="2">
        <f t="shared" si="16"/>
        <v>60.483870967741936</v>
      </c>
      <c r="AT103" s="2">
        <f t="shared" si="34"/>
        <v>45.161290322580648</v>
      </c>
      <c r="AV103" s="2">
        <v>1</v>
      </c>
      <c r="AW103" s="2">
        <v>1</v>
      </c>
      <c r="AX103" s="2">
        <f t="shared" si="17"/>
        <v>24</v>
      </c>
      <c r="AY103" s="2">
        <f t="shared" si="18"/>
        <v>24</v>
      </c>
      <c r="AZ103" s="3">
        <v>8.5</v>
      </c>
      <c r="BA103" s="3">
        <v>2.2000000000000002</v>
      </c>
      <c r="BB103" s="3">
        <v>2.6</v>
      </c>
      <c r="BC103" s="2" t="str">
        <f>CONCATENATE(
ROUND(AZ103*VLOOKUP(I103,'ID Scheme'!$A$2:$E$7,3),0), "x",
ROUND(BA103*VLOOKUP(I103,'ID Scheme'!$A$2:$E$7,5),0), "x",
ROUND(BB103*VLOOKUP(I103,'ID Scheme'!$A$2:$E$7,4),0))</f>
        <v>79x32x25</v>
      </c>
      <c r="BD103" t="s">
        <v>91</v>
      </c>
    </row>
    <row r="104" spans="1:56" x14ac:dyDescent="0.25">
      <c r="A104" t="s">
        <v>77</v>
      </c>
      <c r="B104" t="s">
        <v>215</v>
      </c>
      <c r="C104" t="s">
        <v>328</v>
      </c>
      <c r="D104">
        <f>IF(E104 &gt; 2020, ((E104-2020)*4)+1610+G104,IF(E104 &gt; 1900, ((E104-1900)*10)+400+G104, ((E104-1730)*2)+G104))+VLOOKUP(I104,'ID Scheme'!$A$2:$B$7,2, FALSE)</f>
        <v>4051</v>
      </c>
      <c r="E104">
        <v>2005</v>
      </c>
      <c r="F104">
        <v>1</v>
      </c>
      <c r="G104">
        <v>1</v>
      </c>
      <c r="H104" t="s">
        <v>523</v>
      </c>
      <c r="I104" t="s">
        <v>13</v>
      </c>
      <c r="J104" t="s">
        <v>502</v>
      </c>
      <c r="K104">
        <v>80</v>
      </c>
      <c r="L104">
        <v>-1</v>
      </c>
      <c r="M104">
        <v>19</v>
      </c>
      <c r="N104">
        <v>5</v>
      </c>
      <c r="O104">
        <v>3</v>
      </c>
      <c r="P104">
        <v>175</v>
      </c>
      <c r="Q104">
        <v>20</v>
      </c>
      <c r="R104">
        <v>18</v>
      </c>
      <c r="S104">
        <v>1</v>
      </c>
      <c r="T104" t="s">
        <v>290</v>
      </c>
      <c r="U104">
        <v>0</v>
      </c>
      <c r="V104" s="2" t="s">
        <v>463</v>
      </c>
      <c r="W104" s="2" t="s">
        <v>332</v>
      </c>
      <c r="X104" s="2" t="s">
        <v>332</v>
      </c>
      <c r="Y104" s="2"/>
      <c r="Z104" s="2"/>
      <c r="AA104" s="2"/>
      <c r="AB104" s="2"/>
      <c r="AC104" s="2"/>
      <c r="AD104" s="2"/>
      <c r="AE104" s="2"/>
      <c r="AM104">
        <v>6</v>
      </c>
      <c r="AP104" s="2">
        <f>(SQRT(K104*R104)*POWER((MIN(M104,20)+SQRT(MAX(M104-20,0))),0.9)*Data!$B$1)*(1-(S104-1))</f>
        <v>40.282902046468678</v>
      </c>
      <c r="AQ104" s="2"/>
      <c r="AR104" s="2">
        <f>((POWER((K104*K104*R104), 0.33)*LOG10(P104)*10*Data!$B$1)*S104)+AQ104</f>
        <v>78.736702415748411</v>
      </c>
      <c r="AS104" s="2">
        <f t="shared" si="16"/>
        <v>64.516129032258064</v>
      </c>
      <c r="AT104" s="2">
        <f t="shared" si="34"/>
        <v>0</v>
      </c>
      <c r="AV104" s="2">
        <v>1</v>
      </c>
      <c r="AW104" s="2">
        <v>1</v>
      </c>
      <c r="AX104" s="2">
        <f t="shared" si="17"/>
        <v>18</v>
      </c>
      <c r="AY104" s="2">
        <f t="shared" si="18"/>
        <v>18</v>
      </c>
      <c r="AZ104" s="3">
        <v>6.2</v>
      </c>
      <c r="BA104" s="3">
        <v>2.2000000000000002</v>
      </c>
      <c r="BB104" s="3">
        <v>2.6</v>
      </c>
      <c r="BC104" s="2" t="str">
        <f>CONCATENATE(
ROUND(AZ104*VLOOKUP(I104,'ID Scheme'!$A$2:$E$7,3),0), "x",
ROUND(BA104*VLOOKUP(I104,'ID Scheme'!$A$2:$E$7,5),0), "x",
ROUND(BB104*VLOOKUP(I104,'ID Scheme'!$A$2:$E$7,4),0))</f>
        <v>58x32x25</v>
      </c>
      <c r="BD104" t="s">
        <v>78</v>
      </c>
    </row>
    <row r="105" spans="1:56" x14ac:dyDescent="0.25">
      <c r="A105" t="s">
        <v>57</v>
      </c>
      <c r="B105" t="s">
        <v>263</v>
      </c>
      <c r="C105" t="s">
        <v>361</v>
      </c>
      <c r="D105">
        <f>IF(E105 &gt; 2020, ((E105-2020)*4)+1610+G105,IF(E105 &gt; 1900, ((E105-1900)*10)+400+G105, ((E105-1730)*2)+G105))+VLOOKUP(I105,'ID Scheme'!$A$2:$B$7,2, FALSE)</f>
        <v>5121</v>
      </c>
      <c r="E105">
        <v>1912</v>
      </c>
      <c r="F105">
        <v>1</v>
      </c>
      <c r="G105">
        <v>1</v>
      </c>
      <c r="H105" t="s">
        <v>523</v>
      </c>
      <c r="I105" t="s">
        <v>14</v>
      </c>
      <c r="J105" t="s">
        <v>509</v>
      </c>
      <c r="K105">
        <v>40</v>
      </c>
      <c r="L105">
        <v>28</v>
      </c>
      <c r="M105">
        <v>12</v>
      </c>
      <c r="N105">
        <v>5</v>
      </c>
      <c r="O105">
        <v>1</v>
      </c>
      <c r="P105">
        <v>20</v>
      </c>
      <c r="Q105">
        <v>20</v>
      </c>
      <c r="R105">
        <v>4</v>
      </c>
      <c r="S105">
        <v>1</v>
      </c>
      <c r="T105" t="s">
        <v>357</v>
      </c>
      <c r="U105">
        <v>-3</v>
      </c>
      <c r="V105" s="2" t="s">
        <v>461</v>
      </c>
      <c r="W105" s="2"/>
      <c r="X105" s="2"/>
      <c r="Y105" s="2"/>
      <c r="Z105" s="2"/>
      <c r="AA105" s="2"/>
      <c r="AB105" s="2"/>
      <c r="AC105" s="2"/>
      <c r="AD105" s="2"/>
      <c r="AE105" s="2"/>
      <c r="AM105">
        <v>4</v>
      </c>
      <c r="AP105" s="2">
        <f>(SQRT(K105*R105)*POWER((MIN(M105,20)+SQRT(MAX(M105-20,0))),0.9)*Data!$B$1)*(1-(S105-1))</f>
        <v>8.8794154486294588</v>
      </c>
      <c r="AQ105" s="2"/>
      <c r="AR105" s="2">
        <f>((POWER((K105*K105*R105), 0.33)*LOG10(P105)*10*Data!$B$1)*S105)+AQ105</f>
        <v>17.594947052790868</v>
      </c>
      <c r="AS105" s="2">
        <f t="shared" ref="AS105:AS136" si="35">K105/1.24</f>
        <v>32.258064516129032</v>
      </c>
      <c r="AT105" s="2">
        <f t="shared" si="34"/>
        <v>0</v>
      </c>
      <c r="AV105" s="2">
        <v>1</v>
      </c>
      <c r="AW105" s="2">
        <v>1</v>
      </c>
      <c r="AX105" s="2">
        <f t="shared" ref="AX105:AX136" si="36">R105/AW105</f>
        <v>4</v>
      </c>
      <c r="AY105" s="2">
        <f t="shared" ref="AY105:AY136" si="37">(R105)/MAX(AV105-1, 1)</f>
        <v>4</v>
      </c>
      <c r="AZ105" s="3"/>
      <c r="BA105" s="3"/>
      <c r="BB105" s="3"/>
      <c r="BC105" s="2" t="str">
        <f>CONCATENATE(
ROUND(AZ105*VLOOKUP(I105,'ID Scheme'!$A$2:$E$7,3),0), "x",
ROUND(BA105*VLOOKUP(I105,'ID Scheme'!$A$2:$E$7,5),0), "x",
ROUND(BB105*VLOOKUP(I105,'ID Scheme'!$A$2:$E$7,4),0))</f>
        <v>0x0x0</v>
      </c>
    </row>
    <row r="106" spans="1:56" x14ac:dyDescent="0.25">
      <c r="A106" t="s">
        <v>63</v>
      </c>
      <c r="B106" t="s">
        <v>258</v>
      </c>
      <c r="C106" t="s">
        <v>361</v>
      </c>
      <c r="D106">
        <f>IF(E106 &gt; 2020, ((E106-2020)*4)+1610+G106,IF(E106 &gt; 1900, ((E106-1900)*10)+400+G106, ((E106-1730)*2)+G106))+VLOOKUP(I106,'ID Scheme'!$A$2:$B$7,2, FALSE)</f>
        <v>5381</v>
      </c>
      <c r="E106">
        <v>1938</v>
      </c>
      <c r="F106">
        <v>6</v>
      </c>
      <c r="G106">
        <v>1</v>
      </c>
      <c r="H106" t="s">
        <v>523</v>
      </c>
      <c r="I106" t="s">
        <v>14</v>
      </c>
      <c r="J106" t="s">
        <v>502</v>
      </c>
      <c r="K106">
        <v>45</v>
      </c>
      <c r="L106">
        <v>20</v>
      </c>
      <c r="M106">
        <v>14</v>
      </c>
      <c r="N106">
        <v>5</v>
      </c>
      <c r="O106">
        <v>1</v>
      </c>
      <c r="P106">
        <v>32</v>
      </c>
      <c r="Q106">
        <v>20</v>
      </c>
      <c r="R106">
        <v>5</v>
      </c>
      <c r="S106">
        <v>1</v>
      </c>
      <c r="T106" t="s">
        <v>357</v>
      </c>
      <c r="U106">
        <v>-3</v>
      </c>
      <c r="V106" s="2" t="s">
        <v>460</v>
      </c>
      <c r="W106" s="2"/>
      <c r="X106" s="2"/>
      <c r="Y106" s="2"/>
      <c r="Z106" s="2"/>
      <c r="AA106" s="2"/>
      <c r="AB106" s="2"/>
      <c r="AC106" s="2"/>
      <c r="AD106" s="2"/>
      <c r="AE106" s="2"/>
      <c r="AM106">
        <v>4</v>
      </c>
      <c r="AP106" s="2">
        <f>(SQRT(K106*R106)*POWER((MIN(M106,20)+SQRT(MAX(M106-20,0))),0.9)*Data!$B$1)*(1-(S106-1))</f>
        <v>12.0967235181487</v>
      </c>
      <c r="AQ106" s="2"/>
      <c r="AR106" s="2">
        <f>((POWER((K106*K106*R106), 0.33)*LOG10(P106)*10*Data!$B$1)*S106)+AQ106</f>
        <v>23.682164888763008</v>
      </c>
      <c r="AS106" s="2">
        <f t="shared" si="35"/>
        <v>36.29032258064516</v>
      </c>
      <c r="AT106" s="2">
        <f t="shared" si="34"/>
        <v>0</v>
      </c>
      <c r="AV106" s="2">
        <v>1</v>
      </c>
      <c r="AW106" s="2">
        <v>1</v>
      </c>
      <c r="AX106" s="2">
        <f t="shared" si="36"/>
        <v>5</v>
      </c>
      <c r="AY106" s="2">
        <f t="shared" si="37"/>
        <v>5</v>
      </c>
      <c r="AZ106" s="3"/>
      <c r="BA106" s="3"/>
      <c r="BB106" s="3"/>
      <c r="BC106" s="2" t="str">
        <f>CONCATENATE(
ROUND(AZ106*VLOOKUP(I106,'ID Scheme'!$A$2:$E$7,3),0), "x",
ROUND(BA106*VLOOKUP(I106,'ID Scheme'!$A$2:$E$7,5),0), "x",
ROUND(BB106*VLOOKUP(I106,'ID Scheme'!$A$2:$E$7,4),0))</f>
        <v>0x0x0</v>
      </c>
    </row>
    <row r="107" spans="1:56" x14ac:dyDescent="0.25">
      <c r="A107" t="s">
        <v>265</v>
      </c>
      <c r="B107" t="s">
        <v>264</v>
      </c>
      <c r="C107" t="s">
        <v>361</v>
      </c>
      <c r="D107">
        <f>IF(E107 &gt; 2020, ((E107-2020)*4)+1610+G107,IF(E107 &gt; 1900, ((E107-1900)*10)+400+G107, ((E107-1730)*2)+G107))+VLOOKUP(I107,'ID Scheme'!$A$2:$B$7,2, FALSE)</f>
        <v>5571</v>
      </c>
      <c r="E107">
        <v>1957</v>
      </c>
      <c r="F107">
        <v>1</v>
      </c>
      <c r="G107">
        <v>1</v>
      </c>
      <c r="H107" t="s">
        <v>523</v>
      </c>
      <c r="I107" t="s">
        <v>14</v>
      </c>
      <c r="J107" t="s">
        <v>502</v>
      </c>
      <c r="K107">
        <v>60</v>
      </c>
      <c r="L107">
        <v>16</v>
      </c>
      <c r="M107">
        <v>12</v>
      </c>
      <c r="N107">
        <v>5</v>
      </c>
      <c r="O107">
        <v>1</v>
      </c>
      <c r="P107">
        <v>53</v>
      </c>
      <c r="Q107">
        <v>20</v>
      </c>
      <c r="R107">
        <v>6</v>
      </c>
      <c r="S107">
        <v>1</v>
      </c>
      <c r="T107" t="s">
        <v>357</v>
      </c>
      <c r="U107">
        <v>-3</v>
      </c>
      <c r="V107" s="2" t="s">
        <v>459</v>
      </c>
      <c r="W107" s="2"/>
      <c r="X107" s="2"/>
      <c r="Y107" s="2"/>
      <c r="Z107" s="2"/>
      <c r="AA107" s="2"/>
      <c r="AB107" s="2"/>
      <c r="AC107" s="2"/>
      <c r="AD107" s="2"/>
      <c r="AE107" s="2"/>
      <c r="AM107">
        <v>5</v>
      </c>
      <c r="AP107" s="2">
        <f>(SQRT(K107*R107)*POWER((MIN(M107,20)+SQRT(MAX(M107-20,0))),0.9)*Data!$B$1)*(1-(S107-1))</f>
        <v>13.319123172944188</v>
      </c>
      <c r="AQ107" s="2"/>
      <c r="AR107" s="2">
        <f>((POWER((K107*K107*R107), 0.33)*LOG10(P107)*10*Data!$B$1)*S107)+AQ107</f>
        <v>34.83675961560575</v>
      </c>
      <c r="AS107" s="2">
        <f t="shared" si="35"/>
        <v>48.387096774193552</v>
      </c>
      <c r="AT107" s="2">
        <f t="shared" si="34"/>
        <v>0</v>
      </c>
      <c r="AV107" s="2">
        <v>1</v>
      </c>
      <c r="AW107" s="2">
        <v>1</v>
      </c>
      <c r="AX107" s="2">
        <f t="shared" si="36"/>
        <v>6</v>
      </c>
      <c r="AY107" s="2">
        <f t="shared" si="37"/>
        <v>6</v>
      </c>
      <c r="AZ107" s="3"/>
      <c r="BA107" s="3"/>
      <c r="BB107" s="3"/>
      <c r="BC107" s="2" t="str">
        <f>CONCATENATE(
ROUND(AZ107*VLOOKUP(I107,'ID Scheme'!$A$2:$E$7,3),0), "x",
ROUND(BA107*VLOOKUP(I107,'ID Scheme'!$A$2:$E$7,5),0), "x",
ROUND(BB107*VLOOKUP(I107,'ID Scheme'!$A$2:$E$7,4),0))</f>
        <v>0x0x0</v>
      </c>
    </row>
    <row r="108" spans="1:56" x14ac:dyDescent="0.25">
      <c r="A108" t="s">
        <v>62</v>
      </c>
      <c r="B108" t="s">
        <v>262</v>
      </c>
      <c r="C108" t="s">
        <v>361</v>
      </c>
      <c r="D108">
        <f>IF(E108 &gt; 2020, ((E108-2020)*4)+1610+G108,IF(E108 &gt; 1900, ((E108-1900)*10)+400+G108, ((E108-1730)*2)+G108))+VLOOKUP(I108,'ID Scheme'!$A$2:$B$7,2, FALSE)</f>
        <v>5601</v>
      </c>
      <c r="E108">
        <v>1960</v>
      </c>
      <c r="F108">
        <v>1</v>
      </c>
      <c r="G108">
        <v>1</v>
      </c>
      <c r="H108" t="s">
        <v>523</v>
      </c>
      <c r="I108" t="s">
        <v>14</v>
      </c>
      <c r="J108" t="s">
        <v>502</v>
      </c>
      <c r="K108">
        <v>60</v>
      </c>
      <c r="L108">
        <v>22</v>
      </c>
      <c r="M108">
        <v>15</v>
      </c>
      <c r="N108">
        <v>5</v>
      </c>
      <c r="O108">
        <v>1</v>
      </c>
      <c r="P108">
        <v>58</v>
      </c>
      <c r="Q108">
        <v>20</v>
      </c>
      <c r="R108">
        <v>8</v>
      </c>
      <c r="S108">
        <v>1.1000000000000001</v>
      </c>
      <c r="T108" t="s">
        <v>357</v>
      </c>
      <c r="U108">
        <v>-3</v>
      </c>
      <c r="V108" s="2" t="s">
        <v>481</v>
      </c>
      <c r="W108" s="2"/>
      <c r="X108" s="2"/>
      <c r="Y108" s="2"/>
      <c r="Z108" s="2"/>
      <c r="AA108" s="2"/>
      <c r="AB108" s="2"/>
      <c r="AC108" s="2"/>
      <c r="AD108" s="2"/>
      <c r="AE108" s="2"/>
      <c r="AM108">
        <v>5</v>
      </c>
      <c r="AP108" s="2">
        <f>(SQRT(K108*R108)*POWER((MIN(M108,20)+SQRT(MAX(M108-20,0))),0.9)*Data!$B$1)*(1-(S108-1))</f>
        <v>16.920240226133288</v>
      </c>
      <c r="AQ108" s="2"/>
      <c r="AR108" s="2">
        <f>((POWER((K108*K108*R108), 0.33)*LOG10(P108)*10*Data!$B$1)*S108)+AQ108</f>
        <v>43.093443625686163</v>
      </c>
      <c r="AS108" s="2">
        <f t="shared" si="35"/>
        <v>48.387096774193552</v>
      </c>
      <c r="AT108" s="2">
        <f t="shared" si="34"/>
        <v>0</v>
      </c>
      <c r="AV108" s="2">
        <v>1</v>
      </c>
      <c r="AW108" s="2">
        <v>1</v>
      </c>
      <c r="AX108" s="2">
        <f t="shared" si="36"/>
        <v>8</v>
      </c>
      <c r="AY108" s="2">
        <f t="shared" si="37"/>
        <v>8</v>
      </c>
      <c r="AZ108" s="3"/>
      <c r="BA108" s="3"/>
      <c r="BB108" s="3"/>
      <c r="BC108" s="2" t="str">
        <f>CONCATENATE(
ROUND(AZ108*VLOOKUP(I108,'ID Scheme'!$A$2:$E$7,3),0), "x",
ROUND(BA108*VLOOKUP(I108,'ID Scheme'!$A$2:$E$7,5),0), "x",
ROUND(BB108*VLOOKUP(I108,'ID Scheme'!$A$2:$E$7,4),0))</f>
        <v>0x0x0</v>
      </c>
    </row>
    <row r="109" spans="1:56" x14ac:dyDescent="0.25">
      <c r="A109" t="s">
        <v>37</v>
      </c>
      <c r="B109" t="s">
        <v>267</v>
      </c>
      <c r="C109" t="s">
        <v>361</v>
      </c>
      <c r="D109">
        <f>IF(E109 &gt; 2020, ((E109-2020)*4)+1610+G109,IF(E109 &gt; 1900, ((E109-1900)*10)+400+G109, ((E109-1730)*2)+G109))+VLOOKUP(I109,'ID Scheme'!$A$2:$B$7,2, FALSE)</f>
        <v>5651</v>
      </c>
      <c r="E109">
        <v>1965</v>
      </c>
      <c r="F109">
        <v>10</v>
      </c>
      <c r="G109">
        <v>1</v>
      </c>
      <c r="H109" t="s">
        <v>523</v>
      </c>
      <c r="I109" t="s">
        <v>14</v>
      </c>
      <c r="J109" t="s">
        <v>502</v>
      </c>
      <c r="K109">
        <v>65</v>
      </c>
      <c r="L109">
        <v>18</v>
      </c>
      <c r="M109">
        <v>14</v>
      </c>
      <c r="N109">
        <v>5</v>
      </c>
      <c r="O109">
        <v>1.5</v>
      </c>
      <c r="P109">
        <v>90</v>
      </c>
      <c r="Q109">
        <v>20</v>
      </c>
      <c r="R109">
        <v>8</v>
      </c>
      <c r="S109">
        <v>1</v>
      </c>
      <c r="T109" t="s">
        <v>357</v>
      </c>
      <c r="U109">
        <v>-3</v>
      </c>
      <c r="V109" s="2" t="s">
        <v>458</v>
      </c>
      <c r="W109" s="2"/>
      <c r="X109" s="2"/>
      <c r="Y109" s="2"/>
      <c r="Z109" s="2"/>
      <c r="AA109" s="2"/>
      <c r="AB109" s="2"/>
      <c r="AC109" s="2"/>
      <c r="AD109" s="2"/>
      <c r="AE109" s="2"/>
      <c r="AM109">
        <v>6</v>
      </c>
      <c r="AP109" s="2">
        <f>(SQRT(K109*R109)*POWER((MIN(M109,20)+SQRT(MAX(M109-20,0))),0.9)*Data!$B$1)*(1-(S109-1))</f>
        <v>18.389849172815911</v>
      </c>
      <c r="AQ109" s="2"/>
      <c r="AR109" s="2">
        <f>((POWER((K109*K109*R109), 0.33)*LOG10(P109)*10*Data!$B$1)*S109)+AQ109</f>
        <v>45.77013890849053</v>
      </c>
      <c r="AS109" s="2">
        <f t="shared" si="35"/>
        <v>52.41935483870968</v>
      </c>
      <c r="AT109" s="2">
        <f t="shared" si="34"/>
        <v>0</v>
      </c>
      <c r="AV109" s="2">
        <v>1</v>
      </c>
      <c r="AW109" s="2">
        <v>1</v>
      </c>
      <c r="AX109" s="2">
        <f t="shared" si="36"/>
        <v>8</v>
      </c>
      <c r="AY109" s="2">
        <f t="shared" si="37"/>
        <v>8</v>
      </c>
      <c r="AZ109" s="3"/>
      <c r="BA109" s="3"/>
      <c r="BB109" s="3"/>
      <c r="BC109" s="2" t="str">
        <f>CONCATENATE(
ROUND(AZ109*VLOOKUP(I109,'ID Scheme'!$A$2:$E$7,3),0), "x",
ROUND(BA109*VLOOKUP(I109,'ID Scheme'!$A$2:$E$7,5),0), "x",
ROUND(BB109*VLOOKUP(I109,'ID Scheme'!$A$2:$E$7,4),0))</f>
        <v>0x0x0</v>
      </c>
    </row>
    <row r="110" spans="1:56" x14ac:dyDescent="0.25">
      <c r="A110" t="s">
        <v>38</v>
      </c>
      <c r="B110" t="s">
        <v>268</v>
      </c>
      <c r="C110" t="s">
        <v>361</v>
      </c>
      <c r="D110">
        <f>IF(E110 &gt; 2020, ((E110-2020)*4)+1610+G110,IF(E110 &gt; 1900, ((E110-1900)*10)+400+G110, ((E110-1730)*2)+G110))+VLOOKUP(I110,'ID Scheme'!$A$2:$B$7,2, FALSE)</f>
        <v>5861</v>
      </c>
      <c r="E110">
        <v>1986</v>
      </c>
      <c r="F110">
        <v>1</v>
      </c>
      <c r="G110">
        <v>1</v>
      </c>
      <c r="H110" t="s">
        <v>523</v>
      </c>
      <c r="I110" t="s">
        <v>14</v>
      </c>
      <c r="J110" t="s">
        <v>502</v>
      </c>
      <c r="K110">
        <v>80</v>
      </c>
      <c r="L110">
        <v>20</v>
      </c>
      <c r="M110">
        <v>14</v>
      </c>
      <c r="N110">
        <v>5</v>
      </c>
      <c r="O110">
        <v>1.5</v>
      </c>
      <c r="P110">
        <v>100</v>
      </c>
      <c r="Q110">
        <v>20</v>
      </c>
      <c r="R110">
        <v>10</v>
      </c>
      <c r="S110">
        <v>1</v>
      </c>
      <c r="T110" t="s">
        <v>357</v>
      </c>
      <c r="U110">
        <v>-3</v>
      </c>
      <c r="V110" s="2" t="s">
        <v>450</v>
      </c>
      <c r="W110" s="2"/>
      <c r="X110" s="2"/>
      <c r="Y110" s="2"/>
      <c r="Z110" s="2"/>
      <c r="AA110" s="2"/>
      <c r="AB110" s="2"/>
      <c r="AC110" s="2"/>
      <c r="AD110" s="2"/>
      <c r="AE110" s="2"/>
      <c r="AM110">
        <v>6</v>
      </c>
      <c r="AP110" s="2">
        <f>(SQRT(K110*R110)*POWER((MIN(M110,20)+SQRT(MAX(M110-20,0))),0.9)*Data!$B$1)*(1-(S110-1))</f>
        <v>22.809800612857963</v>
      </c>
      <c r="AQ110" s="2"/>
      <c r="AR110" s="2">
        <f>((POWER((K110*K110*R110), 0.33)*LOG10(P110)*10*Data!$B$1)*S110)+AQ110</f>
        <v>57.826998441289433</v>
      </c>
      <c r="AS110" s="2">
        <f t="shared" si="35"/>
        <v>64.516129032258064</v>
      </c>
      <c r="AT110" s="2">
        <f t="shared" si="34"/>
        <v>0</v>
      </c>
      <c r="AV110" s="2">
        <v>1</v>
      </c>
      <c r="AW110" s="2">
        <v>1</v>
      </c>
      <c r="AX110" s="2">
        <f t="shared" si="36"/>
        <v>10</v>
      </c>
      <c r="AY110" s="2">
        <f t="shared" si="37"/>
        <v>10</v>
      </c>
      <c r="AZ110" s="3"/>
      <c r="BA110" s="3"/>
      <c r="BB110" s="3"/>
      <c r="BC110" s="2" t="str">
        <f>CONCATENATE(
ROUND(AZ110*VLOOKUP(I110,'ID Scheme'!$A$2:$E$7,3),0), "x",
ROUND(BA110*VLOOKUP(I110,'ID Scheme'!$A$2:$E$7,5),0), "x",
ROUND(BB110*VLOOKUP(I110,'ID Scheme'!$A$2:$E$7,4),0))</f>
        <v>0x0x0</v>
      </c>
    </row>
    <row r="111" spans="1:56" x14ac:dyDescent="0.25">
      <c r="A111" t="s">
        <v>40</v>
      </c>
      <c r="B111" t="s">
        <v>260</v>
      </c>
      <c r="C111" t="s">
        <v>361</v>
      </c>
      <c r="D111">
        <f>IF(E111 &gt; 2020, ((E111-2020)*4)+1610+G111,IF(E111 &gt; 1900, ((E111-1900)*10)+400+G111, ((E111-1730)*2)+G111))+VLOOKUP(I111,'ID Scheme'!$A$2:$B$7,2, FALSE)</f>
        <v>5862</v>
      </c>
      <c r="E111">
        <v>1986</v>
      </c>
      <c r="F111">
        <v>1</v>
      </c>
      <c r="G111">
        <v>2</v>
      </c>
      <c r="H111" t="s">
        <v>523</v>
      </c>
      <c r="I111" t="s">
        <v>14</v>
      </c>
      <c r="J111" t="s">
        <v>502</v>
      </c>
      <c r="K111">
        <v>65</v>
      </c>
      <c r="L111">
        <v>20</v>
      </c>
      <c r="M111">
        <v>14</v>
      </c>
      <c r="N111">
        <v>5</v>
      </c>
      <c r="O111">
        <v>1</v>
      </c>
      <c r="P111">
        <v>44</v>
      </c>
      <c r="Q111">
        <v>20</v>
      </c>
      <c r="R111">
        <v>4</v>
      </c>
      <c r="S111">
        <v>1</v>
      </c>
      <c r="T111" t="s">
        <v>357</v>
      </c>
      <c r="U111">
        <v>-4</v>
      </c>
      <c r="V111" s="2" t="s">
        <v>456</v>
      </c>
      <c r="W111" s="2"/>
      <c r="X111" s="2"/>
      <c r="Y111" s="2"/>
      <c r="Z111" s="2"/>
      <c r="AA111" s="2"/>
      <c r="AB111" s="2"/>
      <c r="AC111" s="2"/>
      <c r="AD111" s="2"/>
      <c r="AE111" s="2"/>
      <c r="AM111">
        <v>4</v>
      </c>
      <c r="AP111" s="2">
        <f>(SQRT(K111*R111)*POWER((MIN(M111,20)+SQRT(MAX(M111-20,0))),0.9)*Data!$B$1)*(1-(S111-1))</f>
        <v>13.003587055095952</v>
      </c>
      <c r="AQ111" s="2"/>
      <c r="AR111" s="2">
        <f>((POWER((K111*K111*R111), 0.33)*LOG10(P111)*10*Data!$B$1)*S111)+AQ111</f>
        <v>30.621120528083672</v>
      </c>
      <c r="AS111" s="2">
        <f t="shared" si="35"/>
        <v>52.41935483870968</v>
      </c>
      <c r="AT111" s="2">
        <f t="shared" si="34"/>
        <v>0</v>
      </c>
      <c r="AV111" s="2">
        <v>1</v>
      </c>
      <c r="AW111" s="2">
        <v>1</v>
      </c>
      <c r="AX111" s="2">
        <f t="shared" si="36"/>
        <v>4</v>
      </c>
      <c r="AY111" s="2">
        <f t="shared" si="37"/>
        <v>4</v>
      </c>
      <c r="AZ111" s="3"/>
      <c r="BA111" s="3"/>
      <c r="BB111" s="3"/>
      <c r="BC111" s="2" t="str">
        <f>CONCATENATE(
ROUND(AZ111*VLOOKUP(I111,'ID Scheme'!$A$2:$E$7,3),0), "x",
ROUND(BA111*VLOOKUP(I111,'ID Scheme'!$A$2:$E$7,5),0), "x",
ROUND(BB111*VLOOKUP(I111,'ID Scheme'!$A$2:$E$7,4),0))</f>
        <v>0x0x0</v>
      </c>
    </row>
    <row r="112" spans="1:56" x14ac:dyDescent="0.25">
      <c r="A112" t="s">
        <v>42</v>
      </c>
      <c r="B112" t="s">
        <v>214</v>
      </c>
      <c r="C112" t="s">
        <v>361</v>
      </c>
      <c r="D112">
        <f>IF(E112 &gt; 2020, ((E112-2020)*4)+1610+G112,IF(E112 &gt; 1900, ((E112-1900)*10)+400+G112, ((E112-1730)*2)+G112))+VLOOKUP(I112,'ID Scheme'!$A$2:$B$7,2, FALSE)</f>
        <v>6061</v>
      </c>
      <c r="E112">
        <v>2006</v>
      </c>
      <c r="F112">
        <v>1</v>
      </c>
      <c r="G112">
        <v>1</v>
      </c>
      <c r="H112" t="s">
        <v>523</v>
      </c>
      <c r="I112" t="s">
        <v>14</v>
      </c>
      <c r="J112" t="s">
        <v>502</v>
      </c>
      <c r="K112">
        <v>85</v>
      </c>
      <c r="L112">
        <v>-1</v>
      </c>
      <c r="M112">
        <v>15</v>
      </c>
      <c r="N112">
        <v>5</v>
      </c>
      <c r="O112">
        <v>2</v>
      </c>
      <c r="P112">
        <v>160</v>
      </c>
      <c r="Q112">
        <v>20</v>
      </c>
      <c r="R112">
        <v>12</v>
      </c>
      <c r="S112">
        <v>1</v>
      </c>
      <c r="T112" t="s">
        <v>357</v>
      </c>
      <c r="U112">
        <v>-4</v>
      </c>
      <c r="V112" s="2" t="s">
        <v>455</v>
      </c>
      <c r="W112" s="2"/>
      <c r="X112" s="2"/>
      <c r="Y112" s="2"/>
      <c r="Z112" s="2"/>
      <c r="AA112" s="2"/>
      <c r="AB112" s="2"/>
      <c r="AC112" s="2"/>
      <c r="AD112" s="2"/>
      <c r="AE112" s="2"/>
      <c r="AM112">
        <v>7</v>
      </c>
      <c r="AP112" s="2">
        <f>(SQRT(K112*R112)*POWER((MIN(M112,20)+SQRT(MAX(M112-20,0))),0.9)*Data!$B$1)*(1-(S112-1))</f>
        <v>27.405863002169326</v>
      </c>
      <c r="AQ112" s="2"/>
      <c r="AR112" s="2">
        <f>((POWER((K112*K112*R112), 0.33)*LOG10(P112)*10*Data!$B$1)*S112)+AQ112</f>
        <v>70.44380358335296</v>
      </c>
      <c r="AS112" s="2">
        <f t="shared" si="35"/>
        <v>68.548387096774192</v>
      </c>
      <c r="AT112" s="2">
        <f t="shared" si="34"/>
        <v>0</v>
      </c>
      <c r="AV112" s="2">
        <v>1</v>
      </c>
      <c r="AW112" s="2">
        <v>1</v>
      </c>
      <c r="AX112" s="2">
        <f t="shared" si="36"/>
        <v>12</v>
      </c>
      <c r="AY112" s="2">
        <f t="shared" si="37"/>
        <v>12</v>
      </c>
      <c r="AZ112" s="3"/>
      <c r="BA112" s="3"/>
      <c r="BB112" s="3"/>
      <c r="BC112" s="2" t="str">
        <f>CONCATENATE(
ROUND(AZ112*VLOOKUP(I112,'ID Scheme'!$A$2:$E$7,3),0), "x",
ROUND(BA112*VLOOKUP(I112,'ID Scheme'!$A$2:$E$7,5),0), "x",
ROUND(BB112*VLOOKUP(I112,'ID Scheme'!$A$2:$E$7,4),0))</f>
        <v>0x0x0</v>
      </c>
    </row>
    <row r="113" spans="1:56" x14ac:dyDescent="0.25">
      <c r="A113" t="s">
        <v>41</v>
      </c>
      <c r="B113" t="s">
        <v>266</v>
      </c>
      <c r="C113" t="s">
        <v>361</v>
      </c>
      <c r="D113">
        <f>IF(E113 &gt; 2020, ((E113-2020)*4)+1610+G113,IF(E113 &gt; 1900, ((E113-1900)*10)+400+G113, ((E113-1730)*2)+G113))+VLOOKUP(I113,'ID Scheme'!$A$2:$B$7,2, FALSE)</f>
        <v>6121</v>
      </c>
      <c r="E113">
        <v>2012</v>
      </c>
      <c r="F113">
        <v>1</v>
      </c>
      <c r="G113">
        <v>1</v>
      </c>
      <c r="H113" t="s">
        <v>523</v>
      </c>
      <c r="I113" t="s">
        <v>14</v>
      </c>
      <c r="J113" t="s">
        <v>502</v>
      </c>
      <c r="K113">
        <v>92</v>
      </c>
      <c r="L113">
        <v>-1</v>
      </c>
      <c r="M113">
        <v>14</v>
      </c>
      <c r="N113">
        <v>5</v>
      </c>
      <c r="O113">
        <v>1.5</v>
      </c>
      <c r="P113">
        <v>125</v>
      </c>
      <c r="Q113">
        <v>20</v>
      </c>
      <c r="R113">
        <v>10</v>
      </c>
      <c r="S113">
        <v>1</v>
      </c>
      <c r="T113" t="s">
        <v>357</v>
      </c>
      <c r="U113">
        <v>-4</v>
      </c>
      <c r="V113" s="2" t="s">
        <v>454</v>
      </c>
      <c r="W113" s="2"/>
      <c r="X113" s="2"/>
      <c r="Y113" s="2"/>
      <c r="Z113" s="2"/>
      <c r="AA113" s="2"/>
      <c r="AB113" s="2"/>
      <c r="AC113" s="2"/>
      <c r="AD113" s="2"/>
      <c r="AE113" s="2"/>
      <c r="AM113">
        <v>6</v>
      </c>
      <c r="AP113" s="2">
        <f>(SQRT(K113*R113)*POWER((MIN(M113,20)+SQRT(MAX(M113-20,0))),0.9)*Data!$B$1)*(1-(S113-1))</f>
        <v>24.460786058466841</v>
      </c>
      <c r="AQ113" s="2"/>
      <c r="AR113" s="2">
        <f>((POWER((K113*K113*R113), 0.33)*LOG10(P113)*10*Data!$B$1)*S113)+AQ113</f>
        <v>66.487656097371513</v>
      </c>
      <c r="AS113" s="2">
        <f t="shared" si="35"/>
        <v>74.193548387096769</v>
      </c>
      <c r="AT113" s="2">
        <f t="shared" si="34"/>
        <v>0</v>
      </c>
      <c r="AV113" s="2">
        <v>1</v>
      </c>
      <c r="AW113" s="2">
        <v>1</v>
      </c>
      <c r="AX113" s="2">
        <f t="shared" si="36"/>
        <v>10</v>
      </c>
      <c r="AY113" s="2">
        <f t="shared" si="37"/>
        <v>10</v>
      </c>
      <c r="AZ113" s="3"/>
      <c r="BA113" s="3"/>
      <c r="BB113" s="3"/>
      <c r="BC113" s="2" t="str">
        <f>CONCATENATE(
ROUND(AZ113*VLOOKUP(I113,'ID Scheme'!$A$2:$E$7,3),0), "x",
ROUND(BA113*VLOOKUP(I113,'ID Scheme'!$A$2:$E$7,5),0), "x",
ROUND(BB113*VLOOKUP(I113,'ID Scheme'!$A$2:$E$7,4),0))</f>
        <v>0x0x0</v>
      </c>
    </row>
    <row r="114" spans="1:56" x14ac:dyDescent="0.25">
      <c r="A114" t="s">
        <v>49</v>
      </c>
      <c r="B114" t="s">
        <v>259</v>
      </c>
      <c r="C114" t="s">
        <v>362</v>
      </c>
      <c r="D114">
        <f>IF(E114 &gt; 2020, ((E114-2020)*4)+1610+G114,IF(E114 &gt; 1900, ((E114-1900)*10)+400+G114, ((E114-1730)*2)+G114))+VLOOKUP(I114,'ID Scheme'!$A$2:$B$7,2, FALSE)</f>
        <v>7581</v>
      </c>
      <c r="E114">
        <v>1958</v>
      </c>
      <c r="F114">
        <v>1</v>
      </c>
      <c r="G114">
        <v>1</v>
      </c>
      <c r="H114" t="s">
        <v>524</v>
      </c>
      <c r="I114" t="s">
        <v>48</v>
      </c>
      <c r="J114" t="s">
        <v>502</v>
      </c>
      <c r="K114">
        <v>75</v>
      </c>
      <c r="L114">
        <v>50</v>
      </c>
      <c r="M114">
        <v>15</v>
      </c>
      <c r="N114">
        <v>5</v>
      </c>
      <c r="O114">
        <v>1.6</v>
      </c>
      <c r="P114">
        <v>68</v>
      </c>
      <c r="Q114">
        <v>10</v>
      </c>
      <c r="R114">
        <v>4</v>
      </c>
      <c r="S114">
        <v>0.95</v>
      </c>
      <c r="T114" t="s">
        <v>357</v>
      </c>
      <c r="U114">
        <v>-4</v>
      </c>
      <c r="V114" s="2" t="s">
        <v>453</v>
      </c>
      <c r="W114" s="2"/>
      <c r="X114" s="2"/>
      <c r="Y114" s="2"/>
      <c r="Z114" s="2"/>
      <c r="AA114" s="2"/>
      <c r="AB114" s="2"/>
      <c r="AC114" s="2"/>
      <c r="AD114" s="2"/>
      <c r="AE114" s="2">
        <v>230</v>
      </c>
      <c r="AM114">
        <v>4</v>
      </c>
      <c r="AP114" s="2">
        <f>(SQRT(K114*R114)*POWER((MIN(M114,20)+SQRT(MAX(M114-20,0))),0.9)*Data!$B$1)*(1-(S114-1))</f>
        <v>15.606061820936905</v>
      </c>
      <c r="AQ114" s="2"/>
      <c r="AR114" s="2">
        <f>((POWER((K114*K114*R114), 0.33)*LOG10(P114)*10*Data!$B$1)*S114)+AQ114</f>
        <v>35.649315485846252</v>
      </c>
      <c r="AS114" s="2">
        <f t="shared" si="35"/>
        <v>60.483870967741936</v>
      </c>
      <c r="AT114" s="2">
        <f t="shared" si="34"/>
        <v>0</v>
      </c>
      <c r="AV114" s="2">
        <v>1</v>
      </c>
      <c r="AW114" s="2">
        <v>1</v>
      </c>
      <c r="AX114" s="2">
        <f t="shared" si="36"/>
        <v>4</v>
      </c>
      <c r="AY114" s="2">
        <f t="shared" si="37"/>
        <v>4</v>
      </c>
      <c r="AZ114" s="3"/>
      <c r="BA114" s="3"/>
      <c r="BB114" s="3"/>
      <c r="BC114" s="2" t="str">
        <f>CONCATENATE(
ROUND(AZ114*VLOOKUP(I114,'ID Scheme'!$A$2:$E$7,3),0), "x",
ROUND(BA114*VLOOKUP(I114,'ID Scheme'!$A$2:$E$7,5),0), "x",
ROUND(BB114*VLOOKUP(I114,'ID Scheme'!$A$2:$E$7,4),0))</f>
        <v>0x0x0</v>
      </c>
      <c r="BD114" t="s">
        <v>55</v>
      </c>
    </row>
    <row r="115" spans="1:56" x14ac:dyDescent="0.25">
      <c r="A115" t="s">
        <v>71</v>
      </c>
      <c r="B115" t="s">
        <v>210</v>
      </c>
      <c r="C115" t="s">
        <v>286</v>
      </c>
      <c r="D115">
        <f>IF(E115 &gt; 2020, ((E115-2020)*4)+1610+G115,IF(E115 &gt; 1900, ((E115-1900)*10)+400+G115, ((E115-1730)*2)+G115))+VLOOKUP(I115,'ID Scheme'!$A$2:$B$7,2, FALSE)</f>
        <v>7741</v>
      </c>
      <c r="E115">
        <v>1974</v>
      </c>
      <c r="F115">
        <v>6</v>
      </c>
      <c r="G115">
        <v>1</v>
      </c>
      <c r="H115" t="s">
        <v>524</v>
      </c>
      <c r="I115" t="s">
        <v>48</v>
      </c>
      <c r="J115" t="s">
        <v>502</v>
      </c>
      <c r="K115">
        <v>63</v>
      </c>
      <c r="L115">
        <v>22</v>
      </c>
      <c r="M115">
        <v>12</v>
      </c>
      <c r="N115">
        <v>5</v>
      </c>
      <c r="O115">
        <v>1.5</v>
      </c>
      <c r="P115">
        <v>55</v>
      </c>
      <c r="Q115">
        <v>20</v>
      </c>
      <c r="R115">
        <v>8</v>
      </c>
      <c r="S115">
        <v>1</v>
      </c>
      <c r="T115" t="s">
        <v>357</v>
      </c>
      <c r="U115">
        <v>-4</v>
      </c>
      <c r="V115" s="2" t="s">
        <v>452</v>
      </c>
      <c r="W115" s="2"/>
      <c r="X115" s="2"/>
      <c r="Y115" s="2"/>
      <c r="Z115" s="2"/>
      <c r="AA115" s="2"/>
      <c r="AB115" s="2"/>
      <c r="AC115" s="2"/>
      <c r="AD115" s="2"/>
      <c r="AE115" s="2"/>
      <c r="AM115">
        <v>5</v>
      </c>
      <c r="AP115" s="2">
        <f>(SQRT(K115*R115)*POWER((MIN(M115,20)+SQRT(MAX(M115-20,0))),0.9)*Data!$B$1)*(1-(S115-1))</f>
        <v>15.759399066413742</v>
      </c>
      <c r="AQ115" s="2"/>
      <c r="AR115" s="2">
        <f>((POWER((K115*K115*R115), 0.33)*LOG10(P115)*10*Data!$B$1)*S115)+AQ115</f>
        <v>39.928728984013709</v>
      </c>
      <c r="AS115" s="2">
        <f t="shared" si="35"/>
        <v>50.806451612903224</v>
      </c>
      <c r="AT115" s="2">
        <f t="shared" si="34"/>
        <v>0</v>
      </c>
      <c r="AV115" s="2">
        <v>1</v>
      </c>
      <c r="AW115" s="2">
        <v>1</v>
      </c>
      <c r="AX115" s="2">
        <f t="shared" si="36"/>
        <v>8</v>
      </c>
      <c r="AY115" s="2">
        <f t="shared" si="37"/>
        <v>8</v>
      </c>
      <c r="BB115" s="3"/>
      <c r="BC115" s="2" t="str">
        <f>CONCATENATE(
ROUND(AZ115*VLOOKUP(I115,'ID Scheme'!$A$2:$E$7,3),0), "x",
ROUND(BA115*VLOOKUP(I115,'ID Scheme'!$A$2:$E$7,5),0), "x",
ROUND(BB115*VLOOKUP(I115,'ID Scheme'!$A$2:$E$7,4),0))</f>
        <v>0x0x0</v>
      </c>
    </row>
    <row r="116" spans="1:56" x14ac:dyDescent="0.25">
      <c r="A116" t="s">
        <v>51</v>
      </c>
      <c r="B116" t="s">
        <v>202</v>
      </c>
      <c r="C116" t="s">
        <v>286</v>
      </c>
      <c r="D116">
        <f>IF(E116 &gt; 2020, ((E116-2020)*4)+1610+G116,IF(E116 &gt; 1900, ((E116-1900)*10)+400+G116, ((E116-1730)*2)+G116))+VLOOKUP(I116,'ID Scheme'!$A$2:$B$7,2, FALSE)</f>
        <v>7761</v>
      </c>
      <c r="E116">
        <v>1976</v>
      </c>
      <c r="F116">
        <v>9</v>
      </c>
      <c r="G116">
        <v>1</v>
      </c>
      <c r="H116" t="s">
        <v>524</v>
      </c>
      <c r="I116" t="s">
        <v>48</v>
      </c>
      <c r="J116" t="s">
        <v>502</v>
      </c>
      <c r="K116">
        <v>90</v>
      </c>
      <c r="L116">
        <v>18</v>
      </c>
      <c r="M116">
        <v>10</v>
      </c>
      <c r="N116">
        <v>4</v>
      </c>
      <c r="O116">
        <v>1.2</v>
      </c>
      <c r="P116">
        <v>73</v>
      </c>
      <c r="Q116">
        <v>20</v>
      </c>
      <c r="R116">
        <v>4</v>
      </c>
      <c r="S116">
        <v>1</v>
      </c>
      <c r="T116" t="s">
        <v>358</v>
      </c>
      <c r="U116">
        <v>-4</v>
      </c>
      <c r="V116" s="2" t="s">
        <v>451</v>
      </c>
      <c r="W116" s="2"/>
      <c r="X116" s="2"/>
      <c r="Y116" s="2"/>
      <c r="Z116" s="2"/>
      <c r="AA116" s="2"/>
      <c r="AB116" s="2"/>
      <c r="AC116" s="2"/>
      <c r="AD116" s="2"/>
      <c r="AE116" s="2">
        <v>275</v>
      </c>
      <c r="AM116">
        <v>5</v>
      </c>
      <c r="AP116" s="2">
        <f>(SQRT(K116*R116)*POWER((MIN(M116,20)+SQRT(MAX(M116-20,0))),0.9)*Data!$B$1)*(1-(S116-1))</f>
        <v>11.303488941793114</v>
      </c>
      <c r="AQ116" s="2"/>
      <c r="AR116" s="2">
        <f>((POWER((K116*K116*R116), 0.33)*LOG10(P116)*10*Data!$B$1)*S116)+AQ116</f>
        <v>43.035735424114051</v>
      </c>
      <c r="AS116" s="2">
        <f t="shared" si="35"/>
        <v>72.58064516129032</v>
      </c>
      <c r="AT116" s="2">
        <f t="shared" si="34"/>
        <v>0</v>
      </c>
      <c r="AV116" s="2">
        <v>1</v>
      </c>
      <c r="AW116" s="2">
        <v>1</v>
      </c>
      <c r="AX116" s="2">
        <f t="shared" si="36"/>
        <v>4</v>
      </c>
      <c r="AY116" s="2">
        <f t="shared" si="37"/>
        <v>4</v>
      </c>
      <c r="AZ116" s="3">
        <v>4.4000000000000004</v>
      </c>
      <c r="BA116" s="3">
        <v>1.8</v>
      </c>
      <c r="BB116" s="3">
        <v>1.5</v>
      </c>
      <c r="BC116" s="2" t="str">
        <f>CONCATENATE(
ROUND(AZ116*VLOOKUP(I116,'ID Scheme'!$A$2:$E$7,3),0), "x",
ROUND(BA116*VLOOKUP(I116,'ID Scheme'!$A$2:$E$7,5),0), "x",
ROUND(BB116*VLOOKUP(I116,'ID Scheme'!$A$2:$E$7,4),0))</f>
        <v>41x26x15</v>
      </c>
    </row>
    <row r="117" spans="1:56" x14ac:dyDescent="0.25">
      <c r="A117" t="s">
        <v>99</v>
      </c>
      <c r="B117" t="s">
        <v>269</v>
      </c>
      <c r="C117" t="s">
        <v>286</v>
      </c>
      <c r="D117">
        <f>IF(E117 &gt; 2020, ((E117-2020)*4)+1610+G117,IF(E117 &gt; 1900, ((E117-1900)*10)+400+G117, ((E117-1730)*2)+G117))+VLOOKUP(I117,'ID Scheme'!$A$2:$B$7,2, FALSE)</f>
        <v>7861</v>
      </c>
      <c r="E117">
        <v>1986</v>
      </c>
      <c r="F117">
        <v>2</v>
      </c>
      <c r="G117">
        <v>1</v>
      </c>
      <c r="H117" t="s">
        <v>524</v>
      </c>
      <c r="I117" t="s">
        <v>48</v>
      </c>
      <c r="J117" t="s">
        <v>502</v>
      </c>
      <c r="K117">
        <v>80</v>
      </c>
      <c r="L117">
        <v>26</v>
      </c>
      <c r="M117">
        <v>14</v>
      </c>
      <c r="N117">
        <v>5</v>
      </c>
      <c r="O117">
        <v>1.5</v>
      </c>
      <c r="P117">
        <v>100</v>
      </c>
      <c r="Q117">
        <v>20</v>
      </c>
      <c r="R117">
        <v>9</v>
      </c>
      <c r="S117">
        <v>1</v>
      </c>
      <c r="T117" t="s">
        <v>357</v>
      </c>
      <c r="U117">
        <v>-4</v>
      </c>
      <c r="V117" s="2" t="s">
        <v>457</v>
      </c>
      <c r="W117" s="2"/>
      <c r="X117" s="2"/>
      <c r="Y117" s="2"/>
      <c r="Z117" s="2"/>
      <c r="AA117" s="2"/>
      <c r="AB117" s="2"/>
      <c r="AC117" s="2"/>
      <c r="AD117" s="2"/>
      <c r="AE117" s="2"/>
      <c r="AM117">
        <v>6</v>
      </c>
      <c r="AP117" s="2">
        <f>(SQRT(K117*R117)*POWER((MIN(M117,20)+SQRT(MAX(M117-20,0))),0.9)*Data!$B$1)*(1-(S117-1))</f>
        <v>21.639276873280725</v>
      </c>
      <c r="AQ117" s="2"/>
      <c r="AR117" s="2">
        <f>((POWER((K117*K117*R117), 0.33)*LOG10(P117)*10*Data!$B$1)*S117)+AQ117</f>
        <v>55.850964649456358</v>
      </c>
      <c r="AS117" s="2">
        <f t="shared" si="35"/>
        <v>64.516129032258064</v>
      </c>
      <c r="AT117" s="2">
        <f t="shared" si="34"/>
        <v>0</v>
      </c>
      <c r="AV117" s="2">
        <v>1</v>
      </c>
      <c r="AW117" s="2">
        <v>1</v>
      </c>
      <c r="AX117" s="2">
        <f t="shared" si="36"/>
        <v>9</v>
      </c>
      <c r="AY117" s="2">
        <f t="shared" si="37"/>
        <v>9</v>
      </c>
      <c r="BB117" s="3"/>
      <c r="BC117" s="2" t="str">
        <f>CONCATENATE(
ROUND(AZ117*VLOOKUP(I117,'ID Scheme'!$A$2:$E$7,3),0), "x",
ROUND(BA117*VLOOKUP(I117,'ID Scheme'!$A$2:$E$7,5),0), "x",
ROUND(BB117*VLOOKUP(I117,'ID Scheme'!$A$2:$E$7,4),0))</f>
        <v>0x0x0</v>
      </c>
    </row>
    <row r="118" spans="1:56" x14ac:dyDescent="0.25">
      <c r="A118" t="s">
        <v>52</v>
      </c>
      <c r="B118" t="s">
        <v>222</v>
      </c>
      <c r="C118" t="s">
        <v>286</v>
      </c>
      <c r="D118">
        <f>IF(E118 &gt; 2020, ((E118-2020)*4)+1610+G118,IF(E118 &gt; 1900, ((E118-1900)*10)+400+G118, ((E118-1730)*2)+G118))+VLOOKUP(I118,'ID Scheme'!$A$2:$B$7,2, FALSE)</f>
        <v>7941</v>
      </c>
      <c r="E118">
        <v>1994</v>
      </c>
      <c r="F118">
        <v>4</v>
      </c>
      <c r="G118">
        <v>1</v>
      </c>
      <c r="H118" t="s">
        <v>524</v>
      </c>
      <c r="I118" t="s">
        <v>48</v>
      </c>
      <c r="J118" t="s">
        <v>502</v>
      </c>
      <c r="K118">
        <v>120</v>
      </c>
      <c r="L118">
        <v>15</v>
      </c>
      <c r="M118">
        <v>12</v>
      </c>
      <c r="N118">
        <v>4</v>
      </c>
      <c r="O118">
        <v>1.7</v>
      </c>
      <c r="P118">
        <v>168</v>
      </c>
      <c r="Q118">
        <v>20</v>
      </c>
      <c r="R118">
        <v>4</v>
      </c>
      <c r="S118">
        <v>1.05</v>
      </c>
      <c r="T118" t="s">
        <v>358</v>
      </c>
      <c r="U118">
        <v>-4</v>
      </c>
      <c r="V118" s="2" t="s">
        <v>449</v>
      </c>
      <c r="W118" s="2"/>
      <c r="X118" s="2"/>
      <c r="Y118" s="2"/>
      <c r="Z118" s="2"/>
      <c r="AA118" s="2"/>
      <c r="AB118" s="2"/>
      <c r="AC118" s="2"/>
      <c r="AD118" s="2"/>
      <c r="AE118" s="2">
        <v>275</v>
      </c>
      <c r="AM118">
        <v>5</v>
      </c>
      <c r="AP118" s="2">
        <f>(SQRT(K118*R118)*POWER((MIN(M118,20)+SQRT(MAX(M118-20,0))),0.9)*Data!$B$1)*(1-(S118-1))</f>
        <v>14.610618763611306</v>
      </c>
      <c r="AQ118" s="2"/>
      <c r="AR118" s="2">
        <f>((POWER((K118*K118*R118), 0.33)*LOG10(P118)*10*Data!$B$1)*S118)+AQ118</f>
        <v>65.249976764583593</v>
      </c>
      <c r="AS118" s="2">
        <f t="shared" si="35"/>
        <v>96.774193548387103</v>
      </c>
      <c r="AT118" s="2">
        <f t="shared" si="34"/>
        <v>0</v>
      </c>
      <c r="AV118" s="2">
        <v>1</v>
      </c>
      <c r="AW118" s="2">
        <v>1</v>
      </c>
      <c r="AX118" s="2">
        <f t="shared" si="36"/>
        <v>4</v>
      </c>
      <c r="AY118" s="2">
        <f t="shared" si="37"/>
        <v>4</v>
      </c>
      <c r="AZ118" s="3">
        <v>5</v>
      </c>
      <c r="BA118" s="3">
        <v>2</v>
      </c>
      <c r="BB118" s="3">
        <v>1.5</v>
      </c>
      <c r="BC118" s="2" t="str">
        <f>CONCATENATE(
ROUND(AZ118*VLOOKUP(I118,'ID Scheme'!$A$2:$E$7,3),0), "x",
ROUND(BA118*VLOOKUP(I118,'ID Scheme'!$A$2:$E$7,5),0), "x",
ROUND(BB118*VLOOKUP(I118,'ID Scheme'!$A$2:$E$7,4),0))</f>
        <v>47x29x15</v>
      </c>
    </row>
    <row r="119" spans="1:56" x14ac:dyDescent="0.25">
      <c r="A119" t="s">
        <v>50</v>
      </c>
      <c r="B119" t="s">
        <v>212</v>
      </c>
      <c r="C119" t="s">
        <v>362</v>
      </c>
      <c r="D119">
        <f>IF(E119 &gt; 2020, ((E119-2020)*4)+1610+G119,IF(E119 &gt; 1900, ((E119-1900)*10)+400+G119, ((E119-1730)*2)+G119))+VLOOKUP(I119,'ID Scheme'!$A$2:$B$7,2, FALSE)</f>
        <v>7971</v>
      </c>
      <c r="E119">
        <v>1997</v>
      </c>
      <c r="F119">
        <v>1</v>
      </c>
      <c r="G119">
        <v>1</v>
      </c>
      <c r="H119" t="s">
        <v>524</v>
      </c>
      <c r="I119" t="s">
        <v>48</v>
      </c>
      <c r="J119" t="s">
        <v>502</v>
      </c>
      <c r="K119">
        <v>81</v>
      </c>
      <c r="L119">
        <v>-1</v>
      </c>
      <c r="M119">
        <v>15</v>
      </c>
      <c r="N119">
        <v>5</v>
      </c>
      <c r="O119">
        <v>1.8</v>
      </c>
      <c r="P119">
        <v>88</v>
      </c>
      <c r="Q119">
        <v>12</v>
      </c>
      <c r="R119">
        <v>5</v>
      </c>
      <c r="S119">
        <v>0.95</v>
      </c>
      <c r="T119" t="s">
        <v>357</v>
      </c>
      <c r="U119">
        <v>-4</v>
      </c>
      <c r="V119" s="2" t="s">
        <v>448</v>
      </c>
      <c r="W119" s="2"/>
      <c r="X119" s="2"/>
      <c r="Y119" s="2"/>
      <c r="Z119" s="2"/>
      <c r="AA119" s="2"/>
      <c r="AB119" s="2"/>
      <c r="AC119" s="2"/>
      <c r="AD119" s="2"/>
      <c r="AE119" s="2">
        <v>230</v>
      </c>
      <c r="AM119">
        <v>4</v>
      </c>
      <c r="AP119" s="2">
        <f>(SQRT(K119*R119)*POWER((MIN(M119,20)+SQRT(MAX(M119-20,0))),0.9)*Data!$B$1)*(1-(S119-1))</f>
        <v>18.132605259711607</v>
      </c>
      <c r="AQ119" s="2"/>
      <c r="AR119" s="2">
        <f>((POWER((K119*K119*R119), 0.33)*LOG10(P119)*10*Data!$B$1)*S119)+AQ119</f>
        <v>42.839970188987628</v>
      </c>
      <c r="AS119" s="2">
        <f t="shared" si="35"/>
        <v>65.322580645161295</v>
      </c>
      <c r="AT119" s="2">
        <f t="shared" si="34"/>
        <v>0</v>
      </c>
      <c r="AV119" s="2">
        <v>1</v>
      </c>
      <c r="AW119" s="2">
        <v>1</v>
      </c>
      <c r="AX119" s="2">
        <f t="shared" si="36"/>
        <v>5</v>
      </c>
      <c r="AY119" s="2">
        <f t="shared" si="37"/>
        <v>5</v>
      </c>
      <c r="AZ119" s="3"/>
      <c r="BA119" s="3"/>
      <c r="BB119" s="3"/>
      <c r="BC119" s="2" t="str">
        <f>CONCATENATE(
ROUND(AZ119*VLOOKUP(I119,'ID Scheme'!$A$2:$E$7,3),0), "x",
ROUND(BA119*VLOOKUP(I119,'ID Scheme'!$A$2:$E$7,5),0), "x",
ROUND(BB119*VLOOKUP(I119,'ID Scheme'!$A$2:$E$7,4),0))</f>
        <v>0x0x0</v>
      </c>
      <c r="BD119" t="s">
        <v>56</v>
      </c>
    </row>
    <row r="120" spans="1:56" x14ac:dyDescent="0.25">
      <c r="A120" t="s">
        <v>54</v>
      </c>
      <c r="B120" t="s">
        <v>271</v>
      </c>
      <c r="C120" t="s">
        <v>286</v>
      </c>
      <c r="D120">
        <f>IF(E120 &gt; 2020, ((E120-2020)*4)+1610+G120,IF(E120 &gt; 1900, ((E120-1900)*10)+400+G120, ((E120-1730)*2)+G120))+VLOOKUP(I120,'ID Scheme'!$A$2:$B$7,2, FALSE)</f>
        <v>8041</v>
      </c>
      <c r="E120">
        <v>2004</v>
      </c>
      <c r="F120">
        <v>2</v>
      </c>
      <c r="G120">
        <v>1</v>
      </c>
      <c r="H120" t="s">
        <v>525</v>
      </c>
      <c r="I120" t="s">
        <v>48</v>
      </c>
      <c r="J120" t="s">
        <v>502</v>
      </c>
      <c r="K120">
        <v>145</v>
      </c>
      <c r="L120">
        <v>10</v>
      </c>
      <c r="M120">
        <v>14</v>
      </c>
      <c r="N120">
        <v>4</v>
      </c>
      <c r="O120">
        <v>1.5</v>
      </c>
      <c r="P120">
        <v>217</v>
      </c>
      <c r="Q120">
        <v>16</v>
      </c>
      <c r="R120">
        <v>4</v>
      </c>
      <c r="S120">
        <v>1</v>
      </c>
      <c r="T120" t="s">
        <v>359</v>
      </c>
      <c r="U120">
        <v>-4</v>
      </c>
      <c r="V120" s="2" t="s">
        <v>446</v>
      </c>
      <c r="W120" s="2"/>
      <c r="X120" s="2"/>
      <c r="Y120" s="2"/>
      <c r="Z120" s="2"/>
      <c r="AA120" s="2"/>
      <c r="AB120" s="2"/>
      <c r="AC120" s="2"/>
      <c r="AD120" s="2"/>
      <c r="AE120" s="2">
        <v>295</v>
      </c>
      <c r="AM120">
        <v>5</v>
      </c>
      <c r="AP120" s="2">
        <f>(SQRT(K120*R120)*POWER((MIN(M120,20)+SQRT(MAX(M120-20,0))),0.9)*Data!$B$1)*(1-(S120-1))</f>
        <v>19.421845378305154</v>
      </c>
      <c r="AQ120" s="2"/>
      <c r="AR120" s="2">
        <f>((POWER((K120*K120*R120), 0.33)*LOG10(P120)*10*Data!$B$1)*S120)+AQ120</f>
        <v>73.926857052811044</v>
      </c>
      <c r="AS120" s="2">
        <f t="shared" si="35"/>
        <v>116.93548387096774</v>
      </c>
      <c r="AT120" s="2">
        <f t="shared" si="34"/>
        <v>0</v>
      </c>
      <c r="AV120" s="2">
        <v>1</v>
      </c>
      <c r="AW120" s="2">
        <v>1</v>
      </c>
      <c r="AX120" s="2">
        <f t="shared" si="36"/>
        <v>4</v>
      </c>
      <c r="AY120" s="2">
        <f t="shared" si="37"/>
        <v>4</v>
      </c>
      <c r="AZ120" s="3"/>
      <c r="BA120" s="3"/>
      <c r="BB120" s="3"/>
      <c r="BC120" s="2" t="str">
        <f>CONCATENATE(
ROUND(AZ120*VLOOKUP(I120,'ID Scheme'!$A$2:$E$7,3),0), "x",
ROUND(BA120*VLOOKUP(I120,'ID Scheme'!$A$2:$E$7,5),0), "x",
ROUND(BB120*VLOOKUP(I120,'ID Scheme'!$A$2:$E$7,4),0))</f>
        <v>0x0x0</v>
      </c>
    </row>
    <row r="121" spans="1:56" x14ac:dyDescent="0.25">
      <c r="A121" t="s">
        <v>53</v>
      </c>
      <c r="B121" t="s">
        <v>221</v>
      </c>
      <c r="C121" t="s">
        <v>286</v>
      </c>
      <c r="D121">
        <f>IF(E121 &gt; 2020, ((E121-2020)*4)+1610+G121,IF(E121 &gt; 1900, ((E121-1900)*10)+400+G121, ((E121-1730)*2)+G121))+VLOOKUP(I121,'ID Scheme'!$A$2:$B$7,2, FALSE)</f>
        <v>8091</v>
      </c>
      <c r="E121">
        <v>2009</v>
      </c>
      <c r="F121">
        <v>1</v>
      </c>
      <c r="G121">
        <v>1</v>
      </c>
      <c r="H121" t="s">
        <v>524</v>
      </c>
      <c r="I121" t="s">
        <v>48</v>
      </c>
      <c r="J121" t="s">
        <v>502</v>
      </c>
      <c r="K121">
        <v>105</v>
      </c>
      <c r="L121">
        <v>-1</v>
      </c>
      <c r="M121">
        <v>12</v>
      </c>
      <c r="N121">
        <v>4</v>
      </c>
      <c r="O121">
        <v>1.5</v>
      </c>
      <c r="P121">
        <v>134</v>
      </c>
      <c r="Q121">
        <v>20</v>
      </c>
      <c r="R121">
        <v>4</v>
      </c>
      <c r="S121">
        <v>0.85</v>
      </c>
      <c r="T121" t="s">
        <v>358</v>
      </c>
      <c r="U121">
        <v>-4</v>
      </c>
      <c r="V121" s="2" t="s">
        <v>445</v>
      </c>
      <c r="W121" s="2"/>
      <c r="X121" s="2"/>
      <c r="Y121" s="2"/>
      <c r="Z121" s="2"/>
      <c r="AA121" s="2"/>
      <c r="AB121" s="2"/>
      <c r="AC121" s="2"/>
      <c r="AD121" s="2"/>
      <c r="AE121" s="2">
        <v>275</v>
      </c>
      <c r="AM121">
        <v>5</v>
      </c>
      <c r="AP121" s="2">
        <f>(SQRT(K121*R121)*POWER((MIN(M121,20)+SQRT(MAX(M121-20,0))),0.9)*Data!$B$1)*(1-(S121-1))</f>
        <v>16.544241859351267</v>
      </c>
      <c r="AQ121" s="2"/>
      <c r="AR121" s="2">
        <f>((POWER((K121*K121*R121), 0.33)*LOG10(P121)*10*Data!$B$1)*S121)+AQ121</f>
        <v>46.231055712636888</v>
      </c>
      <c r="AS121" s="2">
        <f t="shared" si="35"/>
        <v>84.677419354838705</v>
      </c>
      <c r="AT121" s="2">
        <f t="shared" si="34"/>
        <v>0</v>
      </c>
      <c r="AV121" s="2">
        <v>1</v>
      </c>
      <c r="AW121" s="2">
        <v>1</v>
      </c>
      <c r="AX121" s="2">
        <f t="shared" si="36"/>
        <v>4</v>
      </c>
      <c r="AY121" s="2">
        <f t="shared" si="37"/>
        <v>4</v>
      </c>
      <c r="AZ121" s="3"/>
      <c r="BA121" s="3"/>
      <c r="BB121" s="3"/>
      <c r="BC121" s="2" t="str">
        <f>CONCATENATE(
ROUND(AZ121*VLOOKUP(I121,'ID Scheme'!$A$2:$E$7,3),0), "x",
ROUND(BA121*VLOOKUP(I121,'ID Scheme'!$A$2:$E$7,5),0), "x",
ROUND(BB121*VLOOKUP(I121,'ID Scheme'!$A$2:$E$7,4),0))</f>
        <v>0x0x0</v>
      </c>
    </row>
    <row r="122" spans="1:56" x14ac:dyDescent="0.25">
      <c r="A122" t="s">
        <v>100</v>
      </c>
      <c r="B122" t="s">
        <v>270</v>
      </c>
      <c r="C122" t="s">
        <v>286</v>
      </c>
      <c r="D122">
        <f>IF(E122 &gt; 2020, ((E122-2020)*4)+1610+G122,IF(E122 &gt; 1900, ((E122-1900)*10)+400+G122, ((E122-1730)*2)+G122))+VLOOKUP(I122,'ID Scheme'!$A$2:$B$7,2, FALSE)</f>
        <v>8141</v>
      </c>
      <c r="E122">
        <v>2014</v>
      </c>
      <c r="F122">
        <v>1</v>
      </c>
      <c r="G122">
        <v>1</v>
      </c>
      <c r="H122" t="s">
        <v>524</v>
      </c>
      <c r="I122" t="s">
        <v>48</v>
      </c>
      <c r="J122" t="s">
        <v>502</v>
      </c>
      <c r="K122">
        <v>95</v>
      </c>
      <c r="L122">
        <v>-1</v>
      </c>
      <c r="M122">
        <v>12</v>
      </c>
      <c r="N122">
        <v>5</v>
      </c>
      <c r="O122">
        <v>1.5</v>
      </c>
      <c r="P122">
        <v>120</v>
      </c>
      <c r="Q122">
        <v>20</v>
      </c>
      <c r="R122">
        <v>9</v>
      </c>
      <c r="S122">
        <v>1</v>
      </c>
      <c r="T122" t="s">
        <v>358</v>
      </c>
      <c r="U122">
        <v>-4</v>
      </c>
      <c r="V122" s="2" t="s">
        <v>444</v>
      </c>
      <c r="W122" s="2"/>
      <c r="X122" s="2"/>
      <c r="Y122" s="2"/>
      <c r="Z122" s="2"/>
      <c r="AA122" s="2"/>
      <c r="AB122" s="2"/>
      <c r="AC122" s="2"/>
      <c r="AD122" s="2"/>
      <c r="AE122" s="2"/>
      <c r="AM122">
        <v>6</v>
      </c>
      <c r="AP122" s="2">
        <f>(SQRT(K122*R122)*POWER((MIN(M122,20)+SQRT(MAX(M122-20,0))),0.9)*Data!$B$1)*(1-(S122-1))</f>
        <v>20.52614734864143</v>
      </c>
      <c r="AQ122" s="2"/>
      <c r="AR122" s="2">
        <f>((POWER((K122*K122*R122), 0.33)*LOG10(P122)*10*Data!$B$1)*S122)+AQ122</f>
        <v>65.035610325244349</v>
      </c>
      <c r="AS122" s="2">
        <f t="shared" si="35"/>
        <v>76.612903225806448</v>
      </c>
      <c r="AT122" s="2">
        <f t="shared" si="34"/>
        <v>0</v>
      </c>
      <c r="AV122" s="2">
        <v>1</v>
      </c>
      <c r="AW122" s="2">
        <v>1</v>
      </c>
      <c r="AX122" s="2">
        <f t="shared" si="36"/>
        <v>9</v>
      </c>
      <c r="AY122" s="2">
        <f t="shared" si="37"/>
        <v>9</v>
      </c>
      <c r="BB122" s="3"/>
      <c r="BC122" s="2" t="str">
        <f>CONCATENATE(
ROUND(AZ122*VLOOKUP(I122,'ID Scheme'!$A$2:$E$7,3),0), "x",
ROUND(BA122*VLOOKUP(I122,'ID Scheme'!$A$2:$E$7,5),0), "x",
ROUND(BB122*VLOOKUP(I122,'ID Scheme'!$A$2:$E$7,4),0))</f>
        <v>0x0x0</v>
      </c>
    </row>
    <row r="123" spans="1:56" x14ac:dyDescent="0.25">
      <c r="A123" t="s">
        <v>261</v>
      </c>
      <c r="B123" t="s">
        <v>364</v>
      </c>
      <c r="C123" t="s">
        <v>369</v>
      </c>
      <c r="D123">
        <f>IF(E123 &gt; 2020, ((E123-2020)*4)+1610+G123,IF(E123 &gt; 1900, ((E123-1900)*10)+400+G123, ((E123-1730)*2)+G123))+VLOOKUP(I123,'ID Scheme'!$A$2:$B$7,2, FALSE)</f>
        <v>8161</v>
      </c>
      <c r="E123">
        <v>2016</v>
      </c>
      <c r="F123">
        <v>1</v>
      </c>
      <c r="G123">
        <v>1</v>
      </c>
      <c r="H123" t="s">
        <v>525</v>
      </c>
      <c r="I123" t="s">
        <v>48</v>
      </c>
      <c r="J123" t="s">
        <v>502</v>
      </c>
      <c r="K123">
        <v>155</v>
      </c>
      <c r="L123">
        <v>-1</v>
      </c>
      <c r="M123">
        <v>10</v>
      </c>
      <c r="N123">
        <v>4</v>
      </c>
      <c r="O123">
        <v>1.7</v>
      </c>
      <c r="P123">
        <v>310</v>
      </c>
      <c r="Q123">
        <v>22</v>
      </c>
      <c r="R123">
        <v>4</v>
      </c>
      <c r="S123">
        <v>1</v>
      </c>
      <c r="T123" t="s">
        <v>360</v>
      </c>
      <c r="U123">
        <v>-4</v>
      </c>
      <c r="V123" s="2" t="s">
        <v>447</v>
      </c>
      <c r="W123" s="2"/>
      <c r="X123" s="2"/>
      <c r="Y123" s="2"/>
      <c r="Z123" s="2"/>
      <c r="AA123" s="2"/>
      <c r="AB123" s="2"/>
      <c r="AC123" s="2"/>
      <c r="AD123" s="2"/>
      <c r="AE123" s="2">
        <v>335</v>
      </c>
      <c r="AM123">
        <v>5</v>
      </c>
      <c r="AP123" s="2">
        <f>(SQRT(K123*R123)*POWER((MIN(M123,20)+SQRT(MAX(M123-20,0))),0.9)*Data!$B$1)*(1-(S123-1))</f>
        <v>14.833960155247404</v>
      </c>
      <c r="AQ123" s="2"/>
      <c r="AR123" s="2">
        <f>((POWER((K123*K123*R123), 0.33)*LOG10(P123)*10*Data!$B$1)*S123)+AQ123</f>
        <v>82.375253472873595</v>
      </c>
      <c r="AS123" s="2">
        <f t="shared" si="35"/>
        <v>125</v>
      </c>
      <c r="AT123" s="2">
        <f t="shared" si="34"/>
        <v>0</v>
      </c>
      <c r="AV123" s="2">
        <v>1</v>
      </c>
      <c r="AW123" s="2">
        <v>1</v>
      </c>
      <c r="AX123" s="2">
        <f t="shared" si="36"/>
        <v>4</v>
      </c>
      <c r="AY123" s="2">
        <f t="shared" si="37"/>
        <v>4</v>
      </c>
      <c r="AZ123" s="3">
        <v>4.5999999999999996</v>
      </c>
      <c r="BA123" s="3">
        <v>1.8</v>
      </c>
      <c r="BB123" s="3">
        <v>1.4</v>
      </c>
      <c r="BC123" s="2" t="str">
        <f>CONCATENATE(
ROUND(AZ123*VLOOKUP(I123,'ID Scheme'!$A$2:$E$7,3),0), "x",
ROUND(BA123*VLOOKUP(I123,'ID Scheme'!$A$2:$E$7,5),0), "x",
ROUND(BB123*VLOOKUP(I123,'ID Scheme'!$A$2:$E$7,4),0))</f>
        <v>43x26x14</v>
      </c>
    </row>
    <row r="124" spans="1:56" x14ac:dyDescent="0.25">
      <c r="A124" t="s">
        <v>517</v>
      </c>
      <c r="B124" t="s">
        <v>518</v>
      </c>
      <c r="C124" t="s">
        <v>519</v>
      </c>
      <c r="D124">
        <f>IF(E124 &gt; 2020, ((E124-2020)*4)+1610+G124,IF(E124 &gt; 1900, ((E124-1900)*10)+400+G124, ((E124-1730)*2)+G124))+VLOOKUP(I124,'ID Scheme'!$A$2:$B$7,2, FALSE)</f>
        <v>6251</v>
      </c>
      <c r="E124">
        <v>2030</v>
      </c>
      <c r="F124">
        <v>1</v>
      </c>
      <c r="G124">
        <v>1</v>
      </c>
      <c r="H124" t="s">
        <v>525</v>
      </c>
      <c r="I124" t="s">
        <v>14</v>
      </c>
      <c r="J124" t="s">
        <v>502</v>
      </c>
      <c r="K124">
        <v>100</v>
      </c>
      <c r="L124">
        <v>-1</v>
      </c>
      <c r="M124">
        <v>10</v>
      </c>
      <c r="N124">
        <v>4</v>
      </c>
      <c r="O124">
        <v>2</v>
      </c>
      <c r="P124">
        <v>10</v>
      </c>
      <c r="Q124">
        <v>22</v>
      </c>
      <c r="R124">
        <v>1</v>
      </c>
      <c r="S124">
        <v>1</v>
      </c>
      <c r="T124" t="s">
        <v>288</v>
      </c>
      <c r="U124">
        <v>-4</v>
      </c>
      <c r="V124" s="2" t="s">
        <v>520</v>
      </c>
      <c r="W124" s="2"/>
      <c r="X124" s="2"/>
      <c r="Y124" s="2"/>
      <c r="Z124" s="2"/>
      <c r="AA124" s="2"/>
      <c r="AB124" s="2"/>
      <c r="AC124" s="2"/>
      <c r="AD124" s="2"/>
      <c r="AE124" s="2">
        <v>275</v>
      </c>
      <c r="AM124">
        <v>7</v>
      </c>
      <c r="AP124" s="2">
        <f>(SQRT(K124*R124)*POWER((MIN(M124,20)+SQRT(MAX(M124-20,0))),0.9)*Data!$B$1)*(1-(S124-1))</f>
        <v>5.9574617604321123</v>
      </c>
      <c r="AQ124" s="2">
        <v>-15</v>
      </c>
      <c r="AR124" s="2">
        <f>((POWER((K124*K124*R124), 0.33)*LOG10(P124)*10*Data!$B$1)*S124)+AQ124</f>
        <v>0.66972098140530001</v>
      </c>
      <c r="AS124" s="2">
        <f t="shared" si="35"/>
        <v>80.645161290322577</v>
      </c>
      <c r="AT124" s="2">
        <f t="shared" ref="AT124" si="38">AF124/1.24</f>
        <v>0</v>
      </c>
      <c r="AV124" s="2">
        <v>1</v>
      </c>
      <c r="AW124" s="2">
        <v>1</v>
      </c>
      <c r="AX124" s="2">
        <f t="shared" si="36"/>
        <v>1</v>
      </c>
      <c r="AY124" s="2">
        <f t="shared" si="37"/>
        <v>1</v>
      </c>
      <c r="AZ124" s="3">
        <v>4.5999999999999996</v>
      </c>
      <c r="BA124" s="3">
        <v>1.8</v>
      </c>
      <c r="BB124" s="3">
        <v>1.4</v>
      </c>
      <c r="BC124" s="2" t="str">
        <f>CONCATENATE(
ROUND(AZ124*VLOOKUP(I124,'ID Scheme'!$A$2:$E$7,3),0), "x",
ROUND(BA124*VLOOKUP(I124,'ID Scheme'!$A$2:$E$7,5),0), "x",
ROUND(BB124*VLOOKUP(I124,'ID Scheme'!$A$2:$E$7,4),0))</f>
        <v>43x26x14</v>
      </c>
    </row>
    <row r="125" spans="1:56" x14ac:dyDescent="0.25">
      <c r="A125" t="s">
        <v>105</v>
      </c>
      <c r="B125" t="s">
        <v>203</v>
      </c>
      <c r="C125" t="s">
        <v>325</v>
      </c>
      <c r="D125">
        <f>IF(E125 &gt; 2020, ((E125-2020)*4)+1610+G125,IF(E125 &gt; 1900, ((E125-1900)*10)+400+G125, ((E125-1730)*2)+G125))+VLOOKUP(I125,'ID Scheme'!$A$2:$B$7,2, FALSE)</f>
        <v>8861</v>
      </c>
      <c r="E125">
        <v>1860</v>
      </c>
      <c r="F125">
        <v>1</v>
      </c>
      <c r="G125">
        <v>1</v>
      </c>
      <c r="H125" t="s">
        <v>522</v>
      </c>
      <c r="I125" t="s">
        <v>104</v>
      </c>
      <c r="J125" t="s">
        <v>503</v>
      </c>
      <c r="K125">
        <v>18</v>
      </c>
      <c r="L125">
        <v>50</v>
      </c>
      <c r="M125">
        <v>35</v>
      </c>
      <c r="N125">
        <v>9</v>
      </c>
      <c r="O125">
        <v>8</v>
      </c>
      <c r="P125">
        <v>15</v>
      </c>
      <c r="Q125">
        <v>20</v>
      </c>
      <c r="R125">
        <v>24</v>
      </c>
      <c r="S125">
        <v>1</v>
      </c>
      <c r="T125" t="s">
        <v>288</v>
      </c>
      <c r="U125">
        <v>0</v>
      </c>
      <c r="V125" s="2" t="s">
        <v>437</v>
      </c>
      <c r="W125" s="2"/>
      <c r="X125" s="2"/>
      <c r="Y125" s="2"/>
      <c r="Z125" s="2"/>
      <c r="AA125" s="2"/>
      <c r="AB125" s="2"/>
      <c r="AC125" s="2"/>
      <c r="AD125" s="2"/>
      <c r="AE125" s="2"/>
      <c r="AG125" t="s">
        <v>407</v>
      </c>
      <c r="AI125" t="s">
        <v>489</v>
      </c>
      <c r="AJ125" t="s">
        <v>407</v>
      </c>
      <c r="AK125" t="s">
        <v>408</v>
      </c>
      <c r="AL125" t="s">
        <v>562</v>
      </c>
      <c r="AM125">
        <v>4</v>
      </c>
      <c r="AN125">
        <v>1</v>
      </c>
      <c r="AO125" t="s">
        <v>277</v>
      </c>
      <c r="AP125" s="2">
        <f>(SQRT(K125*R125)*POWER((MIN(M125,20)+SQRT(MAX(M125-20,0))),0.9)*Data!$B$1)*(1-(S125-1))</f>
        <v>27.096872159029786</v>
      </c>
      <c r="AQ125" s="2"/>
      <c r="AR125" s="2">
        <f>((POWER((K125*K125*R125), 0.33)*LOG10(P125)*10*Data!$B$1)*S125)+AQ125</f>
        <v>16.961015410572251</v>
      </c>
      <c r="AS125" s="2">
        <f t="shared" si="35"/>
        <v>14.516129032258064</v>
      </c>
      <c r="AT125" s="2">
        <f t="shared" si="34"/>
        <v>0</v>
      </c>
      <c r="AV125" s="2">
        <v>1</v>
      </c>
      <c r="AW125" s="2">
        <v>1</v>
      </c>
      <c r="AX125" s="2">
        <f t="shared" si="36"/>
        <v>24</v>
      </c>
      <c r="AY125" s="2">
        <f t="shared" si="37"/>
        <v>24</v>
      </c>
      <c r="BB125" s="3"/>
      <c r="BC125" s="2" t="str">
        <f>CONCATENATE(
ROUND(AZ125*VLOOKUP(I125,'ID Scheme'!$A$2:$E$7,3),0), "x",
ROUND(BA125*VLOOKUP(I125,'ID Scheme'!$A$2:$E$7,5),0), "x",
ROUND(BB125*VLOOKUP(I125,'ID Scheme'!$A$2:$E$7,4),0))</f>
        <v>0x0x0</v>
      </c>
    </row>
    <row r="126" spans="1:56" x14ac:dyDescent="0.25">
      <c r="A126" t="s">
        <v>106</v>
      </c>
      <c r="B126" t="s">
        <v>251</v>
      </c>
      <c r="C126" t="s">
        <v>292</v>
      </c>
      <c r="D126">
        <f>IF(E126 &gt; 2020, ((E126-2020)*4)+1610+G126,IF(E126 &gt; 1900, ((E126-1900)*10)+400+G126, ((E126-1730)*2)+G126))+VLOOKUP(I126,'ID Scheme'!$A$2:$B$7,2, FALSE)</f>
        <v>8887</v>
      </c>
      <c r="E126">
        <v>1873</v>
      </c>
      <c r="F126">
        <v>1</v>
      </c>
      <c r="G126">
        <v>1</v>
      </c>
      <c r="H126" t="s">
        <v>522</v>
      </c>
      <c r="I126" t="s">
        <v>104</v>
      </c>
      <c r="J126" t="s">
        <v>503</v>
      </c>
      <c r="K126">
        <v>20</v>
      </c>
      <c r="L126">
        <v>30</v>
      </c>
      <c r="M126">
        <v>30</v>
      </c>
      <c r="N126">
        <v>9</v>
      </c>
      <c r="O126">
        <v>9</v>
      </c>
      <c r="P126">
        <v>30</v>
      </c>
      <c r="Q126">
        <v>18</v>
      </c>
      <c r="R126">
        <v>50</v>
      </c>
      <c r="S126">
        <v>1</v>
      </c>
      <c r="T126" t="s">
        <v>289</v>
      </c>
      <c r="U126">
        <v>0</v>
      </c>
      <c r="V126" s="2" t="s">
        <v>424</v>
      </c>
      <c r="W126" s="2"/>
      <c r="X126" s="2"/>
      <c r="Y126" s="2"/>
      <c r="Z126" s="2"/>
      <c r="AA126" s="2"/>
      <c r="AB126" s="2"/>
      <c r="AC126" s="2"/>
      <c r="AD126" s="2"/>
      <c r="AE126" s="2"/>
      <c r="AM126">
        <v>8</v>
      </c>
      <c r="AN126">
        <v>1</v>
      </c>
      <c r="AP126" s="2">
        <f>(SQRT(K126*R126)*POWER((MIN(M126,20)+SQRT(MAX(M126-20,0))),0.9)*Data!$B$1)*(1-(S126-1))</f>
        <v>40.120321127543804</v>
      </c>
      <c r="AQ126" s="2"/>
      <c r="AR126" s="2">
        <f>((POWER((K126*K126*R126), 0.33)*LOG10(P126)*10*Data!$B$1)*S126)+AQ126</f>
        <v>29.094929509594969</v>
      </c>
      <c r="AS126" s="2">
        <f t="shared" si="35"/>
        <v>16.129032258064516</v>
      </c>
      <c r="AT126" s="2">
        <f t="shared" si="34"/>
        <v>0</v>
      </c>
      <c r="AV126" s="2">
        <v>1</v>
      </c>
      <c r="AW126" s="2">
        <v>1</v>
      </c>
      <c r="AX126" s="2">
        <f t="shared" si="36"/>
        <v>50</v>
      </c>
      <c r="AY126" s="2">
        <f t="shared" si="37"/>
        <v>50</v>
      </c>
      <c r="BB126" s="3"/>
      <c r="BC126" s="2" t="str">
        <f>CONCATENATE(
ROUND(AZ126*VLOOKUP(I126,'ID Scheme'!$A$2:$E$7,3),0), "x",
ROUND(BA126*VLOOKUP(I126,'ID Scheme'!$A$2:$E$7,5),0), "x",
ROUND(BB126*VLOOKUP(I126,'ID Scheme'!$A$2:$E$7,4),0))</f>
        <v>0x0x0</v>
      </c>
    </row>
    <row r="127" spans="1:56" x14ac:dyDescent="0.25">
      <c r="A127" t="s">
        <v>108</v>
      </c>
      <c r="B127" t="s">
        <v>244</v>
      </c>
      <c r="C127" t="s">
        <v>292</v>
      </c>
      <c r="D127">
        <f>IF(E127 &gt; 2020, ((E127-2020)*4)+1610+G127,IF(E127 &gt; 1900, ((E127-1900)*10)+400+G127, ((E127-1730)*2)+G127))+VLOOKUP(I127,'ID Scheme'!$A$2:$B$7,2, FALSE)</f>
        <v>8911</v>
      </c>
      <c r="E127">
        <v>1885</v>
      </c>
      <c r="F127">
        <v>1</v>
      </c>
      <c r="G127">
        <v>1</v>
      </c>
      <c r="H127" t="s">
        <v>522</v>
      </c>
      <c r="I127" t="s">
        <v>104</v>
      </c>
      <c r="J127" t="s">
        <v>504</v>
      </c>
      <c r="K127">
        <v>21</v>
      </c>
      <c r="L127">
        <v>35</v>
      </c>
      <c r="M127">
        <v>30</v>
      </c>
      <c r="N127">
        <v>8</v>
      </c>
      <c r="O127">
        <v>7</v>
      </c>
      <c r="P127">
        <v>20</v>
      </c>
      <c r="Q127">
        <v>20</v>
      </c>
      <c r="R127">
        <v>32</v>
      </c>
      <c r="S127">
        <v>1</v>
      </c>
      <c r="T127" t="s">
        <v>366</v>
      </c>
      <c r="U127">
        <v>0</v>
      </c>
      <c r="V127" s="2" t="s">
        <v>436</v>
      </c>
      <c r="W127" s="2"/>
      <c r="X127" s="2"/>
      <c r="Y127" s="2"/>
      <c r="Z127" s="2"/>
      <c r="AA127" s="2"/>
      <c r="AB127" s="2"/>
      <c r="AC127" s="2"/>
      <c r="AD127" s="2"/>
      <c r="AE127" s="2"/>
      <c r="AM127">
        <v>8</v>
      </c>
      <c r="AN127">
        <v>1</v>
      </c>
      <c r="AP127" s="2">
        <f>(SQRT(K127*R127)*POWER((MIN(M127,20)+SQRT(MAX(M127-20,0))),0.9)*Data!$B$1)*(1-(S127-1))</f>
        <v>32.8888764246744</v>
      </c>
      <c r="AQ127" s="2"/>
      <c r="AR127" s="2">
        <f>((POWER((K127*K127*R127), 0.33)*LOG10(P127)*10*Data!$B$1)*S127)+AQ127</f>
        <v>22.84087832220764</v>
      </c>
      <c r="AS127" s="2">
        <f t="shared" si="35"/>
        <v>16.935483870967744</v>
      </c>
      <c r="AT127" s="2">
        <f t="shared" si="34"/>
        <v>0</v>
      </c>
      <c r="AV127" s="2">
        <v>1</v>
      </c>
      <c r="AW127" s="2">
        <v>1</v>
      </c>
      <c r="AX127" s="2">
        <f t="shared" si="36"/>
        <v>32</v>
      </c>
      <c r="AY127" s="2">
        <f t="shared" si="37"/>
        <v>32</v>
      </c>
      <c r="BB127" s="3"/>
      <c r="BC127" s="2" t="str">
        <f>CONCATENATE(
ROUND(AZ127*VLOOKUP(I127,'ID Scheme'!$A$2:$E$7,3),0), "x",
ROUND(BA127*VLOOKUP(I127,'ID Scheme'!$A$2:$E$7,5),0), "x",
ROUND(BB127*VLOOKUP(I127,'ID Scheme'!$A$2:$E$7,4),0))</f>
        <v>0x0x0</v>
      </c>
      <c r="BD127" t="s">
        <v>124</v>
      </c>
    </row>
    <row r="128" spans="1:56" x14ac:dyDescent="0.25">
      <c r="A128" t="s">
        <v>131</v>
      </c>
      <c r="B128" t="s">
        <v>250</v>
      </c>
      <c r="C128" t="s">
        <v>286</v>
      </c>
      <c r="D128">
        <f>IF(E128 &gt; 2020, ((E128-2020)*4)+1610+G128,IF(E128 &gt; 1900, ((E128-1900)*10)+400+G128, ((E128-1730)*2)+G128))+VLOOKUP(I128,'ID Scheme'!$A$2:$B$7,2, FALSE)</f>
        <v>8927</v>
      </c>
      <c r="E128">
        <v>1893</v>
      </c>
      <c r="F128">
        <v>3</v>
      </c>
      <c r="G128">
        <v>1</v>
      </c>
      <c r="H128" t="s">
        <v>522</v>
      </c>
      <c r="I128" t="s">
        <v>104</v>
      </c>
      <c r="J128" t="s">
        <v>504</v>
      </c>
      <c r="K128">
        <v>22</v>
      </c>
      <c r="L128">
        <v>35</v>
      </c>
      <c r="M128">
        <v>75</v>
      </c>
      <c r="N128">
        <v>9</v>
      </c>
      <c r="O128">
        <v>7.5</v>
      </c>
      <c r="P128">
        <v>50</v>
      </c>
      <c r="Q128">
        <v>20</v>
      </c>
      <c r="R128">
        <v>42</v>
      </c>
      <c r="S128">
        <v>1</v>
      </c>
      <c r="T128" t="s">
        <v>366</v>
      </c>
      <c r="U128">
        <v>0</v>
      </c>
      <c r="V128" s="2" t="s">
        <v>412</v>
      </c>
      <c r="W128" s="2"/>
      <c r="X128" s="2"/>
      <c r="Y128" s="2"/>
      <c r="Z128" s="2"/>
      <c r="AA128" s="2"/>
      <c r="AB128" s="2"/>
      <c r="AC128" s="2"/>
      <c r="AD128" s="2"/>
      <c r="AE128" s="2"/>
      <c r="AM128">
        <v>8</v>
      </c>
      <c r="AN128">
        <v>1</v>
      </c>
      <c r="AP128" s="2">
        <f>(SQRT(K128*R128)*POWER((MIN(M128,20)+SQRT(MAX(M128-20,0))),0.9)*Data!$B$1)*(1-(S128-1))</f>
        <v>44.885261640010725</v>
      </c>
      <c r="AQ128" s="2"/>
      <c r="AR128" s="2">
        <f>((POWER((K128*K128*R128), 0.33)*LOG10(P128)*10*Data!$B$1)*S128)+AQ128</f>
        <v>33.644820060239276</v>
      </c>
      <c r="AS128" s="2">
        <f t="shared" si="35"/>
        <v>17.741935483870968</v>
      </c>
      <c r="AT128" s="2">
        <f t="shared" si="34"/>
        <v>0</v>
      </c>
      <c r="AV128" s="2">
        <v>1</v>
      </c>
      <c r="AW128" s="2">
        <v>1</v>
      </c>
      <c r="AX128" s="2">
        <f t="shared" si="36"/>
        <v>42</v>
      </c>
      <c r="AY128" s="2">
        <f t="shared" si="37"/>
        <v>42</v>
      </c>
      <c r="BB128" s="3"/>
      <c r="BC128" s="2" t="str">
        <f>CONCATENATE(
ROUND(AZ128*VLOOKUP(I128,'ID Scheme'!$A$2:$E$7,3),0), "x",
ROUND(BA128*VLOOKUP(I128,'ID Scheme'!$A$2:$E$7,5),0), "x",
ROUND(BB128*VLOOKUP(I128,'ID Scheme'!$A$2:$E$7,4),0))</f>
        <v>0x0x0</v>
      </c>
      <c r="BD128" t="s">
        <v>130</v>
      </c>
    </row>
    <row r="129" spans="1:56" x14ac:dyDescent="0.25">
      <c r="A129" t="s">
        <v>116</v>
      </c>
      <c r="B129" t="s">
        <v>253</v>
      </c>
      <c r="C129" t="s">
        <v>286</v>
      </c>
      <c r="D129">
        <f>IF(E129 &gt; 2020, ((E129-2020)*4)+1610+G129,IF(E129 &gt; 1900, ((E129-1900)*10)+400+G129, ((E129-1730)*2)+G129))+VLOOKUP(I129,'ID Scheme'!$A$2:$B$7,2, FALSE)</f>
        <v>8929</v>
      </c>
      <c r="E129">
        <v>1894</v>
      </c>
      <c r="F129">
        <v>6</v>
      </c>
      <c r="G129">
        <v>1</v>
      </c>
      <c r="H129" t="s">
        <v>522</v>
      </c>
      <c r="I129" t="s">
        <v>104</v>
      </c>
      <c r="J129" t="s">
        <v>504</v>
      </c>
      <c r="K129">
        <v>22</v>
      </c>
      <c r="L129">
        <v>35</v>
      </c>
      <c r="M129">
        <v>75</v>
      </c>
      <c r="N129">
        <v>9</v>
      </c>
      <c r="O129">
        <v>7</v>
      </c>
      <c r="P129">
        <v>80</v>
      </c>
      <c r="Q129">
        <v>20</v>
      </c>
      <c r="R129">
        <v>36</v>
      </c>
      <c r="S129">
        <v>1</v>
      </c>
      <c r="T129" t="s">
        <v>366</v>
      </c>
      <c r="U129">
        <v>0</v>
      </c>
      <c r="V129" s="2" t="s">
        <v>413</v>
      </c>
      <c r="W129" s="2"/>
      <c r="X129" s="2"/>
      <c r="Y129" s="2"/>
      <c r="Z129" s="2"/>
      <c r="AA129" s="2"/>
      <c r="AB129" s="2"/>
      <c r="AC129" s="2"/>
      <c r="AD129" s="2"/>
      <c r="AE129" s="2"/>
      <c r="AM129">
        <v>8</v>
      </c>
      <c r="AN129">
        <v>1</v>
      </c>
      <c r="AP129" s="2">
        <f>(SQRT(K129*R129)*POWER((MIN(M129,20)+SQRT(MAX(M129-20,0))),0.9)*Data!$B$1)*(1-(S129-1))</f>
        <v>41.555677409871805</v>
      </c>
      <c r="AQ129" s="2"/>
      <c r="AR129" s="2">
        <f>((POWER((K129*K129*R129), 0.33)*LOG10(P129)*10*Data!$B$1)*S129)+AQ129</f>
        <v>35.817839185344354</v>
      </c>
      <c r="AS129" s="2">
        <f t="shared" si="35"/>
        <v>17.741935483870968</v>
      </c>
      <c r="AT129" s="2">
        <f t="shared" si="34"/>
        <v>0</v>
      </c>
      <c r="AV129" s="2">
        <v>1</v>
      </c>
      <c r="AW129" s="2">
        <v>1</v>
      </c>
      <c r="AX129" s="2">
        <f t="shared" si="36"/>
        <v>36</v>
      </c>
      <c r="AY129" s="2">
        <f t="shared" si="37"/>
        <v>36</v>
      </c>
      <c r="BB129" s="3"/>
      <c r="BC129" s="2" t="str">
        <f>CONCATENATE(
ROUND(AZ129*VLOOKUP(I129,'ID Scheme'!$A$2:$E$7,3),0), "x",
ROUND(BA129*VLOOKUP(I129,'ID Scheme'!$A$2:$E$7,5),0), "x",
ROUND(BB129*VLOOKUP(I129,'ID Scheme'!$A$2:$E$7,4),0))</f>
        <v>0x0x0</v>
      </c>
      <c r="BD129" t="s">
        <v>118</v>
      </c>
    </row>
    <row r="130" spans="1:56" x14ac:dyDescent="0.25">
      <c r="A130" t="s">
        <v>111</v>
      </c>
      <c r="B130" t="s">
        <v>248</v>
      </c>
      <c r="C130" t="s">
        <v>286</v>
      </c>
      <c r="D130">
        <f>IF(E130 &gt; 2020, ((E130-2020)*4)+1610+G130,IF(E130 &gt; 1900, ((E130-1900)*10)+400+G130, ((E130-1730)*2)+G130))+VLOOKUP(I130,'ID Scheme'!$A$2:$B$7,2, FALSE)</f>
        <v>8937</v>
      </c>
      <c r="E130">
        <v>1898</v>
      </c>
      <c r="F130">
        <v>1</v>
      </c>
      <c r="G130">
        <v>1</v>
      </c>
      <c r="H130" t="s">
        <v>522</v>
      </c>
      <c r="I130" t="s">
        <v>104</v>
      </c>
      <c r="J130" t="s">
        <v>504</v>
      </c>
      <c r="K130">
        <v>23</v>
      </c>
      <c r="L130">
        <v>35</v>
      </c>
      <c r="M130">
        <v>45</v>
      </c>
      <c r="N130">
        <v>11</v>
      </c>
      <c r="O130">
        <v>8</v>
      </c>
      <c r="P130">
        <v>80</v>
      </c>
      <c r="Q130">
        <v>20</v>
      </c>
      <c r="R130">
        <v>48</v>
      </c>
      <c r="S130">
        <v>1</v>
      </c>
      <c r="T130" t="s">
        <v>366</v>
      </c>
      <c r="U130">
        <v>0</v>
      </c>
      <c r="V130" s="2" t="s">
        <v>415</v>
      </c>
      <c r="W130" s="2"/>
      <c r="X130" s="2"/>
      <c r="Y130" s="2"/>
      <c r="Z130" s="2"/>
      <c r="AA130" s="2"/>
      <c r="AB130" s="2"/>
      <c r="AC130" s="2"/>
      <c r="AD130" s="2"/>
      <c r="AE130" s="2"/>
      <c r="AM130">
        <v>8</v>
      </c>
      <c r="AN130">
        <v>1</v>
      </c>
      <c r="AP130" s="2">
        <f>(SQRT(K130*R130)*POWER((MIN(M130,20)+SQRT(MAX(M130-20,0))),0.9)*Data!$B$1)*(1-(S130-1))</f>
        <v>45.153540372471618</v>
      </c>
      <c r="AQ130" s="2"/>
      <c r="AR130" s="2">
        <f>((POWER((K130*K130*R130), 0.33)*LOG10(P130)*10*Data!$B$1)*S130)+AQ130</f>
        <v>40.55744311676029</v>
      </c>
      <c r="AS130" s="2">
        <f t="shared" si="35"/>
        <v>18.548387096774192</v>
      </c>
      <c r="AT130" s="2">
        <f t="shared" si="34"/>
        <v>0</v>
      </c>
      <c r="AV130" s="2">
        <v>1</v>
      </c>
      <c r="AW130" s="2">
        <v>1</v>
      </c>
      <c r="AX130" s="2">
        <f t="shared" si="36"/>
        <v>48</v>
      </c>
      <c r="AY130" s="2">
        <f t="shared" si="37"/>
        <v>48</v>
      </c>
      <c r="BB130" s="3"/>
      <c r="BC130" s="2" t="str">
        <f>CONCATENATE(
ROUND(AZ130*VLOOKUP(I130,'ID Scheme'!$A$2:$E$7,3),0), "x",
ROUND(BA130*VLOOKUP(I130,'ID Scheme'!$A$2:$E$7,5),0), "x",
ROUND(BB130*VLOOKUP(I130,'ID Scheme'!$A$2:$E$7,4),0))</f>
        <v>0x0x0</v>
      </c>
      <c r="BD130" t="s">
        <v>118</v>
      </c>
    </row>
    <row r="131" spans="1:56" x14ac:dyDescent="0.25">
      <c r="A131" t="s">
        <v>117</v>
      </c>
      <c r="B131" t="s">
        <v>254</v>
      </c>
      <c r="C131" t="s">
        <v>286</v>
      </c>
      <c r="D131">
        <f>IF(E131 &gt; 2020, ((E131-2020)*4)+1610+G131,IF(E131 &gt; 1900, ((E131-1900)*10)+400+G131, ((E131-1730)*2)+G131))+VLOOKUP(I131,'ID Scheme'!$A$2:$B$7,2, FALSE)</f>
        <v>8939</v>
      </c>
      <c r="E131">
        <v>1899</v>
      </c>
      <c r="F131">
        <v>1</v>
      </c>
      <c r="G131">
        <v>1</v>
      </c>
      <c r="H131" t="s">
        <v>522</v>
      </c>
      <c r="I131" t="s">
        <v>104</v>
      </c>
      <c r="J131" t="s">
        <v>504</v>
      </c>
      <c r="K131">
        <v>24</v>
      </c>
      <c r="L131">
        <v>35</v>
      </c>
      <c r="M131">
        <v>65</v>
      </c>
      <c r="N131">
        <v>9</v>
      </c>
      <c r="O131">
        <v>7</v>
      </c>
      <c r="P131">
        <v>80</v>
      </c>
      <c r="Q131">
        <v>20</v>
      </c>
      <c r="R131">
        <v>48</v>
      </c>
      <c r="S131">
        <v>1</v>
      </c>
      <c r="T131" t="s">
        <v>366</v>
      </c>
      <c r="U131">
        <v>0</v>
      </c>
      <c r="V131" s="2" t="s">
        <v>414</v>
      </c>
      <c r="W131" s="2"/>
      <c r="X131" s="2"/>
      <c r="Y131" s="2"/>
      <c r="Z131" s="2"/>
      <c r="AA131" s="2"/>
      <c r="AB131" s="2"/>
      <c r="AC131" s="2"/>
      <c r="AD131" s="2"/>
      <c r="AE131" s="2"/>
      <c r="AM131">
        <v>8</v>
      </c>
      <c r="AN131">
        <v>1</v>
      </c>
      <c r="AP131" s="2">
        <f>(SQRT(K131*R131)*POWER((MIN(M131,20)+SQRT(MAX(M131-20,0))),0.9)*Data!$B$1)*(1-(S131-1))</f>
        <v>48.95169319243255</v>
      </c>
      <c r="AQ131" s="2"/>
      <c r="AR131" s="2">
        <f>((POWER((K131*K131*R131), 0.33)*LOG10(P131)*10*Data!$B$1)*S131)+AQ131</f>
        <v>41.712826159953799</v>
      </c>
      <c r="AS131" s="2">
        <f t="shared" si="35"/>
        <v>19.35483870967742</v>
      </c>
      <c r="AT131" s="2">
        <f t="shared" si="34"/>
        <v>0</v>
      </c>
      <c r="AV131" s="2">
        <v>1</v>
      </c>
      <c r="AW131" s="2">
        <v>1</v>
      </c>
      <c r="AX131" s="2">
        <f t="shared" si="36"/>
        <v>48</v>
      </c>
      <c r="AY131" s="2">
        <f t="shared" si="37"/>
        <v>48</v>
      </c>
      <c r="BB131" s="3"/>
      <c r="BC131" s="2" t="str">
        <f>CONCATENATE(
ROUND(AZ131*VLOOKUP(I131,'ID Scheme'!$A$2:$E$7,3),0), "x",
ROUND(BA131*VLOOKUP(I131,'ID Scheme'!$A$2:$E$7,5),0), "x",
ROUND(BB131*VLOOKUP(I131,'ID Scheme'!$A$2:$E$7,4),0))</f>
        <v>0x0x0</v>
      </c>
      <c r="BD131" t="s">
        <v>118</v>
      </c>
    </row>
    <row r="132" spans="1:56" x14ac:dyDescent="0.25">
      <c r="A132" t="s">
        <v>109</v>
      </c>
      <c r="B132" t="s">
        <v>252</v>
      </c>
      <c r="C132" t="s">
        <v>286</v>
      </c>
      <c r="D132">
        <f>IF(E132 &gt; 2020, ((E132-2020)*4)+1610+G132,IF(E132 &gt; 1900, ((E132-1900)*10)+400+G132, ((E132-1730)*2)+G132))+VLOOKUP(I132,'ID Scheme'!$A$2:$B$7,2, FALSE)</f>
        <v>9011</v>
      </c>
      <c r="E132">
        <v>1901</v>
      </c>
      <c r="F132">
        <v>1</v>
      </c>
      <c r="G132">
        <v>1</v>
      </c>
      <c r="H132" t="s">
        <v>522</v>
      </c>
      <c r="I132" t="s">
        <v>104</v>
      </c>
      <c r="J132" t="s">
        <v>504</v>
      </c>
      <c r="K132">
        <v>25</v>
      </c>
      <c r="L132">
        <v>35</v>
      </c>
      <c r="M132">
        <v>32</v>
      </c>
      <c r="N132">
        <v>7</v>
      </c>
      <c r="O132">
        <v>7.5</v>
      </c>
      <c r="P132">
        <v>60</v>
      </c>
      <c r="Q132">
        <v>20</v>
      </c>
      <c r="R132">
        <v>58</v>
      </c>
      <c r="S132">
        <v>1</v>
      </c>
      <c r="T132" t="s">
        <v>366</v>
      </c>
      <c r="U132">
        <v>0</v>
      </c>
      <c r="V132" s="2" t="s">
        <v>435</v>
      </c>
      <c r="W132" s="2"/>
      <c r="X132" s="2"/>
      <c r="Y132" s="2"/>
      <c r="Z132" s="2"/>
      <c r="AA132" s="2"/>
      <c r="AB132" s="2"/>
      <c r="AC132" s="2"/>
      <c r="AD132" s="2"/>
      <c r="AE132" s="2"/>
      <c r="AM132">
        <v>8</v>
      </c>
      <c r="AN132">
        <v>1</v>
      </c>
      <c r="AP132" s="2">
        <f>(SQRT(K132*R132)*POWER((MIN(M132,20)+SQRT(MAX(M132-20,0))),0.9)*Data!$B$1)*(1-(S132-1))</f>
        <v>48.877479495040532</v>
      </c>
      <c r="AQ132" s="2"/>
      <c r="AR132" s="2">
        <f>((POWER((K132*K132*R132), 0.33)*LOG10(P132)*10*Data!$B$1)*S132)+AQ132</f>
        <v>42.618838192592996</v>
      </c>
      <c r="AS132" s="2">
        <f t="shared" si="35"/>
        <v>20.161290322580644</v>
      </c>
      <c r="AT132" s="2">
        <f t="shared" ref="AT132:AT144" si="39">AF132/1.24</f>
        <v>0</v>
      </c>
      <c r="AV132" s="2">
        <v>1</v>
      </c>
      <c r="AW132" s="2">
        <v>1</v>
      </c>
      <c r="AX132" s="2">
        <f t="shared" si="36"/>
        <v>58</v>
      </c>
      <c r="AY132" s="2">
        <f t="shared" si="37"/>
        <v>58</v>
      </c>
      <c r="BB132" s="3"/>
      <c r="BC132" s="2" t="str">
        <f>CONCATENATE(
ROUND(AZ132*VLOOKUP(I132,'ID Scheme'!$A$2:$E$7,3),0), "x",
ROUND(BA132*VLOOKUP(I132,'ID Scheme'!$A$2:$E$7,5),0), "x",
ROUND(BB132*VLOOKUP(I132,'ID Scheme'!$A$2:$E$7,4),0))</f>
        <v>0x0x0</v>
      </c>
      <c r="BD132" t="s">
        <v>125</v>
      </c>
    </row>
    <row r="133" spans="1:56" x14ac:dyDescent="0.25">
      <c r="A133" t="s">
        <v>119</v>
      </c>
      <c r="B133" t="s">
        <v>256</v>
      </c>
      <c r="C133" t="s">
        <v>292</v>
      </c>
      <c r="D133">
        <f>IF(E133 &gt; 2020, ((E133-2020)*4)+1610+G133,IF(E133 &gt; 1900, ((E133-1900)*10)+400+G133, ((E133-1730)*2)+G133))+VLOOKUP(I133,'ID Scheme'!$A$2:$B$7,2, FALSE)</f>
        <v>9111</v>
      </c>
      <c r="E133">
        <v>1911</v>
      </c>
      <c r="F133">
        <v>1</v>
      </c>
      <c r="G133">
        <v>1</v>
      </c>
      <c r="H133" t="s">
        <v>522</v>
      </c>
      <c r="I133" t="s">
        <v>104</v>
      </c>
      <c r="J133" t="s">
        <v>504</v>
      </c>
      <c r="K133">
        <v>22</v>
      </c>
      <c r="L133">
        <v>30</v>
      </c>
      <c r="M133">
        <v>30</v>
      </c>
      <c r="N133">
        <v>12</v>
      </c>
      <c r="O133">
        <v>6</v>
      </c>
      <c r="P133">
        <v>105</v>
      </c>
      <c r="Q133">
        <v>20</v>
      </c>
      <c r="R133">
        <v>68</v>
      </c>
      <c r="S133">
        <v>1</v>
      </c>
      <c r="T133" t="s">
        <v>366</v>
      </c>
      <c r="U133">
        <v>0</v>
      </c>
      <c r="V133" s="2" t="s">
        <v>416</v>
      </c>
      <c r="W133" s="2"/>
      <c r="X133" s="2"/>
      <c r="Y133" s="2"/>
      <c r="Z133" s="2"/>
      <c r="AA133" s="2"/>
      <c r="AB133" s="2"/>
      <c r="AC133" s="2"/>
      <c r="AD133" s="2"/>
      <c r="AE133" s="2"/>
      <c r="AM133">
        <v>8</v>
      </c>
      <c r="AN133">
        <v>1</v>
      </c>
      <c r="AP133" s="2">
        <f>(SQRT(K133*R133)*POWER((MIN(M133,20)+SQRT(MAX(M133-20,0))),0.9)*Data!$B$1)*(1-(S133-1))</f>
        <v>49.071597593682917</v>
      </c>
      <c r="AQ133" s="2"/>
      <c r="AR133" s="2">
        <f>((POWER((K133*K133*R133), 0.33)*LOG10(P133)*10*Data!$B$1)*S133)+AQ133</f>
        <v>46.924014917422397</v>
      </c>
      <c r="AS133" s="2">
        <f t="shared" si="35"/>
        <v>17.741935483870968</v>
      </c>
      <c r="AT133" s="2">
        <f t="shared" si="39"/>
        <v>0</v>
      </c>
      <c r="AV133" s="2">
        <v>1</v>
      </c>
      <c r="AW133" s="2">
        <v>1</v>
      </c>
      <c r="AX133" s="2">
        <f t="shared" si="36"/>
        <v>68</v>
      </c>
      <c r="AY133" s="2">
        <f t="shared" si="37"/>
        <v>68</v>
      </c>
      <c r="BB133" s="3"/>
      <c r="BC133" s="2" t="str">
        <f>CONCATENATE(
ROUND(AZ133*VLOOKUP(I133,'ID Scheme'!$A$2:$E$7,3),0), "x",
ROUND(BA133*VLOOKUP(I133,'ID Scheme'!$A$2:$E$7,5),0), "x",
ROUND(BB133*VLOOKUP(I133,'ID Scheme'!$A$2:$E$7,4),0))</f>
        <v>0x0x0</v>
      </c>
      <c r="BD133" t="s">
        <v>82</v>
      </c>
    </row>
    <row r="134" spans="1:56" x14ac:dyDescent="0.25">
      <c r="A134" t="s">
        <v>110</v>
      </c>
      <c r="B134" t="s">
        <v>220</v>
      </c>
      <c r="C134" t="s">
        <v>286</v>
      </c>
      <c r="D134">
        <f>IF(E134 &gt; 2020, ((E134-2020)*4)+1610+G134,IF(E134 &gt; 1900, ((E134-1900)*10)+400+G134, ((E134-1730)*2)+G134))+VLOOKUP(I134,'ID Scheme'!$A$2:$B$7,2, FALSE)</f>
        <v>9231</v>
      </c>
      <c r="E134">
        <v>1923</v>
      </c>
      <c r="F134">
        <v>1</v>
      </c>
      <c r="G134">
        <v>1</v>
      </c>
      <c r="H134" t="s">
        <v>522</v>
      </c>
      <c r="I134" t="s">
        <v>104</v>
      </c>
      <c r="J134" t="s">
        <v>504</v>
      </c>
      <c r="K134">
        <v>30</v>
      </c>
      <c r="L134">
        <v>38</v>
      </c>
      <c r="M134">
        <v>50</v>
      </c>
      <c r="N134">
        <v>9</v>
      </c>
      <c r="O134">
        <v>9</v>
      </c>
      <c r="P134">
        <v>80</v>
      </c>
      <c r="Q134">
        <v>20</v>
      </c>
      <c r="R134">
        <v>78</v>
      </c>
      <c r="S134">
        <v>1</v>
      </c>
      <c r="T134" t="s">
        <v>366</v>
      </c>
      <c r="U134">
        <v>0</v>
      </c>
      <c r="V134" s="2" t="s">
        <v>434</v>
      </c>
      <c r="W134" s="2"/>
      <c r="X134" s="2"/>
      <c r="Y134" s="2"/>
      <c r="Z134" s="2"/>
      <c r="AA134" s="2"/>
      <c r="AB134" s="2"/>
      <c r="AC134" s="2">
        <v>1</v>
      </c>
      <c r="AD134" s="2"/>
      <c r="AE134" s="2"/>
      <c r="AM134">
        <v>8</v>
      </c>
      <c r="AN134">
        <v>1</v>
      </c>
      <c r="AP134" s="2">
        <f>(SQRT(K134*R134)*POWER((MIN(M134,20)+SQRT(MAX(M134-20,0))),0.9)*Data!$B$1)*(1-(S134-1))</f>
        <v>66.866118123314507</v>
      </c>
      <c r="AQ134" s="2"/>
      <c r="AR134" s="2">
        <f>((POWER((K134*K134*R134), 0.33)*LOG10(P134)*10*Data!$B$1)*S134)+AQ134</f>
        <v>56.729876046306018</v>
      </c>
      <c r="AS134" s="2">
        <f t="shared" si="35"/>
        <v>24.193548387096776</v>
      </c>
      <c r="AT134" s="2">
        <f t="shared" si="39"/>
        <v>0</v>
      </c>
      <c r="AV134" s="2">
        <v>1</v>
      </c>
      <c r="AW134" s="2">
        <v>1</v>
      </c>
      <c r="AX134" s="2">
        <f t="shared" si="36"/>
        <v>78</v>
      </c>
      <c r="AY134" s="2">
        <f t="shared" si="37"/>
        <v>78</v>
      </c>
      <c r="BB134" s="3"/>
      <c r="BC134" s="2" t="str">
        <f>CONCATENATE(
ROUND(AZ134*VLOOKUP(I134,'ID Scheme'!$A$2:$E$7,3),0), "x",
ROUND(BA134*VLOOKUP(I134,'ID Scheme'!$A$2:$E$7,5),0), "x",
ROUND(BB134*VLOOKUP(I134,'ID Scheme'!$A$2:$E$7,4),0))</f>
        <v>0x0x0</v>
      </c>
    </row>
    <row r="135" spans="1:56" x14ac:dyDescent="0.25">
      <c r="A135" t="s">
        <v>120</v>
      </c>
      <c r="B135" t="s">
        <v>241</v>
      </c>
      <c r="C135" t="s">
        <v>286</v>
      </c>
      <c r="D135">
        <f>IF(E135 &gt; 2020, ((E135-2020)*4)+1610+G135,IF(E135 &gt; 1900, ((E135-1900)*10)+400+G135, ((E135-1730)*2)+G135))+VLOOKUP(I135,'ID Scheme'!$A$2:$B$7,2, FALSE)</f>
        <v>9341</v>
      </c>
      <c r="E135">
        <v>1934</v>
      </c>
      <c r="F135">
        <v>1</v>
      </c>
      <c r="G135">
        <v>1</v>
      </c>
      <c r="H135" t="s">
        <v>522</v>
      </c>
      <c r="I135" t="s">
        <v>104</v>
      </c>
      <c r="J135" t="s">
        <v>504</v>
      </c>
      <c r="K135">
        <v>35</v>
      </c>
      <c r="L135">
        <v>40</v>
      </c>
      <c r="M135">
        <v>55</v>
      </c>
      <c r="N135">
        <v>11</v>
      </c>
      <c r="O135">
        <v>11</v>
      </c>
      <c r="P135">
        <v>114</v>
      </c>
      <c r="Q135">
        <v>20</v>
      </c>
      <c r="R135">
        <v>92</v>
      </c>
      <c r="S135">
        <v>1</v>
      </c>
      <c r="T135" t="s">
        <v>366</v>
      </c>
      <c r="U135">
        <v>0</v>
      </c>
      <c r="V135" s="2" t="s">
        <v>417</v>
      </c>
      <c r="W135" s="2"/>
      <c r="X135" s="2"/>
      <c r="Y135" s="2"/>
      <c r="Z135" s="2"/>
      <c r="AA135" s="2"/>
      <c r="AB135" s="2"/>
      <c r="AC135" s="2"/>
      <c r="AD135" s="2"/>
      <c r="AE135" s="2"/>
      <c r="AM135">
        <v>8</v>
      </c>
      <c r="AN135">
        <v>1</v>
      </c>
      <c r="AP135" s="2">
        <f>(SQRT(K135*R135)*POWER((MIN(M135,20)+SQRT(MAX(M135-20,0))),0.9)*Data!$B$1)*(1-(S135-1))</f>
        <v>79.652897151473837</v>
      </c>
      <c r="AQ135" s="2"/>
      <c r="AR135" s="2">
        <f>((POWER((K135*K135*R135), 0.33)*LOG10(P135)*10*Data!$B$1)*S135)+AQ135</f>
        <v>71.682040289630535</v>
      </c>
      <c r="AS135" s="2">
        <f t="shared" si="35"/>
        <v>28.225806451612904</v>
      </c>
      <c r="AT135" s="2">
        <f t="shared" si="39"/>
        <v>0</v>
      </c>
      <c r="AV135" s="2">
        <v>1</v>
      </c>
      <c r="AW135" s="2">
        <v>1</v>
      </c>
      <c r="AX135" s="2">
        <f t="shared" si="36"/>
        <v>92</v>
      </c>
      <c r="AY135" s="2">
        <f t="shared" si="37"/>
        <v>92</v>
      </c>
      <c r="BB135" s="3"/>
      <c r="BC135" s="2" t="str">
        <f>CONCATENATE(
ROUND(AZ135*VLOOKUP(I135,'ID Scheme'!$A$2:$E$7,3),0), "x",
ROUND(BA135*VLOOKUP(I135,'ID Scheme'!$A$2:$E$7,5),0), "x",
ROUND(BB135*VLOOKUP(I135,'ID Scheme'!$A$2:$E$7,4),0))</f>
        <v>0x0x0</v>
      </c>
      <c r="BD135" t="s">
        <v>121</v>
      </c>
    </row>
    <row r="136" spans="1:56" x14ac:dyDescent="0.25">
      <c r="A136" t="s">
        <v>107</v>
      </c>
      <c r="B136" t="s">
        <v>245</v>
      </c>
      <c r="C136" t="s">
        <v>286</v>
      </c>
      <c r="D136">
        <f>IF(E136 &gt; 2020, ((E136-2020)*4)+1610+G136,IF(E136 &gt; 1900, ((E136-1900)*10)+400+G136, ((E136-1730)*2)+G136))+VLOOKUP(I136,'ID Scheme'!$A$2:$B$7,2, FALSE)</f>
        <v>9521</v>
      </c>
      <c r="E136">
        <v>1952</v>
      </c>
      <c r="F136">
        <v>1</v>
      </c>
      <c r="G136">
        <v>1</v>
      </c>
      <c r="H136" t="s">
        <v>522</v>
      </c>
      <c r="I136" t="s">
        <v>104</v>
      </c>
      <c r="J136" t="s">
        <v>504</v>
      </c>
      <c r="K136">
        <v>40</v>
      </c>
      <c r="L136">
        <v>20</v>
      </c>
      <c r="M136">
        <v>35</v>
      </c>
      <c r="N136">
        <v>11</v>
      </c>
      <c r="O136">
        <v>12</v>
      </c>
      <c r="P136">
        <v>180</v>
      </c>
      <c r="Q136">
        <v>28</v>
      </c>
      <c r="R136">
        <v>56</v>
      </c>
      <c r="S136">
        <v>1.1000000000000001</v>
      </c>
      <c r="T136" t="s">
        <v>366</v>
      </c>
      <c r="U136">
        <v>0</v>
      </c>
      <c r="V136" s="2" t="s">
        <v>418</v>
      </c>
      <c r="W136" s="2"/>
      <c r="X136" s="2"/>
      <c r="Y136" s="2"/>
      <c r="Z136" s="2"/>
      <c r="AA136" s="2"/>
      <c r="AB136" s="2"/>
      <c r="AC136" s="2"/>
      <c r="AD136" s="2"/>
      <c r="AE136" s="2"/>
      <c r="AM136">
        <v>8</v>
      </c>
      <c r="AN136">
        <v>1</v>
      </c>
      <c r="AP136" s="2">
        <f>(SQRT(K136*R136)*POWER((MIN(M136,20)+SQRT(MAX(M136-20,0))),0.9)*Data!$B$1)*(1-(S136-1))</f>
        <v>55.532062985015898</v>
      </c>
      <c r="AQ136" s="2"/>
      <c r="AR136" s="2">
        <f>((POWER((K136*K136*R136), 0.33)*LOG10(P136)*10*Data!$B$1)*S136)+AQ136</f>
        <v>80.152046772075309</v>
      </c>
      <c r="AS136" s="2">
        <f t="shared" si="35"/>
        <v>32.258064516129032</v>
      </c>
      <c r="AT136" s="2">
        <f t="shared" si="39"/>
        <v>0</v>
      </c>
      <c r="AV136" s="2">
        <v>1</v>
      </c>
      <c r="AW136" s="2">
        <v>1</v>
      </c>
      <c r="AX136" s="2">
        <f t="shared" si="36"/>
        <v>56</v>
      </c>
      <c r="AY136" s="2">
        <f t="shared" si="37"/>
        <v>56</v>
      </c>
      <c r="BB136" s="3"/>
      <c r="BC136" s="2" t="str">
        <f>CONCATENATE(
ROUND(AZ136*VLOOKUP(I136,'ID Scheme'!$A$2:$E$7,3),0), "x",
ROUND(BA136*VLOOKUP(I136,'ID Scheme'!$A$2:$E$7,5),0), "x",
ROUND(BB136*VLOOKUP(I136,'ID Scheme'!$A$2:$E$7,4),0))</f>
        <v>0x0x0</v>
      </c>
      <c r="BD136" t="s">
        <v>123</v>
      </c>
    </row>
    <row r="137" spans="1:56" x14ac:dyDescent="0.25">
      <c r="A137" t="s">
        <v>132</v>
      </c>
      <c r="B137" t="s">
        <v>255</v>
      </c>
      <c r="C137" t="s">
        <v>325</v>
      </c>
      <c r="D137">
        <f>IF(E137 &gt; 2020, ((E137-2020)*4)+1610+G137,IF(E137 &gt; 1900, ((E137-1900)*10)+400+G137, ((E137-1730)*2)+G137))+VLOOKUP(I137,'ID Scheme'!$A$2:$B$7,2, FALSE)</f>
        <v>9601</v>
      </c>
      <c r="E137">
        <v>1960</v>
      </c>
      <c r="F137">
        <v>1</v>
      </c>
      <c r="G137">
        <v>1</v>
      </c>
      <c r="H137" t="s">
        <v>522</v>
      </c>
      <c r="I137" t="s">
        <v>104</v>
      </c>
      <c r="J137" t="s">
        <v>504</v>
      </c>
      <c r="K137">
        <v>36</v>
      </c>
      <c r="L137">
        <v>30</v>
      </c>
      <c r="M137">
        <v>40</v>
      </c>
      <c r="N137">
        <v>12</v>
      </c>
      <c r="O137">
        <v>15</v>
      </c>
      <c r="P137">
        <v>114</v>
      </c>
      <c r="Q137">
        <v>20</v>
      </c>
      <c r="R137">
        <v>122</v>
      </c>
      <c r="S137">
        <v>1</v>
      </c>
      <c r="T137" t="s">
        <v>366</v>
      </c>
      <c r="U137">
        <v>0</v>
      </c>
      <c r="V137" s="2" t="s">
        <v>419</v>
      </c>
      <c r="W137" s="2"/>
      <c r="X137" s="2"/>
      <c r="Y137" s="2"/>
      <c r="Z137" s="2"/>
      <c r="AA137" s="2"/>
      <c r="AB137" s="2"/>
      <c r="AC137" s="2"/>
      <c r="AD137" s="2"/>
      <c r="AE137" s="2"/>
      <c r="AG137" t="s">
        <v>373</v>
      </c>
      <c r="AH137">
        <v>1</v>
      </c>
      <c r="AI137" t="s">
        <v>375</v>
      </c>
      <c r="AJ137" t="s">
        <v>373</v>
      </c>
      <c r="AK137" t="s">
        <v>376</v>
      </c>
      <c r="AL137" t="s">
        <v>550</v>
      </c>
      <c r="AM137">
        <v>8</v>
      </c>
      <c r="AN137">
        <v>1</v>
      </c>
      <c r="AP137" s="2">
        <f>(SQRT(K137*R137)*POWER((MIN(M137,20)+SQRT(MAX(M137-20,0))),0.9)*Data!$B$1)*(1-(S137-1))</f>
        <v>88.348080485686708</v>
      </c>
      <c r="AQ137" s="2"/>
      <c r="AR137" s="2">
        <f>((POWER((K137*K137*R137), 0.33)*LOG10(P137)*10*Data!$B$1)*S137)+AQ137</f>
        <v>80.155598368589864</v>
      </c>
      <c r="AS137" s="2">
        <f t="shared" ref="AS137:AS144" si="40">K137/1.24</f>
        <v>29.032258064516128</v>
      </c>
      <c r="AT137" s="2">
        <f t="shared" si="39"/>
        <v>0</v>
      </c>
      <c r="AU137" s="2">
        <v>2</v>
      </c>
      <c r="AV137" s="2">
        <v>2</v>
      </c>
      <c r="AW137" s="2">
        <v>2</v>
      </c>
      <c r="AX137" s="2">
        <f t="shared" ref="AX137:AX144" si="41">R137/AW137</f>
        <v>61</v>
      </c>
      <c r="AY137" s="2">
        <f t="shared" ref="AY137:AY144" si="42">(R137)/MAX(AV137-1, 1)</f>
        <v>122</v>
      </c>
      <c r="BB137" s="3"/>
      <c r="BC137" s="2" t="str">
        <f>CONCATENATE(
ROUND(AZ137*VLOOKUP(I137,'ID Scheme'!$A$2:$E$7,3),0), "x",
ROUND(BA137*VLOOKUP(I137,'ID Scheme'!$A$2:$E$7,5),0), "x",
ROUND(BB137*VLOOKUP(I137,'ID Scheme'!$A$2:$E$7,4),0))</f>
        <v>0x0x0</v>
      </c>
      <c r="BD137" t="s">
        <v>122</v>
      </c>
    </row>
    <row r="138" spans="1:56" x14ac:dyDescent="0.25">
      <c r="A138" t="s">
        <v>112</v>
      </c>
      <c r="B138" t="s">
        <v>206</v>
      </c>
      <c r="C138" t="s">
        <v>286</v>
      </c>
      <c r="D138">
        <f>IF(E138 &gt; 2020, ((E138-2020)*4)+1610+G138,IF(E138 &gt; 1900, ((E138-1900)*10)+400+G138, ((E138-1730)*2)+G138))+VLOOKUP(I138,'ID Scheme'!$A$2:$B$7,2, FALSE)</f>
        <v>9791</v>
      </c>
      <c r="E138">
        <v>1979</v>
      </c>
      <c r="F138">
        <v>6</v>
      </c>
      <c r="G138">
        <v>1</v>
      </c>
      <c r="H138" t="s">
        <v>522</v>
      </c>
      <c r="I138" t="s">
        <v>104</v>
      </c>
      <c r="J138" t="s">
        <v>504</v>
      </c>
      <c r="K138">
        <v>40</v>
      </c>
      <c r="L138">
        <v>25</v>
      </c>
      <c r="M138">
        <v>35</v>
      </c>
      <c r="N138">
        <v>11</v>
      </c>
      <c r="O138">
        <v>12</v>
      </c>
      <c r="P138">
        <v>114</v>
      </c>
      <c r="Q138">
        <v>20</v>
      </c>
      <c r="R138">
        <v>108</v>
      </c>
      <c r="S138">
        <v>1</v>
      </c>
      <c r="T138" t="s">
        <v>366</v>
      </c>
      <c r="U138">
        <v>0</v>
      </c>
      <c r="V138" s="2" t="s">
        <v>420</v>
      </c>
      <c r="W138" s="2"/>
      <c r="X138" s="2"/>
      <c r="Y138" s="2"/>
      <c r="Z138" s="2"/>
      <c r="AA138" s="2"/>
      <c r="AB138" s="2"/>
      <c r="AC138" s="2"/>
      <c r="AD138" s="2"/>
      <c r="AE138" s="2"/>
      <c r="AM138">
        <v>8</v>
      </c>
      <c r="AN138">
        <v>1</v>
      </c>
      <c r="AP138" s="2">
        <f>(SQRT(K138*R138)*POWER((MIN(M138,20)+SQRT(MAX(M138-20,0))),0.9)*Data!$B$1)*(1-(S138-1))</f>
        <v>85.687833488938395</v>
      </c>
      <c r="AQ138" s="2"/>
      <c r="AR138" s="2">
        <f>((POWER((K138*K138*R138), 0.33)*LOG10(P138)*10*Data!$B$1)*S138)+AQ138</f>
        <v>82.540082660234276</v>
      </c>
      <c r="AS138" s="2">
        <f t="shared" si="40"/>
        <v>32.258064516129032</v>
      </c>
      <c r="AT138" s="2">
        <f t="shared" si="39"/>
        <v>0</v>
      </c>
      <c r="AV138" s="2">
        <v>1</v>
      </c>
      <c r="AW138" s="2">
        <v>1</v>
      </c>
      <c r="AX138" s="2">
        <f t="shared" si="41"/>
        <v>108</v>
      </c>
      <c r="AY138" s="2">
        <f t="shared" si="42"/>
        <v>108</v>
      </c>
      <c r="BB138" s="3"/>
      <c r="BC138" s="2" t="str">
        <f>CONCATENATE(
ROUND(AZ138*VLOOKUP(I138,'ID Scheme'!$A$2:$E$7,3),0), "x",
ROUND(BA138*VLOOKUP(I138,'ID Scheme'!$A$2:$E$7,5),0), "x",
ROUND(BB138*VLOOKUP(I138,'ID Scheme'!$A$2:$E$7,4),0))</f>
        <v>0x0x0</v>
      </c>
      <c r="BD138" t="s">
        <v>121</v>
      </c>
    </row>
    <row r="139" spans="1:56" x14ac:dyDescent="0.25">
      <c r="A139" t="s">
        <v>113</v>
      </c>
      <c r="B139" t="s">
        <v>243</v>
      </c>
      <c r="C139" t="s">
        <v>286</v>
      </c>
      <c r="D139">
        <f>IF(E139 &gt; 2020, ((E139-2020)*4)+1610+G139,IF(E139 &gt; 1900, ((E139-1900)*10)+400+G139, ((E139-1730)*2)+G139))+VLOOKUP(I139,'ID Scheme'!$A$2:$B$7,2, FALSE)</f>
        <v>9841</v>
      </c>
      <c r="E139">
        <v>1984</v>
      </c>
      <c r="F139">
        <v>1</v>
      </c>
      <c r="G139">
        <v>1</v>
      </c>
      <c r="H139" t="s">
        <v>522</v>
      </c>
      <c r="I139" t="s">
        <v>104</v>
      </c>
      <c r="J139" t="s">
        <v>504</v>
      </c>
      <c r="K139">
        <v>43</v>
      </c>
      <c r="L139">
        <v>30</v>
      </c>
      <c r="M139">
        <v>40</v>
      </c>
      <c r="N139">
        <v>10</v>
      </c>
      <c r="O139">
        <v>8</v>
      </c>
      <c r="P139">
        <v>114</v>
      </c>
      <c r="Q139">
        <v>20</v>
      </c>
      <c r="R139">
        <v>70</v>
      </c>
      <c r="S139">
        <v>1</v>
      </c>
      <c r="T139" t="s">
        <v>366</v>
      </c>
      <c r="U139">
        <v>0</v>
      </c>
      <c r="V139" s="2" t="s">
        <v>421</v>
      </c>
      <c r="W139" s="2"/>
      <c r="X139" s="2"/>
      <c r="Y139" s="2"/>
      <c r="Z139" s="2"/>
      <c r="AA139" s="2"/>
      <c r="AB139" s="2"/>
      <c r="AC139" s="2"/>
      <c r="AD139" s="2"/>
      <c r="AE139" s="2"/>
      <c r="AM139">
        <v>8</v>
      </c>
      <c r="AN139">
        <v>1</v>
      </c>
      <c r="AP139" s="2">
        <f>(SQRT(K139*R139)*POWER((MIN(M139,20)+SQRT(MAX(M139-20,0))),0.9)*Data!$B$1)*(1-(S139-1))</f>
        <v>73.139030669847884</v>
      </c>
      <c r="AQ139" s="2"/>
      <c r="AR139" s="2">
        <f>((POWER((K139*K139*R139), 0.33)*LOG10(P139)*10*Data!$B$1)*S139)+AQ139</f>
        <v>75.032082395822727</v>
      </c>
      <c r="AS139" s="2">
        <f t="shared" si="40"/>
        <v>34.677419354838712</v>
      </c>
      <c r="AT139" s="2">
        <f t="shared" si="39"/>
        <v>0</v>
      </c>
      <c r="AV139" s="2">
        <v>1</v>
      </c>
      <c r="AW139" s="2">
        <v>1</v>
      </c>
      <c r="AX139" s="2">
        <f t="shared" si="41"/>
        <v>70</v>
      </c>
      <c r="AY139" s="2">
        <f t="shared" si="42"/>
        <v>70</v>
      </c>
      <c r="BB139" s="3"/>
      <c r="BC139" s="2" t="str">
        <f>CONCATENATE(
ROUND(AZ139*VLOOKUP(I139,'ID Scheme'!$A$2:$E$7,3),0), "x",
ROUND(BA139*VLOOKUP(I139,'ID Scheme'!$A$2:$E$7,5),0), "x",
ROUND(BB139*VLOOKUP(I139,'ID Scheme'!$A$2:$E$7,4),0))</f>
        <v>0x0x0</v>
      </c>
      <c r="BD139" t="s">
        <v>121</v>
      </c>
    </row>
    <row r="140" spans="1:56" x14ac:dyDescent="0.25">
      <c r="A140" t="s">
        <v>114</v>
      </c>
      <c r="B140" t="s">
        <v>247</v>
      </c>
      <c r="C140" t="s">
        <v>325</v>
      </c>
      <c r="D140">
        <f>IF(E140 &gt; 2020, ((E140-2020)*4)+1610+G140,IF(E140 &gt; 1900, ((E140-1900)*10)+400+G140, ((E140-1730)*2)+G140))+VLOOKUP(I140,'ID Scheme'!$A$2:$B$7,2, FALSE)</f>
        <v>9871</v>
      </c>
      <c r="E140">
        <v>1987</v>
      </c>
      <c r="F140">
        <v>1</v>
      </c>
      <c r="G140">
        <v>1</v>
      </c>
      <c r="H140" t="s">
        <v>522</v>
      </c>
      <c r="I140" t="s">
        <v>104</v>
      </c>
      <c r="J140" t="s">
        <v>504</v>
      </c>
      <c r="K140">
        <v>40</v>
      </c>
      <c r="L140">
        <v>28</v>
      </c>
      <c r="M140">
        <v>25</v>
      </c>
      <c r="N140">
        <v>14</v>
      </c>
      <c r="O140">
        <v>18</v>
      </c>
      <c r="P140">
        <v>375</v>
      </c>
      <c r="Q140">
        <v>20</v>
      </c>
      <c r="R140">
        <v>188</v>
      </c>
      <c r="S140">
        <v>1</v>
      </c>
      <c r="T140" t="s">
        <v>366</v>
      </c>
      <c r="U140">
        <v>0</v>
      </c>
      <c r="V140" s="2" t="s">
        <v>425</v>
      </c>
      <c r="W140" s="2"/>
      <c r="X140" s="2"/>
      <c r="Y140" s="2"/>
      <c r="Z140" s="2"/>
      <c r="AA140" s="2"/>
      <c r="AB140" s="2"/>
      <c r="AC140" s="2"/>
      <c r="AD140" s="2"/>
      <c r="AE140" s="2"/>
      <c r="AG140" t="s">
        <v>373</v>
      </c>
      <c r="AI140" t="s">
        <v>377</v>
      </c>
      <c r="AJ140" t="s">
        <v>378</v>
      </c>
      <c r="AK140" t="s">
        <v>379</v>
      </c>
      <c r="AL140" t="s">
        <v>551</v>
      </c>
      <c r="AM140">
        <v>8</v>
      </c>
      <c r="AN140">
        <v>1</v>
      </c>
      <c r="AP140" s="2">
        <f>(SQRT(K140*R140)*POWER((MIN(M140,20)+SQRT(MAX(M140-20,0))),0.9)*Data!$B$1)*(1-(S140-1))</f>
        <v>106.05285816833118</v>
      </c>
      <c r="AQ140" s="2"/>
      <c r="AR140" s="2">
        <f>((POWER((K140*K140*R140), 0.33)*LOG10(P140)*10*Data!$B$1)*S140)+AQ140</f>
        <v>124.02429472574501</v>
      </c>
      <c r="AS140" s="2">
        <f t="shared" si="40"/>
        <v>32.258064516129032</v>
      </c>
      <c r="AT140" s="2">
        <f t="shared" si="39"/>
        <v>0</v>
      </c>
      <c r="AU140" s="2">
        <v>4</v>
      </c>
      <c r="AV140" s="2">
        <v>4</v>
      </c>
      <c r="AW140" s="2">
        <v>4</v>
      </c>
      <c r="AX140" s="2">
        <f t="shared" si="41"/>
        <v>47</v>
      </c>
      <c r="AY140" s="2">
        <f t="shared" si="42"/>
        <v>62.666666666666664</v>
      </c>
      <c r="AZ140">
        <v>28</v>
      </c>
      <c r="BA140">
        <v>2.65</v>
      </c>
      <c r="BB140" s="3">
        <v>3.47</v>
      </c>
      <c r="BC140" s="2" t="str">
        <f>CONCATENATE(
ROUND(AZ140*VLOOKUP(I140,'ID Scheme'!$A$2:$E$7,3),0), "x",
ROUND(BA140*VLOOKUP(I140,'ID Scheme'!$A$2:$E$7,5),0), "x",
ROUND(BB140*VLOOKUP(I140,'ID Scheme'!$A$2:$E$7,4),0))</f>
        <v>262x38x34</v>
      </c>
      <c r="BD140" t="s">
        <v>128</v>
      </c>
    </row>
    <row r="141" spans="1:56" x14ac:dyDescent="0.25">
      <c r="A141" t="s">
        <v>126</v>
      </c>
      <c r="B141" t="s">
        <v>242</v>
      </c>
      <c r="C141" t="s">
        <v>325</v>
      </c>
      <c r="D141">
        <f>IF(E141 &gt; 2020, ((E141-2020)*4)+1610+G141,IF(E141 &gt; 1900, ((E141-1900)*10)+400+G141, ((E141-1730)*2)+G141))+VLOOKUP(I141,'ID Scheme'!$A$2:$B$7,2, FALSE)</f>
        <v>9981</v>
      </c>
      <c r="E141">
        <v>1998</v>
      </c>
      <c r="F141">
        <v>9</v>
      </c>
      <c r="G141">
        <v>1</v>
      </c>
      <c r="H141" t="s">
        <v>522</v>
      </c>
      <c r="I141" t="s">
        <v>104</v>
      </c>
      <c r="J141" t="s">
        <v>504</v>
      </c>
      <c r="K141">
        <v>50</v>
      </c>
      <c r="L141">
        <v>-1</v>
      </c>
      <c r="M141">
        <v>25</v>
      </c>
      <c r="N141">
        <v>14</v>
      </c>
      <c r="O141">
        <v>36</v>
      </c>
      <c r="P141">
        <v>480</v>
      </c>
      <c r="Q141">
        <v>20</v>
      </c>
      <c r="R141">
        <v>208</v>
      </c>
      <c r="S141">
        <v>1</v>
      </c>
      <c r="T141" t="s">
        <v>366</v>
      </c>
      <c r="U141">
        <v>0</v>
      </c>
      <c r="V141" s="2" t="s">
        <v>422</v>
      </c>
      <c r="W141" s="2"/>
      <c r="X141" s="2"/>
      <c r="Y141" s="2"/>
      <c r="Z141" s="2"/>
      <c r="AA141" s="2"/>
      <c r="AB141" s="2"/>
      <c r="AC141" s="2"/>
      <c r="AD141" s="2"/>
      <c r="AE141" s="2"/>
      <c r="AG141" t="s">
        <v>373</v>
      </c>
      <c r="AH141" t="s">
        <v>381</v>
      </c>
      <c r="AI141" s="5">
        <v>104104</v>
      </c>
      <c r="AJ141" t="s">
        <v>373</v>
      </c>
      <c r="AK141" t="s">
        <v>376</v>
      </c>
      <c r="AL141" t="s">
        <v>552</v>
      </c>
      <c r="AM141">
        <v>8</v>
      </c>
      <c r="AN141">
        <v>1</v>
      </c>
      <c r="AP141" s="2">
        <f>(SQRT(K141*R141)*POWER((MIN(M141,20)+SQRT(MAX(M141-20,0))),0.9)*Data!$B$1)*(1-(S141-1))</f>
        <v>124.71828400555908</v>
      </c>
      <c r="AQ141" s="2"/>
      <c r="AR141" s="2">
        <f>((POWER((K141*K141*R141), 0.33)*LOG10(P141)*10*Data!$B$1)*S141)+AQ141</f>
        <v>154.76696175306753</v>
      </c>
      <c r="AS141" s="2">
        <f t="shared" si="40"/>
        <v>40.322580645161288</v>
      </c>
      <c r="AT141" s="2">
        <f t="shared" si="39"/>
        <v>0</v>
      </c>
      <c r="AU141" s="2">
        <v>2</v>
      </c>
      <c r="AV141" s="2">
        <v>2</v>
      </c>
      <c r="AW141" s="2">
        <v>2</v>
      </c>
      <c r="AX141" s="2">
        <f t="shared" si="41"/>
        <v>104</v>
      </c>
      <c r="AY141" s="2">
        <f t="shared" si="42"/>
        <v>208</v>
      </c>
      <c r="AZ141">
        <v>30</v>
      </c>
      <c r="BA141">
        <v>2.65</v>
      </c>
      <c r="BB141" s="3">
        <v>3.67</v>
      </c>
      <c r="BC141" s="2" t="str">
        <f>CONCATENATE(
ROUND(AZ141*VLOOKUP(I141,'ID Scheme'!$A$2:$E$7,3),0), "x",
ROUND(BA141*VLOOKUP(I141,'ID Scheme'!$A$2:$E$7,5),0), "x",
ROUND(BB141*VLOOKUP(I141,'ID Scheme'!$A$2:$E$7,4),0))</f>
        <v>280x38x36</v>
      </c>
      <c r="BD141" t="s">
        <v>127</v>
      </c>
    </row>
    <row r="142" spans="1:56" x14ac:dyDescent="0.25">
      <c r="A142" t="s">
        <v>115</v>
      </c>
      <c r="B142" t="s">
        <v>246</v>
      </c>
      <c r="C142" t="s">
        <v>325</v>
      </c>
      <c r="D142">
        <f>IF(E142 &gt; 2020, ((E142-2020)*4)+1610+G142,IF(E142 &gt; 1900, ((E142-1900)*10)+400+G142, ((E142-1730)*2)+G142))+VLOOKUP(I142,'ID Scheme'!$A$2:$B$7,2, FALSE)</f>
        <v>10082</v>
      </c>
      <c r="E142">
        <v>2008</v>
      </c>
      <c r="F142">
        <v>1</v>
      </c>
      <c r="G142">
        <v>2</v>
      </c>
      <c r="H142" t="s">
        <v>522</v>
      </c>
      <c r="I142" t="s">
        <v>104</v>
      </c>
      <c r="J142" t="s">
        <v>504</v>
      </c>
      <c r="K142">
        <v>62</v>
      </c>
      <c r="L142">
        <v>-1</v>
      </c>
      <c r="M142">
        <v>25</v>
      </c>
      <c r="N142">
        <v>14</v>
      </c>
      <c r="O142">
        <v>36</v>
      </c>
      <c r="P142">
        <v>375</v>
      </c>
      <c r="Q142">
        <v>20</v>
      </c>
      <c r="R142">
        <v>284</v>
      </c>
      <c r="S142">
        <v>1</v>
      </c>
      <c r="T142" t="s">
        <v>366</v>
      </c>
      <c r="U142">
        <v>0</v>
      </c>
      <c r="V142" s="2" t="s">
        <v>427</v>
      </c>
      <c r="W142" s="2"/>
      <c r="X142" s="2"/>
      <c r="Y142" s="2"/>
      <c r="Z142" s="2"/>
      <c r="AA142" s="2"/>
      <c r="AB142" s="2"/>
      <c r="AC142" s="2"/>
      <c r="AD142" s="2"/>
      <c r="AE142" s="2"/>
      <c r="AG142" t="s">
        <v>373</v>
      </c>
      <c r="AH142" t="s">
        <v>401</v>
      </c>
      <c r="AI142" t="s">
        <v>382</v>
      </c>
      <c r="AJ142" t="s">
        <v>383</v>
      </c>
      <c r="AK142" t="s">
        <v>384</v>
      </c>
      <c r="AL142" t="s">
        <v>553</v>
      </c>
      <c r="AM142">
        <v>8</v>
      </c>
      <c r="AN142">
        <v>1</v>
      </c>
      <c r="AP142" s="2">
        <f>(SQRT(K142*R142)*POWER((MIN(M142,20)+SQRT(MAX(M142-20,0))),0.9)*Data!$B$1)*(1-(S142-1))</f>
        <v>162.28129769016738</v>
      </c>
      <c r="AQ142" s="2"/>
      <c r="AR142" s="2">
        <f>((POWER((K142*K142*R142), 0.33)*LOG10(P142)*10*Data!$B$1)*S142)+AQ142</f>
        <v>189.77921627665754</v>
      </c>
      <c r="AS142" s="2">
        <f t="shared" si="40"/>
        <v>50</v>
      </c>
      <c r="AT142" s="2">
        <f t="shared" si="39"/>
        <v>0</v>
      </c>
      <c r="AU142" s="2">
        <v>6</v>
      </c>
      <c r="AV142" s="2">
        <v>6</v>
      </c>
      <c r="AW142" s="2">
        <v>6</v>
      </c>
      <c r="AX142" s="2">
        <f t="shared" si="41"/>
        <v>47.333333333333336</v>
      </c>
      <c r="AY142" s="2">
        <f t="shared" si="42"/>
        <v>56.8</v>
      </c>
      <c r="AZ142">
        <v>32</v>
      </c>
      <c r="BA142">
        <v>2.65</v>
      </c>
      <c r="BB142" s="3">
        <v>3.42</v>
      </c>
      <c r="BC142" s="2" t="str">
        <f>CONCATENATE(
ROUND(AZ142*VLOOKUP(I142,'ID Scheme'!$A$2:$E$7,3),0), "x",
ROUND(BA142*VLOOKUP(I142,'ID Scheme'!$A$2:$E$7,5),0), "x",
ROUND(BB142*VLOOKUP(I142,'ID Scheme'!$A$2:$E$7,4),0))</f>
        <v>299x38x33</v>
      </c>
      <c r="BD142" t="s">
        <v>129</v>
      </c>
    </row>
    <row r="143" spans="1:56" x14ac:dyDescent="0.25">
      <c r="A143" t="s">
        <v>135</v>
      </c>
      <c r="B143" t="s">
        <v>249</v>
      </c>
      <c r="C143" t="s">
        <v>325</v>
      </c>
      <c r="D143">
        <f>IF(E143 &gt; 2020, ((E143-2020)*4)+1610+G143,IF(E143 &gt; 1900, ((E143-1900)*10)+400+G143, ((E143-1730)*2)+G143))+VLOOKUP(I143,'ID Scheme'!$A$2:$B$7,2, FALSE)</f>
        <v>10101</v>
      </c>
      <c r="E143">
        <v>2010</v>
      </c>
      <c r="F143">
        <v>11</v>
      </c>
      <c r="G143">
        <v>1</v>
      </c>
      <c r="H143" t="s">
        <v>522</v>
      </c>
      <c r="I143" t="s">
        <v>104</v>
      </c>
      <c r="J143" t="s">
        <v>504</v>
      </c>
      <c r="K143">
        <v>44</v>
      </c>
      <c r="L143">
        <v>-1</v>
      </c>
      <c r="M143">
        <v>25</v>
      </c>
      <c r="N143">
        <v>14</v>
      </c>
      <c r="O143">
        <v>41</v>
      </c>
      <c r="P143">
        <v>640</v>
      </c>
      <c r="Q143">
        <v>20</v>
      </c>
      <c r="R143">
        <v>225</v>
      </c>
      <c r="S143">
        <v>1</v>
      </c>
      <c r="T143" t="s">
        <v>366</v>
      </c>
      <c r="U143">
        <v>0</v>
      </c>
      <c r="V143" s="2" t="s">
        <v>423</v>
      </c>
      <c r="W143" s="2"/>
      <c r="X143" s="2"/>
      <c r="Y143" s="2"/>
      <c r="Z143" s="2"/>
      <c r="AA143" s="2"/>
      <c r="AB143" s="2"/>
      <c r="AC143" s="2"/>
      <c r="AD143" s="2"/>
      <c r="AE143" s="2"/>
      <c r="AG143" t="s">
        <v>385</v>
      </c>
      <c r="AH143" t="s">
        <v>402</v>
      </c>
      <c r="AI143" t="s">
        <v>386</v>
      </c>
      <c r="AJ143" t="s">
        <v>387</v>
      </c>
      <c r="AK143" t="s">
        <v>388</v>
      </c>
      <c r="AL143" t="s">
        <v>579</v>
      </c>
      <c r="AM143">
        <v>6</v>
      </c>
      <c r="AN143">
        <v>1</v>
      </c>
      <c r="AP143" s="2">
        <f>(SQRT(K143*R143)*POWER((MIN(M143,20)+SQRT(MAX(M143-20,0))),0.9)*Data!$B$1)*(1-(S143-1))</f>
        <v>121.68332110930714</v>
      </c>
      <c r="AQ143" s="2"/>
      <c r="AR143" s="2">
        <f>((POWER((K143*K143*R143), 0.33)*LOG10(P143)*10*Data!$B$1)*S143)+AQ143</f>
        <v>152.78326328641526</v>
      </c>
      <c r="AS143" s="2">
        <f t="shared" si="40"/>
        <v>35.483870967741936</v>
      </c>
      <c r="AT143" s="2">
        <f t="shared" si="39"/>
        <v>0</v>
      </c>
      <c r="AU143" s="2">
        <v>5</v>
      </c>
      <c r="AV143" s="2">
        <v>5</v>
      </c>
      <c r="AW143" s="2">
        <v>5</v>
      </c>
      <c r="AX143" s="2">
        <f t="shared" si="41"/>
        <v>45</v>
      </c>
      <c r="AY143" s="2">
        <f t="shared" si="42"/>
        <v>56.25</v>
      </c>
      <c r="BB143" s="3"/>
      <c r="BC143" s="2" t="str">
        <f>CONCATENATE(
ROUND(AZ143*VLOOKUP(I143,'ID Scheme'!$A$2:$E$7,3),0), "x",
ROUND(BA143*VLOOKUP(I143,'ID Scheme'!$A$2:$E$7,5),0), "x",
ROUND(BB143*VLOOKUP(I143,'ID Scheme'!$A$2:$E$7,4),0))</f>
        <v>0x0x0</v>
      </c>
      <c r="BD143" t="s">
        <v>136</v>
      </c>
    </row>
    <row r="144" spans="1:56" x14ac:dyDescent="0.25">
      <c r="A144" t="s">
        <v>133</v>
      </c>
      <c r="B144" t="s">
        <v>257</v>
      </c>
      <c r="C144" t="s">
        <v>325</v>
      </c>
      <c r="D144">
        <f>IF(E144 &gt; 2020, ((E144-2020)*4)+1610+G144,IF(E144 &gt; 1900, ((E144-1900)*10)+400+G144, ((E144-1730)*2)+G144))+VLOOKUP(I144,'ID Scheme'!$A$2:$B$7,2, FALSE)</f>
        <v>10171</v>
      </c>
      <c r="E144">
        <v>2017</v>
      </c>
      <c r="F144">
        <v>1</v>
      </c>
      <c r="G144">
        <v>1</v>
      </c>
      <c r="H144" t="s">
        <v>522</v>
      </c>
      <c r="I144" t="s">
        <v>104</v>
      </c>
      <c r="J144" t="s">
        <v>504</v>
      </c>
      <c r="K144">
        <v>62</v>
      </c>
      <c r="L144">
        <v>-1</v>
      </c>
      <c r="M144">
        <v>30</v>
      </c>
      <c r="N144">
        <v>12</v>
      </c>
      <c r="O144">
        <v>63</v>
      </c>
      <c r="P144">
        <v>1180</v>
      </c>
      <c r="Q144">
        <v>20</v>
      </c>
      <c r="R144">
        <v>238</v>
      </c>
      <c r="S144">
        <v>1</v>
      </c>
      <c r="T144" t="s">
        <v>366</v>
      </c>
      <c r="U144">
        <v>0</v>
      </c>
      <c r="V144" s="2" t="s">
        <v>426</v>
      </c>
      <c r="W144" s="2"/>
      <c r="X144" s="2"/>
      <c r="Y144" s="2"/>
      <c r="Z144" s="2"/>
      <c r="AA144" s="2"/>
      <c r="AB144" s="2"/>
      <c r="AC144" s="2"/>
      <c r="AD144" s="2"/>
      <c r="AE144" s="2"/>
      <c r="AG144" t="s">
        <v>389</v>
      </c>
      <c r="AH144" t="s">
        <v>403</v>
      </c>
      <c r="AI144" t="s">
        <v>390</v>
      </c>
      <c r="AJ144" t="s">
        <v>389</v>
      </c>
      <c r="AK144" t="s">
        <v>391</v>
      </c>
      <c r="AL144" t="s">
        <v>554</v>
      </c>
      <c r="AM144">
        <v>8</v>
      </c>
      <c r="AN144">
        <v>1</v>
      </c>
      <c r="AP144" s="2">
        <f>(SQRT(K144*R144)*POWER((MIN(M144,20)+SQRT(MAX(M144-20,0))),0.9)*Data!$B$1)*(1-(S144-1))</f>
        <v>154.11635315507084</v>
      </c>
      <c r="AQ144" s="2"/>
      <c r="AR144" s="2">
        <f>((POWER((K144*K144*R144), 0.33)*LOG10(P144)*10*Data!$B$1)*S144)+AQ144</f>
        <v>213.65580865997862</v>
      </c>
      <c r="AS144" s="2">
        <f t="shared" si="40"/>
        <v>50</v>
      </c>
      <c r="AT144" s="2">
        <f t="shared" si="39"/>
        <v>0</v>
      </c>
      <c r="AU144" s="2">
        <v>3</v>
      </c>
      <c r="AV144" s="2">
        <v>3</v>
      </c>
      <c r="AW144" s="2">
        <v>3</v>
      </c>
      <c r="AX144" s="2">
        <f t="shared" si="41"/>
        <v>79.333333333333329</v>
      </c>
      <c r="AY144" s="2">
        <f t="shared" si="42"/>
        <v>119</v>
      </c>
      <c r="AZ144">
        <v>37.200000000000003</v>
      </c>
      <c r="BA144">
        <v>2.65</v>
      </c>
      <c r="BB144" s="3">
        <v>3.6</v>
      </c>
      <c r="BC144" s="2" t="str">
        <f>CONCATENATE(
ROUND(AZ144*VLOOKUP(I144,'ID Scheme'!$A$2:$E$7,3),0), "x",
ROUND(BA144*VLOOKUP(I144,'ID Scheme'!$A$2:$E$7,5),0), "x",
ROUND(BB144*VLOOKUP(I144,'ID Scheme'!$A$2:$E$7,4),0))</f>
        <v>347x38x35</v>
      </c>
      <c r="BD144" t="s">
        <v>134</v>
      </c>
    </row>
  </sheetData>
  <autoFilter ref="A1:BD144" xr:uid="{56F55A87-583C-464E-B7D6-67124107F553}">
    <sortState xmlns:xlrd2="http://schemas.microsoft.com/office/spreadsheetml/2017/richdata2" ref="A2:BD144">
      <sortCondition ref="D1:D144"/>
    </sortState>
  </autoFilter>
  <sortState xmlns:xlrd2="http://schemas.microsoft.com/office/spreadsheetml/2017/richdata2" ref="A3:BD144">
    <sortCondition ref="D83"/>
  </sortState>
  <dataValidations count="1">
    <dataValidation showDropDown="1" showInputMessage="1" showErrorMessage="1" sqref="J1:J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</cp:lastModifiedBy>
  <dcterms:created xsi:type="dcterms:W3CDTF">2015-06-05T18:17:20Z</dcterms:created>
  <dcterms:modified xsi:type="dcterms:W3CDTF">2021-01-11T23:06:39Z</dcterms:modified>
</cp:coreProperties>
</file>