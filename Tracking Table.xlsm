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timberwolfs_road_vehicles\"/>
    </mc:Choice>
  </mc:AlternateContent>
  <xr:revisionPtr revIDLastSave="0" documentId="13_ncr:1_{BC3D8A63-889D-41A9-AF85-40BAC993975C}" xr6:coauthVersionLast="45" xr6:coauthVersionMax="45" xr10:uidLastSave="{00000000-0000-0000-0000-000000000000}"/>
  <bookViews>
    <workbookView xWindow="3060" yWindow="1290" windowWidth="27195" windowHeight="12555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table!$A$1:$BX$126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15" i="1" l="1"/>
  <c r="BV16" i="1"/>
  <c r="BV17" i="1"/>
  <c r="BV15" i="1"/>
  <c r="BN15" i="1"/>
  <c r="BO15" i="1"/>
  <c r="BP15" i="1"/>
  <c r="BQ15" i="1"/>
  <c r="BR15" i="1"/>
  <c r="BE14" i="1"/>
  <c r="BF14" i="1"/>
  <c r="BG14" i="1"/>
  <c r="BH14" i="1"/>
  <c r="BI14" i="1"/>
  <c r="BJ14" i="1"/>
  <c r="BM14" i="1"/>
  <c r="BE15" i="1"/>
  <c r="BF15" i="1"/>
  <c r="BG15" i="1"/>
  <c r="BH15" i="1"/>
  <c r="BI15" i="1"/>
  <c r="BJ15" i="1"/>
  <c r="BM15" i="1"/>
  <c r="BE16" i="1"/>
  <c r="BF16" i="1"/>
  <c r="BG16" i="1"/>
  <c r="BH16" i="1"/>
  <c r="BI16" i="1"/>
  <c r="BJ16" i="1"/>
  <c r="BM16" i="1"/>
  <c r="BA15" i="1"/>
  <c r="BB15" i="1"/>
  <c r="D15" i="1"/>
  <c r="BO55" i="1" l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1" i="1"/>
  <c r="BO12" i="1"/>
  <c r="BO13" i="1"/>
  <c r="BO14" i="1"/>
  <c r="BO16" i="1"/>
  <c r="BO17" i="1"/>
  <c r="BO18" i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Q82" i="1"/>
  <c r="BQ83" i="1"/>
  <c r="BQ84" i="1"/>
  <c r="BQ85" i="1"/>
  <c r="BQ86" i="1"/>
  <c r="BQ87" i="1"/>
  <c r="BQ88" i="1"/>
  <c r="BQ89" i="1"/>
  <c r="BQ90" i="1"/>
  <c r="BQ91" i="1"/>
  <c r="BQ92" i="1"/>
  <c r="BQ93" i="1"/>
  <c r="BQ94" i="1"/>
  <c r="BQ95" i="1"/>
  <c r="BQ96" i="1"/>
  <c r="BQ97" i="1"/>
  <c r="BQ98" i="1"/>
  <c r="BQ99" i="1"/>
  <c r="BQ100" i="1"/>
  <c r="BQ101" i="1"/>
  <c r="BQ102" i="1"/>
  <c r="BQ103" i="1"/>
  <c r="BQ104" i="1"/>
  <c r="BQ105" i="1"/>
  <c r="BQ106" i="1"/>
  <c r="BQ107" i="1"/>
  <c r="BQ108" i="1"/>
  <c r="BQ109" i="1"/>
  <c r="BQ110" i="1"/>
  <c r="BQ111" i="1"/>
  <c r="BQ112" i="1"/>
  <c r="BQ113" i="1"/>
  <c r="BQ114" i="1"/>
  <c r="BQ115" i="1"/>
  <c r="BQ116" i="1"/>
  <c r="BQ117" i="1"/>
  <c r="BQ118" i="1"/>
  <c r="BQ119" i="1"/>
  <c r="BQ120" i="1"/>
  <c r="BQ11" i="1"/>
  <c r="BQ12" i="1"/>
  <c r="BQ13" i="1"/>
  <c r="BQ14" i="1"/>
  <c r="BQ16" i="1"/>
  <c r="BQ17" i="1"/>
  <c r="BQ18" i="1"/>
  <c r="BQ19" i="1"/>
  <c r="BQ20" i="1"/>
  <c r="BQ21" i="1"/>
  <c r="BQ22" i="1"/>
  <c r="BQ23" i="1"/>
  <c r="BQ24" i="1"/>
  <c r="BQ25" i="1"/>
  <c r="BQ26" i="1"/>
  <c r="BQ27" i="1"/>
  <c r="BQ28" i="1"/>
  <c r="BQ29" i="1"/>
  <c r="BQ30" i="1"/>
  <c r="BQ31" i="1"/>
  <c r="BQ32" i="1"/>
  <c r="BQ33" i="1"/>
  <c r="BQ34" i="1"/>
  <c r="BQ35" i="1"/>
  <c r="BQ36" i="1"/>
  <c r="BQ37" i="1"/>
  <c r="BQ38" i="1"/>
  <c r="BQ39" i="1"/>
  <c r="BQ40" i="1"/>
  <c r="BQ41" i="1"/>
  <c r="BQ42" i="1"/>
  <c r="BQ43" i="1"/>
  <c r="BQ44" i="1"/>
  <c r="BQ49" i="1"/>
  <c r="BQ55" i="1"/>
  <c r="AK126" i="1"/>
  <c r="BO126" i="1" s="1"/>
  <c r="AK125" i="1"/>
  <c r="BO125" i="1" s="1"/>
  <c r="AK124" i="1"/>
  <c r="BO124" i="1" s="1"/>
  <c r="AK123" i="1"/>
  <c r="BO123" i="1" s="1"/>
  <c r="AK122" i="1"/>
  <c r="BO122" i="1" s="1"/>
  <c r="AK121" i="1"/>
  <c r="BO121" i="1" s="1"/>
  <c r="AK81" i="1"/>
  <c r="BO81" i="1" s="1"/>
  <c r="AK79" i="1"/>
  <c r="BO79" i="1" s="1"/>
  <c r="AK77" i="1"/>
  <c r="BO77" i="1" s="1"/>
  <c r="AK76" i="1"/>
  <c r="BO76" i="1" s="1"/>
  <c r="AK75" i="1"/>
  <c r="BO75" i="1" s="1"/>
  <c r="AK73" i="1"/>
  <c r="BO73" i="1" s="1"/>
  <c r="AK72" i="1"/>
  <c r="BO72" i="1" s="1"/>
  <c r="AK70" i="1"/>
  <c r="BO70" i="1" s="1"/>
  <c r="AK68" i="1"/>
  <c r="BO68" i="1" s="1"/>
  <c r="AK67" i="1"/>
  <c r="BO67" i="1" s="1"/>
  <c r="AK66" i="1"/>
  <c r="BO66" i="1" s="1"/>
  <c r="AK80" i="1"/>
  <c r="BO80" i="1" s="1"/>
  <c r="AK78" i="1"/>
  <c r="BO78" i="1" s="1"/>
  <c r="AK74" i="1"/>
  <c r="BO74" i="1" s="1"/>
  <c r="AK71" i="1"/>
  <c r="BO71" i="1" s="1"/>
  <c r="AK69" i="1"/>
  <c r="BO69" i="1" s="1"/>
  <c r="AK65" i="1"/>
  <c r="BO65" i="1" s="1"/>
  <c r="AK64" i="1"/>
  <c r="BO64" i="1" s="1"/>
  <c r="AK63" i="1"/>
  <c r="BO63" i="1" s="1"/>
  <c r="AK62" i="1"/>
  <c r="BO62" i="1" s="1"/>
  <c r="AK61" i="1"/>
  <c r="BO61" i="1" s="1"/>
  <c r="AK60" i="1"/>
  <c r="BO60" i="1" s="1"/>
  <c r="AK59" i="1"/>
  <c r="BO59" i="1" s="1"/>
  <c r="AK58" i="1"/>
  <c r="BO58" i="1" s="1"/>
  <c r="AK57" i="1"/>
  <c r="BO57" i="1" s="1"/>
  <c r="AK56" i="1"/>
  <c r="BO56" i="1" s="1"/>
  <c r="AK54" i="1"/>
  <c r="BO54" i="1" s="1"/>
  <c r="AK53" i="1"/>
  <c r="BO53" i="1" s="1"/>
  <c r="AK52" i="1"/>
  <c r="BO52" i="1" s="1"/>
  <c r="AK51" i="1"/>
  <c r="BO51" i="1" s="1"/>
  <c r="AK50" i="1"/>
  <c r="BO50" i="1" s="1"/>
  <c r="AK49" i="1"/>
  <c r="BO49" i="1" s="1"/>
  <c r="AK48" i="1"/>
  <c r="BO48" i="1" s="1"/>
  <c r="AK47" i="1"/>
  <c r="BO47" i="1" s="1"/>
  <c r="AK46" i="1"/>
  <c r="BO46" i="1" s="1"/>
  <c r="AK45" i="1"/>
  <c r="BO45" i="1" s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49" i="1"/>
  <c r="AM55" i="1"/>
  <c r="AM82" i="1"/>
  <c r="AM83" i="1"/>
  <c r="AM84" i="1"/>
  <c r="BN45" i="1"/>
  <c r="AJ80" i="1" l="1"/>
  <c r="AJ78" i="1"/>
  <c r="AJ74" i="1"/>
  <c r="AJ71" i="1"/>
  <c r="AJ69" i="1"/>
  <c r="AJ65" i="1"/>
  <c r="AJ64" i="1"/>
  <c r="AJ58" i="1"/>
  <c r="AJ81" i="1"/>
  <c r="AJ47" i="1"/>
  <c r="AJ46" i="1"/>
  <c r="AJ45" i="1"/>
  <c r="AJ126" i="1"/>
  <c r="BQ126" i="1" s="1"/>
  <c r="AJ125" i="1"/>
  <c r="BQ125" i="1" s="1"/>
  <c r="AJ124" i="1"/>
  <c r="BQ124" i="1" s="1"/>
  <c r="AJ123" i="1"/>
  <c r="BQ123" i="1" s="1"/>
  <c r="AJ122" i="1"/>
  <c r="BQ122" i="1" s="1"/>
  <c r="AJ121" i="1"/>
  <c r="BQ121" i="1" s="1"/>
  <c r="AJ79" i="1"/>
  <c r="AJ77" i="1"/>
  <c r="AJ76" i="1"/>
  <c r="AJ75" i="1"/>
  <c r="AJ73" i="1"/>
  <c r="AJ72" i="1"/>
  <c r="AJ70" i="1"/>
  <c r="AJ68" i="1"/>
  <c r="AJ67" i="1"/>
  <c r="AJ66" i="1"/>
  <c r="AJ63" i="1"/>
  <c r="AJ62" i="1"/>
  <c r="AJ61" i="1"/>
  <c r="AJ60" i="1"/>
  <c r="AJ59" i="1"/>
  <c r="AJ57" i="1"/>
  <c r="AJ56" i="1"/>
  <c r="AJ54" i="1"/>
  <c r="AJ53" i="1"/>
  <c r="AJ52" i="1"/>
  <c r="AJ51" i="1"/>
  <c r="AJ50" i="1"/>
  <c r="AJ48" i="1"/>
  <c r="BM62" i="1"/>
  <c r="AL62" i="1" s="1"/>
  <c r="BM63" i="1"/>
  <c r="AL63" i="1" s="1"/>
  <c r="BM64" i="1"/>
  <c r="AL64" i="1" s="1"/>
  <c r="BM65" i="1"/>
  <c r="AL65" i="1" s="1"/>
  <c r="BM66" i="1"/>
  <c r="AL66" i="1" s="1"/>
  <c r="BM67" i="1"/>
  <c r="AL67" i="1" s="1"/>
  <c r="BM68" i="1"/>
  <c r="AL68" i="1" s="1"/>
  <c r="BM69" i="1"/>
  <c r="AL69" i="1" s="1"/>
  <c r="BM70" i="1"/>
  <c r="AL70" i="1" s="1"/>
  <c r="BM71" i="1"/>
  <c r="AL71" i="1" s="1"/>
  <c r="BM72" i="1"/>
  <c r="AL72" i="1" s="1"/>
  <c r="BM73" i="1"/>
  <c r="AL73" i="1" s="1"/>
  <c r="BM74" i="1"/>
  <c r="AL74" i="1" s="1"/>
  <c r="BM75" i="1"/>
  <c r="AL75" i="1" s="1"/>
  <c r="BM76" i="1"/>
  <c r="AL76" i="1" s="1"/>
  <c r="BM77" i="1"/>
  <c r="AL77" i="1" s="1"/>
  <c r="BM78" i="1"/>
  <c r="AL78" i="1" s="1"/>
  <c r="BM79" i="1"/>
  <c r="AL79" i="1" s="1"/>
  <c r="BM80" i="1"/>
  <c r="AL80" i="1" s="1"/>
  <c r="BM81" i="1"/>
  <c r="AL81" i="1" s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AL121" i="1" s="1"/>
  <c r="BM122" i="1"/>
  <c r="AL122" i="1" s="1"/>
  <c r="BM123" i="1"/>
  <c r="AL123" i="1" s="1"/>
  <c r="BM124" i="1"/>
  <c r="AL124" i="1" s="1"/>
  <c r="BM125" i="1"/>
  <c r="AL125" i="1" s="1"/>
  <c r="BM126" i="1"/>
  <c r="AL126" i="1" s="1"/>
  <c r="BM11" i="1"/>
  <c r="BM12" i="1"/>
  <c r="BM13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AL45" i="1" s="1"/>
  <c r="BM46" i="1"/>
  <c r="AL46" i="1" s="1"/>
  <c r="BM47" i="1"/>
  <c r="AL47" i="1" s="1"/>
  <c r="BM48" i="1"/>
  <c r="AL48" i="1" s="1"/>
  <c r="BM49" i="1"/>
  <c r="AL49" i="1" s="1"/>
  <c r="BM50" i="1"/>
  <c r="AL50" i="1" s="1"/>
  <c r="BM51" i="1"/>
  <c r="AL51" i="1" s="1"/>
  <c r="BM52" i="1"/>
  <c r="AL52" i="1" s="1"/>
  <c r="BM53" i="1"/>
  <c r="AL53" i="1" s="1"/>
  <c r="BM54" i="1"/>
  <c r="AL54" i="1" s="1"/>
  <c r="BM55" i="1"/>
  <c r="BM56" i="1"/>
  <c r="AL56" i="1" s="1"/>
  <c r="BM57" i="1"/>
  <c r="AL57" i="1" s="1"/>
  <c r="BM58" i="1"/>
  <c r="AL58" i="1" s="1"/>
  <c r="BM59" i="1"/>
  <c r="AL59" i="1" s="1"/>
  <c r="BM60" i="1"/>
  <c r="AL60" i="1" s="1"/>
  <c r="BM61" i="1"/>
  <c r="AL61" i="1" s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23" i="1"/>
  <c r="BN124" i="1"/>
  <c r="BN125" i="1"/>
  <c r="BN126" i="1"/>
  <c r="BN11" i="1"/>
  <c r="BN12" i="1"/>
  <c r="BN13" i="1"/>
  <c r="BN14" i="1"/>
  <c r="BN16" i="1"/>
  <c r="BN17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N41" i="1"/>
  <c r="BN42" i="1"/>
  <c r="BN43" i="1"/>
  <c r="BN44" i="1"/>
  <c r="BP45" i="1"/>
  <c r="BP81" i="1"/>
  <c r="BP79" i="1"/>
  <c r="BP77" i="1"/>
  <c r="BP75" i="1"/>
  <c r="BP73" i="1"/>
  <c r="BP68" i="1"/>
  <c r="BP67" i="1"/>
  <c r="BP66" i="1"/>
  <c r="BP63" i="1"/>
  <c r="BP61" i="1"/>
  <c r="BP52" i="1"/>
  <c r="BP50" i="1"/>
  <c r="BQ52" i="1" l="1"/>
  <c r="AM52" i="1"/>
  <c r="BQ57" i="1"/>
  <c r="AM57" i="1"/>
  <c r="AM62" i="1"/>
  <c r="BQ62" i="1"/>
  <c r="BQ68" i="1"/>
  <c r="AM68" i="1"/>
  <c r="AM75" i="1"/>
  <c r="BQ75" i="1"/>
  <c r="BQ47" i="1"/>
  <c r="AM47" i="1"/>
  <c r="BQ65" i="1"/>
  <c r="AM65" i="1"/>
  <c r="AM78" i="1"/>
  <c r="BQ78" i="1"/>
  <c r="BQ48" i="1"/>
  <c r="AM48" i="1"/>
  <c r="BQ53" i="1"/>
  <c r="AM53" i="1"/>
  <c r="BQ59" i="1"/>
  <c r="AM59" i="1"/>
  <c r="AM63" i="1"/>
  <c r="BQ63" i="1"/>
  <c r="AM70" i="1"/>
  <c r="BQ70" i="1"/>
  <c r="BQ76" i="1"/>
  <c r="AM76" i="1"/>
  <c r="BQ81" i="1"/>
  <c r="AM81" i="1"/>
  <c r="BQ69" i="1"/>
  <c r="AM69" i="1"/>
  <c r="BQ80" i="1"/>
  <c r="AM80" i="1"/>
  <c r="AM50" i="1"/>
  <c r="BQ50" i="1"/>
  <c r="AM54" i="1"/>
  <c r="BQ54" i="1"/>
  <c r="BQ60" i="1"/>
  <c r="AM60" i="1"/>
  <c r="AM66" i="1"/>
  <c r="BQ66" i="1"/>
  <c r="BQ72" i="1"/>
  <c r="AM72" i="1"/>
  <c r="BQ77" i="1"/>
  <c r="AM77" i="1"/>
  <c r="BQ45" i="1"/>
  <c r="AM45" i="1"/>
  <c r="AM58" i="1"/>
  <c r="BQ58" i="1"/>
  <c r="BQ71" i="1"/>
  <c r="AM71" i="1"/>
  <c r="AM51" i="1"/>
  <c r="BQ51" i="1"/>
  <c r="BQ56" i="1"/>
  <c r="AM56" i="1"/>
  <c r="BQ61" i="1"/>
  <c r="AM61" i="1"/>
  <c r="AM67" i="1"/>
  <c r="BQ67" i="1"/>
  <c r="BQ73" i="1"/>
  <c r="AM73" i="1"/>
  <c r="BQ79" i="1"/>
  <c r="AM79" i="1"/>
  <c r="AM46" i="1"/>
  <c r="BQ46" i="1"/>
  <c r="BQ64" i="1"/>
  <c r="AM64" i="1"/>
  <c r="AM74" i="1"/>
  <c r="BQ74" i="1"/>
  <c r="AM126" i="1"/>
  <c r="AM125" i="1"/>
  <c r="AM124" i="1"/>
  <c r="AM123" i="1"/>
  <c r="AM122" i="1"/>
  <c r="AM121" i="1"/>
  <c r="BW59" i="1"/>
  <c r="BV59" i="1"/>
  <c r="BR59" i="1"/>
  <c r="BP59" i="1"/>
  <c r="BJ59" i="1"/>
  <c r="BI59" i="1"/>
  <c r="BH59" i="1"/>
  <c r="BG59" i="1"/>
  <c r="BE59" i="1"/>
  <c r="BB59" i="1"/>
  <c r="BF59" i="1" s="1"/>
  <c r="BA59" i="1"/>
  <c r="D59" i="1"/>
  <c r="BW52" i="1"/>
  <c r="BV52" i="1"/>
  <c r="BR52" i="1"/>
  <c r="BJ52" i="1"/>
  <c r="BI52" i="1"/>
  <c r="BH52" i="1"/>
  <c r="BG52" i="1"/>
  <c r="BE52" i="1"/>
  <c r="BB52" i="1"/>
  <c r="BF52" i="1" s="1"/>
  <c r="BA52" i="1"/>
  <c r="D52" i="1"/>
  <c r="BA41" i="1" l="1"/>
  <c r="BB41" i="1"/>
  <c r="BA42" i="1"/>
  <c r="BB42" i="1"/>
  <c r="BA43" i="1"/>
  <c r="BB43" i="1"/>
  <c r="BA45" i="1"/>
  <c r="BB45" i="1"/>
  <c r="BA46" i="1"/>
  <c r="BB46" i="1"/>
  <c r="BA47" i="1"/>
  <c r="BB47" i="1"/>
  <c r="BA48" i="1"/>
  <c r="BB48" i="1"/>
  <c r="BA49" i="1"/>
  <c r="BB49" i="1"/>
  <c r="BA50" i="1"/>
  <c r="BB50" i="1"/>
  <c r="BA51" i="1"/>
  <c r="BB51" i="1"/>
  <c r="BA53" i="1"/>
  <c r="BB53" i="1"/>
  <c r="BA54" i="1"/>
  <c r="BB54" i="1"/>
  <c r="BA55" i="1"/>
  <c r="BB55" i="1"/>
  <c r="BA56" i="1"/>
  <c r="BB56" i="1"/>
  <c r="BA57" i="1"/>
  <c r="BB57" i="1"/>
  <c r="BA58" i="1"/>
  <c r="BB58" i="1"/>
  <c r="BA60" i="1"/>
  <c r="BB60" i="1"/>
  <c r="BA61" i="1"/>
  <c r="BB61" i="1"/>
  <c r="BA62" i="1"/>
  <c r="BB62" i="1"/>
  <c r="BA63" i="1"/>
  <c r="BB63" i="1"/>
  <c r="BA64" i="1"/>
  <c r="BB64" i="1"/>
  <c r="BA65" i="1"/>
  <c r="BB65" i="1"/>
  <c r="BA66" i="1"/>
  <c r="BB66" i="1"/>
  <c r="BA67" i="1"/>
  <c r="BB67" i="1"/>
  <c r="BA68" i="1"/>
  <c r="BB68" i="1"/>
  <c r="BA69" i="1"/>
  <c r="BB69" i="1"/>
  <c r="BA70" i="1"/>
  <c r="BB70" i="1"/>
  <c r="BA71" i="1"/>
  <c r="BB71" i="1"/>
  <c r="BA72" i="1"/>
  <c r="BB72" i="1"/>
  <c r="BA73" i="1"/>
  <c r="BB73" i="1"/>
  <c r="BA74" i="1"/>
  <c r="BB74" i="1"/>
  <c r="BA75" i="1"/>
  <c r="BB75" i="1"/>
  <c r="BA76" i="1"/>
  <c r="BB76" i="1"/>
  <c r="BA77" i="1"/>
  <c r="BB77" i="1"/>
  <c r="BA78" i="1"/>
  <c r="BB78" i="1"/>
  <c r="BA79" i="1"/>
  <c r="BB79" i="1"/>
  <c r="BA80" i="1"/>
  <c r="BB80" i="1"/>
  <c r="BA81" i="1"/>
  <c r="BB81" i="1"/>
  <c r="BA82" i="1"/>
  <c r="BB82" i="1"/>
  <c r="BA83" i="1"/>
  <c r="BB83" i="1"/>
  <c r="BA84" i="1"/>
  <c r="BB84" i="1"/>
  <c r="BA85" i="1"/>
  <c r="BB85" i="1"/>
  <c r="BA86" i="1"/>
  <c r="BB86" i="1"/>
  <c r="BA87" i="1"/>
  <c r="BB87" i="1"/>
  <c r="BA88" i="1"/>
  <c r="BB88" i="1"/>
  <c r="BA89" i="1"/>
  <c r="BB89" i="1"/>
  <c r="BA90" i="1"/>
  <c r="BB90" i="1"/>
  <c r="BA91" i="1"/>
  <c r="BB91" i="1"/>
  <c r="BA92" i="1"/>
  <c r="BB92" i="1"/>
  <c r="BA93" i="1"/>
  <c r="BB93" i="1"/>
  <c r="BA94" i="1"/>
  <c r="BB94" i="1"/>
  <c r="BA95" i="1"/>
  <c r="BB95" i="1"/>
  <c r="BA96" i="1"/>
  <c r="BB96" i="1"/>
  <c r="BA97" i="1"/>
  <c r="BB97" i="1"/>
  <c r="BA98" i="1"/>
  <c r="BB98" i="1"/>
  <c r="BA99" i="1"/>
  <c r="BB99" i="1"/>
  <c r="BA100" i="1"/>
  <c r="BB100" i="1"/>
  <c r="BA101" i="1"/>
  <c r="BB101" i="1"/>
  <c r="BA102" i="1"/>
  <c r="BB102" i="1"/>
  <c r="BA103" i="1"/>
  <c r="BB103" i="1"/>
  <c r="BA104" i="1"/>
  <c r="BB104" i="1"/>
  <c r="BA105" i="1"/>
  <c r="BB105" i="1"/>
  <c r="BA106" i="1"/>
  <c r="BB106" i="1"/>
  <c r="BA107" i="1"/>
  <c r="BB107" i="1"/>
  <c r="BA108" i="1"/>
  <c r="BB108" i="1"/>
  <c r="BA109" i="1"/>
  <c r="BB109" i="1"/>
  <c r="BA110" i="1"/>
  <c r="BB110" i="1"/>
  <c r="BA111" i="1"/>
  <c r="BB111" i="1"/>
  <c r="BA112" i="1"/>
  <c r="BB112" i="1"/>
  <c r="BA113" i="1"/>
  <c r="BB113" i="1"/>
  <c r="BA114" i="1"/>
  <c r="BB114" i="1"/>
  <c r="BA115" i="1"/>
  <c r="BB115" i="1"/>
  <c r="BA116" i="1"/>
  <c r="BB116" i="1"/>
  <c r="BA117" i="1"/>
  <c r="BB117" i="1"/>
  <c r="BA118" i="1"/>
  <c r="BB118" i="1"/>
  <c r="BA119" i="1"/>
  <c r="BB119" i="1"/>
  <c r="BA120" i="1"/>
  <c r="BB120" i="1"/>
  <c r="BA121" i="1"/>
  <c r="BB121" i="1"/>
  <c r="BA122" i="1"/>
  <c r="BB122" i="1"/>
  <c r="BA123" i="1"/>
  <c r="BB123" i="1"/>
  <c r="BA124" i="1"/>
  <c r="BB124" i="1"/>
  <c r="BA125" i="1"/>
  <c r="BB125" i="1"/>
  <c r="BA126" i="1"/>
  <c r="BB126" i="1"/>
  <c r="BA11" i="1"/>
  <c r="BB11" i="1"/>
  <c r="BA12" i="1"/>
  <c r="BB12" i="1"/>
  <c r="BA13" i="1"/>
  <c r="BB13" i="1"/>
  <c r="BA14" i="1"/>
  <c r="BB14" i="1"/>
  <c r="BA16" i="1"/>
  <c r="BB16" i="1"/>
  <c r="BA17" i="1"/>
  <c r="BB17" i="1"/>
  <c r="BA18" i="1"/>
  <c r="BB18" i="1"/>
  <c r="BA19" i="1"/>
  <c r="BB19" i="1"/>
  <c r="BA20" i="1"/>
  <c r="BB20" i="1"/>
  <c r="BA21" i="1"/>
  <c r="BB21" i="1"/>
  <c r="BA22" i="1"/>
  <c r="BB22" i="1"/>
  <c r="BA23" i="1"/>
  <c r="BB23" i="1"/>
  <c r="BA24" i="1"/>
  <c r="BB24" i="1"/>
  <c r="BA25" i="1"/>
  <c r="BB25" i="1"/>
  <c r="BA26" i="1"/>
  <c r="BB26" i="1"/>
  <c r="BA27" i="1"/>
  <c r="BB27" i="1"/>
  <c r="BA28" i="1"/>
  <c r="BB28" i="1"/>
  <c r="BA29" i="1"/>
  <c r="BB29" i="1"/>
  <c r="BA30" i="1"/>
  <c r="BB30" i="1"/>
  <c r="BA31" i="1"/>
  <c r="BB31" i="1"/>
  <c r="BA32" i="1"/>
  <c r="BB32" i="1"/>
  <c r="BA33" i="1"/>
  <c r="BB33" i="1"/>
  <c r="BA34" i="1"/>
  <c r="BB34" i="1"/>
  <c r="BA35" i="1"/>
  <c r="BB35" i="1"/>
  <c r="BA37" i="1"/>
  <c r="BB37" i="1"/>
  <c r="BA36" i="1"/>
  <c r="BB36" i="1"/>
  <c r="BA38" i="1"/>
  <c r="BB38" i="1"/>
  <c r="BA39" i="1"/>
  <c r="BB39" i="1"/>
  <c r="BA40" i="1"/>
  <c r="BB40" i="1"/>
  <c r="BB44" i="1"/>
  <c r="BF44" i="1" s="1"/>
  <c r="BA44" i="1"/>
  <c r="BW44" i="1"/>
  <c r="BV44" i="1"/>
  <c r="BR44" i="1"/>
  <c r="BP44" i="1"/>
  <c r="BJ44" i="1"/>
  <c r="BI44" i="1"/>
  <c r="BH44" i="1"/>
  <c r="BG44" i="1"/>
  <c r="BE44" i="1"/>
  <c r="D44" i="1"/>
  <c r="BP12" i="1" l="1"/>
  <c r="BR12" i="1"/>
  <c r="BP13" i="1"/>
  <c r="BR13" i="1"/>
  <c r="BP14" i="1"/>
  <c r="BR14" i="1"/>
  <c r="BP16" i="1"/>
  <c r="BR16" i="1"/>
  <c r="BP17" i="1"/>
  <c r="BR17" i="1"/>
  <c r="BP18" i="1"/>
  <c r="BR18" i="1"/>
  <c r="BP19" i="1"/>
  <c r="BR19" i="1"/>
  <c r="BP20" i="1"/>
  <c r="BR20" i="1"/>
  <c r="BP21" i="1"/>
  <c r="BR21" i="1"/>
  <c r="BP22" i="1"/>
  <c r="BR22" i="1"/>
  <c r="BP23" i="1"/>
  <c r="BR23" i="1"/>
  <c r="BP24" i="1"/>
  <c r="BR24" i="1"/>
  <c r="BP25" i="1"/>
  <c r="BR25" i="1"/>
  <c r="BP26" i="1"/>
  <c r="BR26" i="1"/>
  <c r="BP27" i="1"/>
  <c r="BR27" i="1"/>
  <c r="BP28" i="1"/>
  <c r="BR28" i="1"/>
  <c r="BP29" i="1"/>
  <c r="BR29" i="1"/>
  <c r="BP30" i="1"/>
  <c r="BR30" i="1"/>
  <c r="BP31" i="1"/>
  <c r="BR31" i="1"/>
  <c r="BP32" i="1"/>
  <c r="BR32" i="1"/>
  <c r="BP33" i="1"/>
  <c r="BR33" i="1"/>
  <c r="BP34" i="1"/>
  <c r="BR34" i="1"/>
  <c r="BP35" i="1"/>
  <c r="BR35" i="1"/>
  <c r="BP37" i="1"/>
  <c r="BR37" i="1"/>
  <c r="BP36" i="1"/>
  <c r="BR36" i="1"/>
  <c r="BP38" i="1"/>
  <c r="BR38" i="1"/>
  <c r="BP39" i="1"/>
  <c r="BR39" i="1"/>
  <c r="BP40" i="1"/>
  <c r="BR40" i="1"/>
  <c r="BP41" i="1"/>
  <c r="BR41" i="1"/>
  <c r="BP42" i="1"/>
  <c r="BR42" i="1"/>
  <c r="BP43" i="1"/>
  <c r="BR43" i="1"/>
  <c r="BR45" i="1"/>
  <c r="BP46" i="1"/>
  <c r="BR46" i="1"/>
  <c r="BP47" i="1"/>
  <c r="BR47" i="1"/>
  <c r="BP48" i="1"/>
  <c r="BR48" i="1"/>
  <c r="BP49" i="1"/>
  <c r="BR49" i="1"/>
  <c r="BR50" i="1"/>
  <c r="BP51" i="1"/>
  <c r="BR51" i="1"/>
  <c r="BP53" i="1"/>
  <c r="BR53" i="1"/>
  <c r="BP54" i="1"/>
  <c r="BR54" i="1"/>
  <c r="BP55" i="1"/>
  <c r="BR55" i="1"/>
  <c r="BP56" i="1"/>
  <c r="BR56" i="1"/>
  <c r="BP57" i="1"/>
  <c r="BR57" i="1"/>
  <c r="BP58" i="1"/>
  <c r="BR58" i="1"/>
  <c r="BP60" i="1"/>
  <c r="BR60" i="1"/>
  <c r="BR61" i="1"/>
  <c r="BP62" i="1"/>
  <c r="BR62" i="1"/>
  <c r="BR63" i="1"/>
  <c r="BP64" i="1"/>
  <c r="BR64" i="1"/>
  <c r="BP65" i="1"/>
  <c r="BR65" i="1"/>
  <c r="BR66" i="1"/>
  <c r="BR67" i="1"/>
  <c r="BR68" i="1"/>
  <c r="BP69" i="1"/>
  <c r="BR69" i="1"/>
  <c r="BP70" i="1"/>
  <c r="BR70" i="1"/>
  <c r="BP71" i="1"/>
  <c r="BR71" i="1"/>
  <c r="BP72" i="1"/>
  <c r="BR72" i="1"/>
  <c r="BR73" i="1"/>
  <c r="BP74" i="1"/>
  <c r="BR74" i="1"/>
  <c r="BR75" i="1"/>
  <c r="BP76" i="1"/>
  <c r="BR76" i="1"/>
  <c r="BR77" i="1"/>
  <c r="BP78" i="1"/>
  <c r="BR78" i="1"/>
  <c r="BR79" i="1"/>
  <c r="BP80" i="1"/>
  <c r="BR80" i="1"/>
  <c r="BR81" i="1"/>
  <c r="BP82" i="1"/>
  <c r="BR82" i="1"/>
  <c r="BP83" i="1"/>
  <c r="BR83" i="1"/>
  <c r="BP84" i="1"/>
  <c r="BR84" i="1"/>
  <c r="BP85" i="1"/>
  <c r="BR85" i="1"/>
  <c r="BP86" i="1"/>
  <c r="BR86" i="1"/>
  <c r="BP87" i="1"/>
  <c r="BR87" i="1"/>
  <c r="BP88" i="1"/>
  <c r="BR88" i="1"/>
  <c r="BP89" i="1"/>
  <c r="BR89" i="1"/>
  <c r="BP90" i="1"/>
  <c r="BR90" i="1"/>
  <c r="BP91" i="1"/>
  <c r="BR91" i="1"/>
  <c r="BP92" i="1"/>
  <c r="BR92" i="1"/>
  <c r="BP93" i="1"/>
  <c r="BR93" i="1"/>
  <c r="BP94" i="1"/>
  <c r="BR94" i="1"/>
  <c r="BP95" i="1"/>
  <c r="BR95" i="1"/>
  <c r="BP96" i="1"/>
  <c r="BR96" i="1"/>
  <c r="BP97" i="1"/>
  <c r="BR97" i="1"/>
  <c r="BP98" i="1"/>
  <c r="BR98" i="1"/>
  <c r="BP99" i="1"/>
  <c r="BR99" i="1"/>
  <c r="BP100" i="1"/>
  <c r="BR100" i="1"/>
  <c r="BP101" i="1"/>
  <c r="BR101" i="1"/>
  <c r="BP102" i="1"/>
  <c r="BR102" i="1"/>
  <c r="BP103" i="1"/>
  <c r="BR103" i="1"/>
  <c r="BP104" i="1"/>
  <c r="BR104" i="1"/>
  <c r="BP105" i="1"/>
  <c r="BR105" i="1"/>
  <c r="BP106" i="1"/>
  <c r="BR106" i="1"/>
  <c r="BP107" i="1"/>
  <c r="BR107" i="1"/>
  <c r="BP108" i="1"/>
  <c r="BR108" i="1"/>
  <c r="BP109" i="1"/>
  <c r="BR109" i="1"/>
  <c r="BP110" i="1"/>
  <c r="BR110" i="1"/>
  <c r="BP111" i="1"/>
  <c r="BR111" i="1"/>
  <c r="BP112" i="1"/>
  <c r="BR112" i="1"/>
  <c r="BP113" i="1"/>
  <c r="BR113" i="1"/>
  <c r="BP114" i="1"/>
  <c r="BR114" i="1"/>
  <c r="BP115" i="1"/>
  <c r="BR115" i="1"/>
  <c r="BP116" i="1"/>
  <c r="BR116" i="1"/>
  <c r="BP117" i="1"/>
  <c r="BR117" i="1"/>
  <c r="BP118" i="1"/>
  <c r="BR118" i="1"/>
  <c r="BP119" i="1"/>
  <c r="BR119" i="1"/>
  <c r="BP120" i="1"/>
  <c r="BR120" i="1"/>
  <c r="BP121" i="1"/>
  <c r="BR121" i="1"/>
  <c r="BP122" i="1"/>
  <c r="BR122" i="1"/>
  <c r="BP123" i="1"/>
  <c r="BR123" i="1"/>
  <c r="BP124" i="1"/>
  <c r="BR124" i="1"/>
  <c r="BP125" i="1"/>
  <c r="BR125" i="1"/>
  <c r="BP126" i="1"/>
  <c r="BR126" i="1"/>
  <c r="BR11" i="1"/>
  <c r="BP11" i="1"/>
  <c r="BW36" i="1" l="1"/>
  <c r="BW38" i="1"/>
  <c r="BV36" i="1"/>
  <c r="BJ33" i="1"/>
  <c r="BJ34" i="1"/>
  <c r="BJ35" i="1"/>
  <c r="BJ37" i="1"/>
  <c r="BJ36" i="1"/>
  <c r="BE33" i="1"/>
  <c r="BG33" i="1"/>
  <c r="BH33" i="1"/>
  <c r="BI33" i="1"/>
  <c r="BE34" i="1"/>
  <c r="BG34" i="1"/>
  <c r="BH34" i="1"/>
  <c r="BI34" i="1"/>
  <c r="BE35" i="1"/>
  <c r="BG35" i="1"/>
  <c r="BH35" i="1"/>
  <c r="BI35" i="1"/>
  <c r="BE37" i="1"/>
  <c r="BG37" i="1"/>
  <c r="BH37" i="1"/>
  <c r="BI37" i="1"/>
  <c r="BE36" i="1"/>
  <c r="BF36" i="1"/>
  <c r="BG36" i="1"/>
  <c r="BH36" i="1"/>
  <c r="BI36" i="1"/>
  <c r="D36" i="1"/>
  <c r="D38" i="1"/>
  <c r="D39" i="1"/>
  <c r="BW33" i="1" l="1"/>
  <c r="BV33" i="1"/>
  <c r="BV34" i="1"/>
  <c r="BV35" i="1"/>
  <c r="BV37" i="1"/>
  <c r="BV38" i="1"/>
  <c r="BF33" i="1"/>
  <c r="D32" i="1"/>
  <c r="D33" i="1"/>
  <c r="D34" i="1"/>
  <c r="D35" i="1"/>
  <c r="D37" i="1"/>
  <c r="BG26" i="1" l="1"/>
  <c r="BH26" i="1"/>
  <c r="BI26" i="1"/>
  <c r="BJ26" i="1"/>
  <c r="BG27" i="1"/>
  <c r="BH27" i="1"/>
  <c r="BI27" i="1"/>
  <c r="BJ27" i="1"/>
  <c r="BG28" i="1"/>
  <c r="BH28" i="1"/>
  <c r="BI28" i="1"/>
  <c r="BJ28" i="1"/>
  <c r="BG29" i="1"/>
  <c r="BH29" i="1"/>
  <c r="BI29" i="1"/>
  <c r="BJ29" i="1"/>
  <c r="BG30" i="1"/>
  <c r="BH30" i="1"/>
  <c r="BI30" i="1"/>
  <c r="BJ30" i="1"/>
  <c r="BG31" i="1"/>
  <c r="BH31" i="1"/>
  <c r="BI31" i="1"/>
  <c r="BJ31" i="1"/>
  <c r="BG32" i="1"/>
  <c r="BH32" i="1"/>
  <c r="BI32" i="1"/>
  <c r="BJ32" i="1"/>
  <c r="BG38" i="1"/>
  <c r="BH38" i="1"/>
  <c r="BI38" i="1"/>
  <c r="BJ38" i="1"/>
  <c r="BG39" i="1"/>
  <c r="BH39" i="1"/>
  <c r="BI39" i="1"/>
  <c r="BJ39" i="1"/>
  <c r="BG40" i="1"/>
  <c r="BH40" i="1"/>
  <c r="BI40" i="1"/>
  <c r="BJ40" i="1"/>
  <c r="BG41" i="1"/>
  <c r="BH41" i="1"/>
  <c r="BI41" i="1"/>
  <c r="BJ41" i="1"/>
  <c r="BG42" i="1"/>
  <c r="BH42" i="1"/>
  <c r="BI42" i="1"/>
  <c r="BJ42" i="1"/>
  <c r="BG43" i="1"/>
  <c r="BH43" i="1"/>
  <c r="BI43" i="1"/>
  <c r="BJ43" i="1"/>
  <c r="BG45" i="1"/>
  <c r="BH45" i="1"/>
  <c r="BI45" i="1"/>
  <c r="BJ45" i="1"/>
  <c r="BG46" i="1"/>
  <c r="BH46" i="1"/>
  <c r="BI46" i="1"/>
  <c r="BJ46" i="1"/>
  <c r="BG47" i="1"/>
  <c r="BH47" i="1"/>
  <c r="BI47" i="1"/>
  <c r="BJ47" i="1"/>
  <c r="BG48" i="1"/>
  <c r="BH48" i="1"/>
  <c r="BI48" i="1"/>
  <c r="BJ48" i="1"/>
  <c r="BG49" i="1"/>
  <c r="BH49" i="1"/>
  <c r="BI49" i="1"/>
  <c r="BJ49" i="1"/>
  <c r="BG50" i="1"/>
  <c r="BH50" i="1"/>
  <c r="BI50" i="1"/>
  <c r="BJ50" i="1"/>
  <c r="BG51" i="1"/>
  <c r="BH51" i="1"/>
  <c r="BI51" i="1"/>
  <c r="BJ51" i="1"/>
  <c r="BG53" i="1"/>
  <c r="BH53" i="1"/>
  <c r="BI53" i="1"/>
  <c r="BJ53" i="1"/>
  <c r="BG54" i="1"/>
  <c r="BH54" i="1"/>
  <c r="BI54" i="1"/>
  <c r="BJ54" i="1"/>
  <c r="BG55" i="1"/>
  <c r="BH55" i="1"/>
  <c r="BI55" i="1"/>
  <c r="BJ55" i="1"/>
  <c r="BG56" i="1"/>
  <c r="BH56" i="1"/>
  <c r="BI56" i="1"/>
  <c r="BJ56" i="1"/>
  <c r="BG57" i="1"/>
  <c r="BH57" i="1"/>
  <c r="BI57" i="1"/>
  <c r="BJ57" i="1"/>
  <c r="BG58" i="1"/>
  <c r="BH58" i="1"/>
  <c r="BI58" i="1"/>
  <c r="BJ58" i="1"/>
  <c r="BG60" i="1"/>
  <c r="BH60" i="1"/>
  <c r="BI60" i="1"/>
  <c r="BJ60" i="1"/>
  <c r="BG61" i="1"/>
  <c r="BH61" i="1"/>
  <c r="BI61" i="1"/>
  <c r="BJ61" i="1"/>
  <c r="BG62" i="1"/>
  <c r="BH62" i="1"/>
  <c r="BI62" i="1"/>
  <c r="BJ62" i="1"/>
  <c r="BG63" i="1"/>
  <c r="BH63" i="1"/>
  <c r="BI63" i="1"/>
  <c r="BJ63" i="1"/>
  <c r="BG64" i="1"/>
  <c r="BH64" i="1"/>
  <c r="BI64" i="1"/>
  <c r="BJ64" i="1"/>
  <c r="BG65" i="1"/>
  <c r="BH65" i="1"/>
  <c r="BI65" i="1"/>
  <c r="BJ65" i="1"/>
  <c r="BG66" i="1"/>
  <c r="BH66" i="1"/>
  <c r="BI66" i="1"/>
  <c r="BJ66" i="1"/>
  <c r="BG67" i="1"/>
  <c r="BH67" i="1"/>
  <c r="BI67" i="1"/>
  <c r="BJ67" i="1"/>
  <c r="BG68" i="1"/>
  <c r="BH68" i="1"/>
  <c r="BI68" i="1"/>
  <c r="BJ68" i="1"/>
  <c r="BG69" i="1"/>
  <c r="BH69" i="1"/>
  <c r="BI69" i="1"/>
  <c r="BJ69" i="1"/>
  <c r="BG70" i="1"/>
  <c r="BH70" i="1"/>
  <c r="BI70" i="1"/>
  <c r="BJ70" i="1"/>
  <c r="BG71" i="1"/>
  <c r="BH71" i="1"/>
  <c r="BI71" i="1"/>
  <c r="BJ71" i="1"/>
  <c r="BG72" i="1"/>
  <c r="BH72" i="1"/>
  <c r="BI72" i="1"/>
  <c r="BJ72" i="1"/>
  <c r="BG73" i="1"/>
  <c r="BH73" i="1"/>
  <c r="BI73" i="1"/>
  <c r="BJ73" i="1"/>
  <c r="BG74" i="1"/>
  <c r="BH74" i="1"/>
  <c r="BI74" i="1"/>
  <c r="BJ74" i="1"/>
  <c r="BG75" i="1"/>
  <c r="BH75" i="1"/>
  <c r="BI75" i="1"/>
  <c r="BJ75" i="1"/>
  <c r="BG76" i="1"/>
  <c r="BH76" i="1"/>
  <c r="BI76" i="1"/>
  <c r="BJ76" i="1"/>
  <c r="BG77" i="1"/>
  <c r="BH77" i="1"/>
  <c r="BI77" i="1"/>
  <c r="BJ77" i="1"/>
  <c r="BG78" i="1"/>
  <c r="BH78" i="1"/>
  <c r="BI78" i="1"/>
  <c r="BJ78" i="1"/>
  <c r="BG79" i="1"/>
  <c r="BH79" i="1"/>
  <c r="BI79" i="1"/>
  <c r="BJ79" i="1"/>
  <c r="BG80" i="1"/>
  <c r="BH80" i="1"/>
  <c r="BI80" i="1"/>
  <c r="BJ80" i="1"/>
  <c r="BG81" i="1"/>
  <c r="BH81" i="1"/>
  <c r="BI81" i="1"/>
  <c r="BJ81" i="1"/>
  <c r="BG82" i="1"/>
  <c r="BH82" i="1"/>
  <c r="BI82" i="1"/>
  <c r="BJ82" i="1"/>
  <c r="BG83" i="1"/>
  <c r="BH83" i="1"/>
  <c r="BI83" i="1"/>
  <c r="BJ83" i="1"/>
  <c r="BG84" i="1"/>
  <c r="BH84" i="1"/>
  <c r="BI84" i="1"/>
  <c r="BJ84" i="1"/>
  <c r="BG85" i="1"/>
  <c r="BH85" i="1"/>
  <c r="BI85" i="1"/>
  <c r="BJ85" i="1"/>
  <c r="BG86" i="1"/>
  <c r="BH86" i="1"/>
  <c r="BI86" i="1"/>
  <c r="BJ86" i="1"/>
  <c r="BG87" i="1"/>
  <c r="BH87" i="1"/>
  <c r="BI87" i="1"/>
  <c r="BJ87" i="1"/>
  <c r="BG88" i="1"/>
  <c r="BH88" i="1"/>
  <c r="BI88" i="1"/>
  <c r="BJ88" i="1"/>
  <c r="BG89" i="1"/>
  <c r="BH89" i="1"/>
  <c r="BI89" i="1"/>
  <c r="BJ89" i="1"/>
  <c r="BG90" i="1"/>
  <c r="BH90" i="1"/>
  <c r="BI90" i="1"/>
  <c r="BJ90" i="1"/>
  <c r="BG91" i="1"/>
  <c r="BH91" i="1"/>
  <c r="BI91" i="1"/>
  <c r="BJ91" i="1"/>
  <c r="BG92" i="1"/>
  <c r="BH92" i="1"/>
  <c r="BI92" i="1"/>
  <c r="BJ92" i="1"/>
  <c r="BG93" i="1"/>
  <c r="BH93" i="1"/>
  <c r="BI93" i="1"/>
  <c r="BJ93" i="1"/>
  <c r="BG94" i="1"/>
  <c r="BH94" i="1"/>
  <c r="BI94" i="1"/>
  <c r="BJ94" i="1"/>
  <c r="BG95" i="1"/>
  <c r="BH95" i="1"/>
  <c r="BI95" i="1"/>
  <c r="BJ95" i="1"/>
  <c r="BG96" i="1"/>
  <c r="BH96" i="1"/>
  <c r="BI96" i="1"/>
  <c r="BJ96" i="1"/>
  <c r="BG97" i="1"/>
  <c r="BH97" i="1"/>
  <c r="BI97" i="1"/>
  <c r="BJ97" i="1"/>
  <c r="BG98" i="1"/>
  <c r="BH98" i="1"/>
  <c r="BI98" i="1"/>
  <c r="BJ98" i="1"/>
  <c r="BG99" i="1"/>
  <c r="BH99" i="1"/>
  <c r="BI99" i="1"/>
  <c r="BJ99" i="1"/>
  <c r="BG100" i="1"/>
  <c r="BH100" i="1"/>
  <c r="BI100" i="1"/>
  <c r="BJ100" i="1"/>
  <c r="BG101" i="1"/>
  <c r="BH101" i="1"/>
  <c r="BI101" i="1"/>
  <c r="BJ101" i="1"/>
  <c r="BG102" i="1"/>
  <c r="BH102" i="1"/>
  <c r="BI102" i="1"/>
  <c r="BJ102" i="1"/>
  <c r="BG103" i="1"/>
  <c r="BH103" i="1"/>
  <c r="BI103" i="1"/>
  <c r="BJ103" i="1"/>
  <c r="BG104" i="1"/>
  <c r="BH104" i="1"/>
  <c r="BI104" i="1"/>
  <c r="BJ104" i="1"/>
  <c r="BG105" i="1"/>
  <c r="BH105" i="1"/>
  <c r="BI105" i="1"/>
  <c r="BJ105" i="1"/>
  <c r="BG106" i="1"/>
  <c r="BH106" i="1"/>
  <c r="BI106" i="1"/>
  <c r="BJ106" i="1"/>
  <c r="BG107" i="1"/>
  <c r="BH107" i="1"/>
  <c r="BI107" i="1"/>
  <c r="BJ107" i="1"/>
  <c r="BG108" i="1"/>
  <c r="BH108" i="1"/>
  <c r="BI108" i="1"/>
  <c r="BJ108" i="1"/>
  <c r="BG109" i="1"/>
  <c r="BH109" i="1"/>
  <c r="BI109" i="1"/>
  <c r="BJ109" i="1"/>
  <c r="BG110" i="1"/>
  <c r="BH110" i="1"/>
  <c r="BI110" i="1"/>
  <c r="BJ110" i="1"/>
  <c r="BG111" i="1"/>
  <c r="BH111" i="1"/>
  <c r="BI111" i="1"/>
  <c r="BJ111" i="1"/>
  <c r="BG112" i="1"/>
  <c r="BH112" i="1"/>
  <c r="BI112" i="1"/>
  <c r="BJ112" i="1"/>
  <c r="BG113" i="1"/>
  <c r="BH113" i="1"/>
  <c r="BI113" i="1"/>
  <c r="BJ113" i="1"/>
  <c r="BG114" i="1"/>
  <c r="BH114" i="1"/>
  <c r="BI114" i="1"/>
  <c r="BJ114" i="1"/>
  <c r="BG115" i="1"/>
  <c r="BH115" i="1"/>
  <c r="BI115" i="1"/>
  <c r="BJ115" i="1"/>
  <c r="BG116" i="1"/>
  <c r="BH116" i="1"/>
  <c r="BI116" i="1"/>
  <c r="BJ116" i="1"/>
  <c r="BG117" i="1"/>
  <c r="BH117" i="1"/>
  <c r="BI117" i="1"/>
  <c r="BJ117" i="1"/>
  <c r="BG118" i="1"/>
  <c r="BH118" i="1"/>
  <c r="BI118" i="1"/>
  <c r="BJ118" i="1"/>
  <c r="BG119" i="1"/>
  <c r="BH119" i="1"/>
  <c r="BI119" i="1"/>
  <c r="BJ119" i="1"/>
  <c r="BG120" i="1"/>
  <c r="BH120" i="1"/>
  <c r="BI120" i="1"/>
  <c r="BJ120" i="1"/>
  <c r="BG121" i="1"/>
  <c r="BH121" i="1"/>
  <c r="BI121" i="1"/>
  <c r="BJ121" i="1"/>
  <c r="BG122" i="1"/>
  <c r="BH122" i="1"/>
  <c r="BI122" i="1"/>
  <c r="BJ122" i="1"/>
  <c r="BG123" i="1"/>
  <c r="BH123" i="1"/>
  <c r="BI123" i="1"/>
  <c r="BJ123" i="1"/>
  <c r="BG124" i="1"/>
  <c r="BH124" i="1"/>
  <c r="BI124" i="1"/>
  <c r="BJ124" i="1"/>
  <c r="BG125" i="1"/>
  <c r="BH125" i="1"/>
  <c r="BI125" i="1"/>
  <c r="BJ125" i="1"/>
  <c r="BG126" i="1"/>
  <c r="BH126" i="1"/>
  <c r="BI126" i="1"/>
  <c r="BJ126" i="1"/>
  <c r="BH11" i="1"/>
  <c r="BH12" i="1"/>
  <c r="BH13" i="1"/>
  <c r="BH17" i="1"/>
  <c r="BH18" i="1"/>
  <c r="BH19" i="1"/>
  <c r="BH20" i="1"/>
  <c r="BH21" i="1"/>
  <c r="BH22" i="1"/>
  <c r="BH23" i="1"/>
  <c r="BH24" i="1"/>
  <c r="BH25" i="1"/>
  <c r="BG12" i="1"/>
  <c r="BI12" i="1"/>
  <c r="BJ12" i="1"/>
  <c r="BG13" i="1"/>
  <c r="BI13" i="1"/>
  <c r="BJ13" i="1"/>
  <c r="BG17" i="1"/>
  <c r="BI17" i="1"/>
  <c r="BJ17" i="1"/>
  <c r="BG18" i="1"/>
  <c r="BI18" i="1"/>
  <c r="BJ18" i="1"/>
  <c r="BG19" i="1"/>
  <c r="BI19" i="1"/>
  <c r="BJ19" i="1"/>
  <c r="BG20" i="1"/>
  <c r="BI20" i="1"/>
  <c r="BJ20" i="1"/>
  <c r="BG21" i="1"/>
  <c r="BI21" i="1"/>
  <c r="BJ21" i="1"/>
  <c r="BG22" i="1"/>
  <c r="BI22" i="1"/>
  <c r="BJ22" i="1"/>
  <c r="BG23" i="1"/>
  <c r="BI23" i="1"/>
  <c r="BJ23" i="1"/>
  <c r="BG24" i="1"/>
  <c r="BI24" i="1"/>
  <c r="BJ24" i="1"/>
  <c r="BG25" i="1"/>
  <c r="BI25" i="1"/>
  <c r="BJ25" i="1"/>
  <c r="BJ11" i="1"/>
  <c r="BI11" i="1"/>
  <c r="BG11" i="1"/>
  <c r="D12" i="1"/>
  <c r="D13" i="1"/>
  <c r="D14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40" i="1"/>
  <c r="D41" i="1"/>
  <c r="D42" i="1"/>
  <c r="D43" i="1"/>
  <c r="D45" i="1"/>
  <c r="D46" i="1"/>
  <c r="D47" i="1"/>
  <c r="D48" i="1"/>
  <c r="D49" i="1"/>
  <c r="D50" i="1"/>
  <c r="D51" i="1"/>
  <c r="D53" i="1"/>
  <c r="D54" i="1"/>
  <c r="D55" i="1"/>
  <c r="D56" i="1"/>
  <c r="D57" i="1"/>
  <c r="D58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E116" i="1" s="1"/>
  <c r="D117" i="1"/>
  <c r="D118" i="1"/>
  <c r="E118" i="1" s="1"/>
  <c r="D119" i="1"/>
  <c r="D120" i="1"/>
  <c r="E120" i="1" s="1"/>
  <c r="D121" i="1"/>
  <c r="D122" i="1"/>
  <c r="D123" i="1"/>
  <c r="D124" i="1"/>
  <c r="D125" i="1"/>
  <c r="D126" i="1"/>
  <c r="D11" i="1"/>
  <c r="BV12" i="1"/>
  <c r="BV13" i="1"/>
  <c r="BV14" i="1"/>
  <c r="BV18" i="1"/>
  <c r="BV19" i="1"/>
  <c r="BV20" i="1"/>
  <c r="BF11" i="1"/>
  <c r="BE11" i="1"/>
  <c r="BF100" i="1"/>
  <c r="BE12" i="1"/>
  <c r="BE13" i="1"/>
  <c r="BE18" i="1"/>
  <c r="BE17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8" i="1"/>
  <c r="BE39" i="1"/>
  <c r="BE40" i="1"/>
  <c r="BE41" i="1"/>
  <c r="BE42" i="1"/>
  <c r="BE43" i="1"/>
  <c r="BE45" i="1"/>
  <c r="BE46" i="1"/>
  <c r="BE47" i="1"/>
  <c r="BE48" i="1"/>
  <c r="BE49" i="1"/>
  <c r="BE50" i="1"/>
  <c r="BE51" i="1"/>
  <c r="BE53" i="1"/>
  <c r="BE54" i="1"/>
  <c r="BE55" i="1"/>
  <c r="BE56" i="1"/>
  <c r="BE57" i="1"/>
  <c r="BE58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V21" i="1"/>
  <c r="BV22" i="1"/>
  <c r="BV23" i="1"/>
  <c r="BV24" i="1"/>
  <c r="BV25" i="1"/>
  <c r="BV26" i="1"/>
  <c r="BV27" i="1"/>
  <c r="BV28" i="1"/>
  <c r="BV29" i="1"/>
  <c r="BV30" i="1"/>
  <c r="BV31" i="1"/>
  <c r="BV32" i="1"/>
  <c r="BV39" i="1"/>
  <c r="BV40" i="1"/>
  <c r="BV41" i="1"/>
  <c r="BV42" i="1"/>
  <c r="BV43" i="1"/>
  <c r="BV45" i="1"/>
  <c r="BV46" i="1"/>
  <c r="BV47" i="1"/>
  <c r="BV48" i="1"/>
  <c r="BV49" i="1"/>
  <c r="BV50" i="1"/>
  <c r="BV51" i="1"/>
  <c r="BV53" i="1"/>
  <c r="BV54" i="1"/>
  <c r="BV55" i="1"/>
  <c r="BV56" i="1"/>
  <c r="BV57" i="1"/>
  <c r="BV58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V73" i="1"/>
  <c r="BV74" i="1"/>
  <c r="BV75" i="1"/>
  <c r="BV76" i="1"/>
  <c r="BV77" i="1"/>
  <c r="BV78" i="1"/>
  <c r="BV79" i="1"/>
  <c r="BV80" i="1"/>
  <c r="BV81" i="1"/>
  <c r="BV82" i="1"/>
  <c r="BV83" i="1"/>
  <c r="BV84" i="1"/>
  <c r="BV85" i="1"/>
  <c r="BV86" i="1"/>
  <c r="BV87" i="1"/>
  <c r="BV88" i="1"/>
  <c r="BV89" i="1"/>
  <c r="BV90" i="1"/>
  <c r="BV91" i="1"/>
  <c r="BV92" i="1"/>
  <c r="BV93" i="1"/>
  <c r="BV94" i="1"/>
  <c r="BV95" i="1"/>
  <c r="BV96" i="1"/>
  <c r="BV97" i="1"/>
  <c r="BV98" i="1"/>
  <c r="BV99" i="1"/>
  <c r="BV100" i="1"/>
  <c r="BV101" i="1"/>
  <c r="BV102" i="1"/>
  <c r="BV103" i="1"/>
  <c r="BV104" i="1"/>
  <c r="BV105" i="1"/>
  <c r="BV106" i="1"/>
  <c r="BV107" i="1"/>
  <c r="BV108" i="1"/>
  <c r="BV109" i="1"/>
  <c r="BV110" i="1"/>
  <c r="BV111" i="1"/>
  <c r="BV112" i="1"/>
  <c r="BV113" i="1"/>
  <c r="BV114" i="1"/>
  <c r="BV115" i="1"/>
  <c r="BV116" i="1"/>
  <c r="BV117" i="1"/>
  <c r="BV118" i="1"/>
  <c r="BV119" i="1"/>
  <c r="BV120" i="1"/>
  <c r="BV121" i="1"/>
  <c r="BV122" i="1"/>
  <c r="BV123" i="1"/>
  <c r="BV124" i="1"/>
  <c r="BV125" i="1"/>
  <c r="BV126" i="1"/>
  <c r="BV11" i="1"/>
  <c r="BW11" i="1"/>
  <c r="BW100" i="1"/>
  <c r="B3" i="2" l="1"/>
  <c r="B4" i="2"/>
  <c r="B5" i="2"/>
  <c r="B6" i="2"/>
  <c r="B7" i="2" s="1"/>
  <c r="BW125" i="1" l="1"/>
  <c r="BF125" i="1"/>
  <c r="BW126" i="1" l="1"/>
  <c r="BF126" i="1"/>
  <c r="BW124" i="1"/>
  <c r="BF124" i="1"/>
  <c r="BF123" i="1" l="1"/>
  <c r="BW123" i="1"/>
  <c r="BF122" i="1"/>
  <c r="BW122" i="1"/>
  <c r="BW12" i="1"/>
  <c r="BW13" i="1"/>
  <c r="BW14" i="1"/>
  <c r="BW18" i="1"/>
  <c r="BW16" i="1"/>
  <c r="BW17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4" i="1"/>
  <c r="BW35" i="1"/>
  <c r="BW37" i="1"/>
  <c r="BW39" i="1"/>
  <c r="BW40" i="1"/>
  <c r="BW41" i="1"/>
  <c r="BW42" i="1"/>
  <c r="BW43" i="1"/>
  <c r="BW45" i="1"/>
  <c r="BW46" i="1"/>
  <c r="BW47" i="1"/>
  <c r="BW48" i="1"/>
  <c r="BW49" i="1"/>
  <c r="BW50" i="1"/>
  <c r="BW51" i="1"/>
  <c r="BW53" i="1"/>
  <c r="BW54" i="1"/>
  <c r="BW55" i="1"/>
  <c r="BW56" i="1"/>
  <c r="BW57" i="1"/>
  <c r="BW58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F121" i="1"/>
  <c r="BF12" i="1" l="1"/>
  <c r="BF13" i="1"/>
  <c r="BF18" i="1"/>
  <c r="BF17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4" i="1"/>
  <c r="BF35" i="1"/>
  <c r="BF37" i="1"/>
  <c r="BF38" i="1"/>
  <c r="BF39" i="1"/>
  <c r="BF40" i="1"/>
  <c r="BF41" i="1"/>
  <c r="BF42" i="1"/>
  <c r="BF43" i="1"/>
  <c r="BF45" i="1"/>
  <c r="BF46" i="1"/>
  <c r="BF47" i="1"/>
  <c r="BF48" i="1"/>
  <c r="BF49" i="1"/>
  <c r="BF50" i="1"/>
  <c r="BF51" i="1"/>
  <c r="BF53" i="1"/>
  <c r="BF54" i="1"/>
  <c r="BF55" i="1"/>
  <c r="BF56" i="1"/>
  <c r="BF57" i="1"/>
  <c r="BF58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</calcChain>
</file>

<file path=xl/sharedStrings.xml><?xml version="1.0" encoding="utf-8"?>
<sst xmlns="http://schemas.openxmlformats.org/spreadsheetml/2006/main" count="1299" uniqueCount="555">
  <si>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</si>
  <si>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</si>
  <si>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</si>
  <si>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</si>
  <si>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</si>
  <si>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</si>
  <si>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</si>
  <si>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</si>
  <si>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</si>
  <si>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</si>
  <si>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</si>
  <si>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</si>
  <si>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</si>
  <si>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</si>
  <si>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</si>
  <si>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</si>
  <si>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</si>
  <si>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</si>
  <si>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</si>
  <si>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</si>
  <si>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</si>
  <si>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</si>
  <si>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</si>
  <si>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</si>
  <si>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</si>
  <si>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</si>
  <si>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</si>
  <si>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</si>
  <si>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</si>
  <si>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</si>
  <si>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</si>
  <si>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</si>
  <si>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</si>
  <si>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</si>
  <si>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</si>
  <si>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</si>
  <si>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</si>
  <si>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</si>
  <si>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</si>
  <si>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</si>
  <si>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</si>
  <si>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</si>
  <si>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</si>
  <si>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</si>
  <si>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</si>
  <si>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</si>
  <si>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</si>
  <si>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</si>
  <si>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</si>
  <si>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</si>
  <si>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</si>
  <si>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</si>
  <si>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</si>
  <si>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</si>
  <si>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</si>
  <si>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</si>
  <si>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</si>
  <si>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</si>
  <si>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</si>
  <si>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</si>
  <si>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</si>
  <si>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</si>
  <si>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</si>
  <si>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</si>
  <si>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</si>
  <si>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</si>
  <si>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</si>
  <si>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</si>
  <si>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</si>
  <si>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</si>
  <si>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</si>
  <si>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</si>
  <si>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</si>
  <si>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</si>
  <si>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</si>
  <si>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</si>
  <si>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</si>
  <si>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</si>
  <si>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</si>
  <si>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</si>
  <si>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</si>
  <si>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</si>
  <si>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</si>
  <si>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</si>
  <si>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</si>
  <si>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</si>
  <si>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</si>
  <si>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</si>
  <si>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</si>
  <si>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</si>
  <si>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</si>
  <si>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</si>
  <si>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</si>
  <si>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</si>
  <si>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</si>
  <si>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</si>
  <si>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</si>
  <si>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</si>
  <si>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</si>
  <si>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</si>
  <si>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</si>
  <si>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</si>
  <si>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</si>
  <si>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</si>
  <si>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</si>
  <si>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</si>
  <si>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</si>
  <si>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</si>
  <si>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</si>
  <si>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</si>
  <si>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</si>
  <si>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</si>
  <si>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</si>
  <si>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</si>
  <si>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</si>
  <si>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</si>
  <si>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</si>
  <si>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</si>
  <si>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</si>
  <si>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</si>
  <si>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</si>
  <si>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</si>
  <si>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</si>
  <si>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</si>
  <si>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</si>
  <si>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</si>
  <si>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</si>
  <si>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</si>
  <si>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</si>
  <si>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</si>
  <si>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</si>
  <si>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</si>
  <si>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</si>
  <si>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</si>
  <si>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</si>
  <si>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</si>
  <si>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</si>
  <si>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</si>
  <si>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</si>
  <si>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</si>
  <si>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</si>
  <si>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</si>
  <si>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</si>
  <si>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</si>
  <si>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</si>
  <si>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</si>
  <si>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</si>
  <si>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</si>
  <si>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</si>
  <si>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gap_to_previous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</si>
  <si>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</si>
  <si>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</si>
  <si>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</si>
  <si>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</si>
  <si>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</si>
  <si>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</si>
  <si>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</si>
  <si>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</si>
  <si>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</si>
  <si>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</si>
  <si>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</si>
  <si>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</si>
  <si>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</si>
  <si>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</si>
  <si>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</si>
  <si>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</si>
  <si>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</si>
  <si>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</si>
  <si>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</si>
  <si>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</si>
  <si>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</si>
  <si>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</si>
  <si>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</si>
  <si>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</si>
  <si>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</si>
  <si>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</si>
  <si>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</si>
  <si>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</si>
  <si>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</si>
  <si>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</si>
  <si>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</si>
  <si>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</si>
  <si>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</si>
  <si>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</si>
  <si>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</si>
  <si>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</si>
  <si>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</si>
  <si>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</si>
  <si>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</si>
  <si>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</si>
  <si>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</si>
  <si>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</si>
  <si>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</si>
  <si>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</si>
  <si>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</si>
  <si>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</si>
  <si>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</si>
  <si>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</si>
  <si>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</si>
  <si>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</si>
  <si>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</si>
  <si>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</si>
  <si>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</si>
  <si>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</si>
  <si>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</si>
  <si>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</si>
  <si>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</si>
  <si>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</si>
  <si>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</si>
  <si>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</si>
  <si>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</si>
  <si>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</si>
  <si>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</si>
  <si>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</si>
  <si>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</si>
  <si>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</si>
  <si>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</si>
  <si>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</si>
  <si>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</si>
  <si>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</si>
  <si>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</si>
  <si>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</si>
  <si>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</si>
  <si>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</si>
  <si>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</si>
  <si>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</si>
  <si>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</si>
  <si>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</si>
  <si>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</si>
  <si>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</si>
  <si>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</si>
  <si>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</si>
  <si>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</si>
  <si>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</si>
  <si>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</si>
  <si>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</si>
  <si>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</si>
  <si>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</si>
  <si>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</si>
  <si>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</si>
  <si>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</si>
  <si>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</si>
  <si>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</si>
  <si>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</si>
  <si>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</si>
  <si>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</si>
  <si>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</si>
  <si>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</si>
  <si>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</si>
  <si>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</si>
  <si>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</si>
  <si>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</si>
  <si>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</si>
  <si>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</si>
  <si>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</si>
  <si>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</si>
  <si>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</si>
  <si>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</si>
  <si>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</si>
  <si>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</si>
  <si>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</si>
  <si>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</si>
  <si>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</si>
  <si>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</si>
  <si>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</si>
  <si>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</si>
  <si>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</si>
  <si>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</si>
  <si>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</si>
  <si>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</si>
  <si>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</si>
  <si>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</si>
  <si>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</si>
  <si>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</si>
  <si>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</si>
  <si>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</si>
  <si>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</si>
  <si>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</si>
  <si>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</si>
  <si>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horses</t>
  </si>
  <si>
    <t>intro_month</t>
  </si>
  <si>
    <t>model_life</t>
  </si>
  <si>
    <t>loading_speed</t>
  </si>
  <si>
    <t>weight</t>
  </si>
  <si>
    <t>realistic_capacity</t>
  </si>
  <si>
    <t>realistic_power</t>
  </si>
  <si>
    <t>realistic_cost</t>
  </si>
  <si>
    <t>realistic_running_cost</t>
  </si>
  <si>
    <t>running_cost_bias</t>
  </si>
  <si>
    <t>realistic_speed</t>
  </si>
  <si>
    <t>kmish_speed</t>
  </si>
  <si>
    <t>kmish_realistic_speed</t>
  </si>
  <si>
    <t>articulated_units</t>
  </si>
  <si>
    <t>capacity_per_unit</t>
  </si>
  <si>
    <t>realistic_capacity_per_unit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</si>
  <si>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</si>
  <si>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</si>
  <si>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</si>
  <si>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</si>
  <si>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</si>
  <si>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</si>
  <si>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</si>
  <si>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</si>
  <si>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</si>
  <si>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</si>
  <si>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</si>
  <si>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</si>
  <si>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</si>
  <si>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speed_limit_speed</t>
  </si>
  <si>
    <t>kmish_limiter_speed</t>
  </si>
  <si>
    <t>kmish_speed_limit_speed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</si>
  <si>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</si>
  <si>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</si>
  <si>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</si>
  <si>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</si>
  <si>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</si>
  <si>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</si>
  <si>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</si>
  <si>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</si>
  <si>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</si>
  <si>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</si>
  <si>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</si>
  <si>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</si>
  <si>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</si>
  <si>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</si>
  <si>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</si>
  <si>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</si>
  <si>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</si>
  <si>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</si>
  <si>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</si>
  <si>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</si>
  <si>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</si>
  <si>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</si>
  <si>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</si>
  <si>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</si>
  <si>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</si>
  <si>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</si>
  <si>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</si>
  <si>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</si>
  <si>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</si>
  <si>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</si>
  <si>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</si>
  <si>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</si>
  <si>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</si>
  <si>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</si>
  <si>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</si>
  <si>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</si>
  <si>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</si>
  <si>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</si>
  <si>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</si>
  <si>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</si>
  <si>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</si>
  <si>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</si>
  <si>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</si>
  <si>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</si>
  <si>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</si>
  <si>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has_covered_livestock</t>
  </si>
  <si>
    <t>The Saviem SM Europe was the result of a collaboration between Saviem and MAN, where Saviem supplied cabs and MAN provided engines. Although more common in France a few were used in the UK.</t>
  </si>
  <si>
    <t>enable_param</t>
  </si>
  <si>
    <t>enable_buses</t>
  </si>
  <si>
    <t>enable_lorries</t>
  </si>
  <si>
    <t>enable_vans</t>
  </si>
  <si>
    <t>enable_cars</t>
  </si>
  <si>
    <t>enable_easter_eggs</t>
  </si>
  <si>
    <t>enable_passenger_trams</t>
  </si>
  <si>
    <t>enable_cargo_trams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</si>
  <si>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</si>
  <si>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</si>
  <si>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</si>
  <si>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</si>
  <si>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</si>
  <si>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</si>
  <si>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</si>
  <si>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</si>
  <si>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</si>
  <si>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</si>
  <si>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</si>
  <si>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</si>
  <si>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</si>
  <si>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</si>
  <si>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</si>
  <si>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realistic_mail_capacity</t>
  </si>
  <si>
    <t>van</t>
  </si>
  <si>
    <t>taxi</t>
  </si>
  <si>
    <t>custom_cargo_aging</t>
  </si>
  <si>
    <t>bmw_f31</t>
  </si>
  <si>
    <t>is_tram</t>
  </si>
  <si>
    <t>electric</t>
  </si>
  <si>
    <t>horse_type</t>
  </si>
  <si>
    <t>tram_horses</t>
  </si>
  <si>
    <t>Tram Horses</t>
  </si>
  <si>
    <t>Cargo Tram Horses</t>
  </si>
  <si>
    <t>cargo_tram_horses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</si>
  <si>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</si>
  <si>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</si>
  <si>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</si>
  <si>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</si>
  <si>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</si>
  <si>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</si>
  <si>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articulated_lengths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</si>
  <si>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</si>
  <si>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</si>
  <si>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</si>
  <si>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</si>
  <si>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</si>
  <si>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</si>
  <si>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</si>
  <si>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</si>
  <si>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4,4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</si>
  <si>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</si>
  <si>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</si>
  <si>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</si>
  <si>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</si>
  <si>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</si>
  <si>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</si>
  <si>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</si>
  <si>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</si>
  <si>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</si>
  <si>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</si>
  <si>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</si>
  <si>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</si>
  <si>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</si>
  <si>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</si>
  <si>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realistic_capacity_per_trailer</t>
  </si>
  <si>
    <t>2,8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</si>
  <si>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</si>
  <si>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</si>
  <si>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</si>
  <si>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</si>
  <si>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</si>
  <si>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</si>
  <si>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</si>
  <si>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</si>
  <si>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</si>
  <si>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3,5,5,5</t>
  </si>
  <si>
    <t>3,5,5,5,5,5</t>
  </si>
  <si>
    <t>4,5,5,5,5,5</t>
  </si>
  <si>
    <t>realistic_articulated_capacities</t>
  </si>
  <si>
    <t>1,11</t>
  </si>
  <si>
    <t>horses,</t>
  </si>
  <si>
    <t>4,8</t>
  </si>
  <si>
    <t>1,2,3</t>
  </si>
  <si>
    <t>3,5,5</t>
  </si>
  <si>
    <t>Dray Trailer</t>
  </si>
  <si>
    <t>dray_trailer</t>
  </si>
  <si>
    <t>is_light_rail</t>
  </si>
  <si>
    <t>is_hybrid_rail</t>
  </si>
  <si>
    <t>rail_numeric_id</t>
  </si>
  <si>
    <t>rail_cost</t>
  </si>
  <si>
    <t>rail_running_cost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</si>
  <si>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</si>
  <si>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</si>
  <si>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</si>
  <si>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</si>
  <si>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</si>
  <si>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</si>
  <si>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</si>
  <si>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</si>
  <si>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</si>
  <si>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</si>
  <si>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</si>
  <si>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</si>
  <si>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</si>
  <si>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</si>
  <si>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</si>
  <si>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</si>
  <si>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</si>
  <si>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</si>
  <si>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</si>
  <si>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</si>
  <si>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</si>
  <si>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</si>
  <si>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</si>
  <si>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</si>
  <si>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</si>
  <si>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</si>
  <si>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</si>
  <si>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</si>
  <si>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</si>
  <si>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</si>
  <si>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</si>
  <si>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</si>
  <si>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</si>
  <si>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</si>
  <si>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</si>
  <si>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</si>
  <si>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</si>
  <si>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</si>
  <si>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</si>
  <si>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</si>
  <si>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</si>
  <si>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</si>
  <si>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</si>
  <si>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</si>
  <si>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</si>
  <si>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</si>
  <si>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</si>
  <si>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</si>
  <si>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</si>
  <si>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</si>
  <si>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</si>
  <si>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</si>
  <si>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</si>
  <si>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</si>
  <si>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</si>
  <si>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</si>
  <si>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</si>
  <si>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</si>
  <si>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</si>
  <si>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</si>
  <si>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</si>
  <si>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</si>
  <si>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</si>
  <si>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</si>
  <si>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</si>
  <si>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</si>
  <si>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</si>
  <si>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</si>
  <si>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</si>
  <si>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</si>
  <si>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has_flatbed_livestock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</si>
  <si>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</si>
  <si>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</si>
  <si>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</si>
  <si>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</si>
  <si>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</si>
  <si>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</si>
  <si>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</si>
  <si>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</si>
  <si>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</si>
  <si>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</si>
  <si>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</si>
  <si>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</si>
  <si>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</si>
  <si>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</si>
  <si>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</si>
  <si>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</si>
  <si>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</si>
  <si>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</si>
  <si>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2,8,2</t>
  </si>
  <si>
    <t>virtual_units</t>
  </si>
  <si>
    <t>mail_capacity_per_unit</t>
  </si>
  <si>
    <t>realistic_mail_capacity_per_unit</t>
  </si>
  <si>
    <t>realistic_mail_capacity_per_trailer</t>
  </si>
  <si>
    <t>mail_capacity_per_trailer</t>
  </si>
  <si>
    <t>mail_capacity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</si>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</sst>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  <xf numFmtId="0" fontId="2" fillId="2" borderId="0" xfId="0" applyFont="1" applyFill="1"/>
    <xf numFmtId="0" fontId="3" fillId="3" borderId="0" xfId="0" applyFont="1" applyFill="1"/>
    <xf numFmtId="0" fontId="4" fillId="0" borderId="0" xfId="0" applyFont="1" applyFill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26"/>
  <sheetViews>
    <sheetView tabSelected="1" topLeftCell="D1" zoomScaleNormal="100" workbookViewId="0">
      <pane xSplit="2910" ySplit="600" activePane="bottomRight"/>
      <selection pane="topRight" activeCell="J2" sqref="J2"/>
      <selection pane="bottomLeft" activeCell="D15" sqref="D15"/>
      <selection pane="bottomRight" activeCell="L16" sqref="L16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3.28515625" customWidth="1"/>
    <col min="6" max="6" width="12" bestFit="1" customWidth="1"/>
    <col min="7" max="7" width="12" customWidth="1"/>
    <col min="8" max="8" width="12.85546875" customWidth="1"/>
    <col min="9" max="10" width="12.42578125" customWidth="1"/>
    <col min="11" max="11" width="12.5703125" customWidth="1"/>
    <col min="12" max="12" width="15.7109375" customWidth="1"/>
    <col min="13" max="13" width="6.5703125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9.140625" customWidth="1"/>
    <col min="19" max="19" width="11.5703125" customWidth="1"/>
    <col min="20" max="20" width="17.42578125" customWidth="1"/>
    <col min="21" max="22" width="14.85546875" customWidth="1"/>
    <col min="23" max="24" width="21" customWidth="1"/>
    <col min="25" max="31" width="23.7109375" customWidth="1"/>
    <col min="32" max="32" width="17.140625" customWidth="1"/>
    <col min="33" max="33" width="12.5703125" customWidth="1"/>
    <col min="34" max="34" width="15.7109375" customWidth="1"/>
    <col min="35" max="35" width="18.5703125" bestFit="1" customWidth="1"/>
    <col min="36" max="36" width="23.7109375" bestFit="1" customWidth="1"/>
    <col min="37" max="39" width="23.7109375" customWidth="1"/>
    <col min="40" max="40" width="15.85546875" bestFit="1" customWidth="1"/>
    <col min="41" max="41" width="20.5703125" bestFit="1" customWidth="1"/>
    <col min="42" max="48" width="20.5703125" customWidth="1"/>
    <col min="49" max="49" width="9.85546875" bestFit="1" customWidth="1"/>
    <col min="50" max="52" width="9.85546875" customWidth="1"/>
    <col min="53" max="53" width="7.140625" bestFit="1" customWidth="1"/>
    <col min="54" max="54" width="14.85546875" bestFit="1" customWidth="1"/>
    <col min="55" max="55" width="10.7109375" bestFit="1" customWidth="1"/>
    <col min="56" max="56" width="18.7109375" bestFit="1" customWidth="1"/>
    <col min="57" max="58" width="14.85546875" customWidth="1"/>
    <col min="59" max="62" width="14.85546875" style="2" customWidth="1"/>
    <col min="63" max="64" width="14.85546875" customWidth="1"/>
    <col min="65" max="65" width="19.140625" bestFit="1" customWidth="1"/>
    <col min="66" max="66" width="27.42578125" bestFit="1" customWidth="1"/>
    <col min="67" max="67" width="27.42578125" customWidth="1"/>
    <col min="68" max="68" width="21.140625" bestFit="1" customWidth="1"/>
    <col min="69" max="70" width="29.42578125" bestFit="1" customWidth="1"/>
    <col min="71" max="73" width="12.5703125" customWidth="1"/>
    <col min="74" max="74" width="17.42578125" bestFit="1" customWidth="1"/>
    <col min="75" max="75" width="12.5703125" customWidth="1"/>
  </cols>
  <sheetData>
    <row r="1" spans="1:7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447</v>
      </c>
      <c r="F1" s="1" t="s">
        <v>148</v>
      </c>
      <c r="G1" s="1" t="s">
        <v>280</v>
      </c>
      <c r="H1" s="1" t="s">
        <v>150</v>
      </c>
      <c r="I1" s="1" t="s">
        <v>9</v>
      </c>
      <c r="J1" s="1" t="s">
        <v>546</v>
      </c>
      <c r="K1" s="1" t="s">
        <v>151</v>
      </c>
      <c r="L1" s="1" t="s">
        <v>281</v>
      </c>
      <c r="M1" s="1" t="s">
        <v>153</v>
      </c>
      <c r="N1" s="1" t="s">
        <v>282</v>
      </c>
      <c r="O1" s="1" t="s">
        <v>283</v>
      </c>
      <c r="P1" s="1" t="s">
        <v>154</v>
      </c>
      <c r="Q1" s="1" t="s">
        <v>304</v>
      </c>
      <c r="R1" s="1" t="s">
        <v>288</v>
      </c>
      <c r="S1" s="1" t="s">
        <v>296</v>
      </c>
      <c r="T1" s="1" t="s">
        <v>338</v>
      </c>
      <c r="U1" s="1" t="s">
        <v>273</v>
      </c>
      <c r="V1" s="1" t="s">
        <v>342</v>
      </c>
      <c r="W1" s="1" t="s">
        <v>355</v>
      </c>
      <c r="X1" s="1" t="s">
        <v>420</v>
      </c>
      <c r="Y1" s="1" t="s">
        <v>356</v>
      </c>
      <c r="Z1" s="1" t="s">
        <v>527</v>
      </c>
      <c r="AA1" s="1" t="s">
        <v>520</v>
      </c>
      <c r="AB1" s="1" t="s">
        <v>367</v>
      </c>
      <c r="AC1" s="1" t="s">
        <v>393</v>
      </c>
      <c r="AD1" s="1" t="s">
        <v>370</v>
      </c>
      <c r="AE1" s="1" t="s">
        <v>384</v>
      </c>
      <c r="AF1" s="1" t="s">
        <v>285</v>
      </c>
      <c r="AG1" s="1" t="s">
        <v>289</v>
      </c>
      <c r="AH1" s="1" t="s">
        <v>152</v>
      </c>
      <c r="AI1" s="1" t="s">
        <v>284</v>
      </c>
      <c r="AJ1" s="1" t="s">
        <v>381</v>
      </c>
      <c r="AK1" s="1" t="s">
        <v>545</v>
      </c>
      <c r="AL1" s="1" t="s">
        <v>541</v>
      </c>
      <c r="AM1" s="1" t="s">
        <v>542</v>
      </c>
      <c r="AN1" s="1" t="s">
        <v>307</v>
      </c>
      <c r="AO1" s="1" t="s">
        <v>308</v>
      </c>
      <c r="AP1" s="1" t="s">
        <v>406</v>
      </c>
      <c r="AQ1" s="1" t="s">
        <v>427</v>
      </c>
      <c r="AR1" s="1" t="s">
        <v>437</v>
      </c>
      <c r="AS1" s="1" t="s">
        <v>395</v>
      </c>
      <c r="AT1" s="1" t="s">
        <v>397</v>
      </c>
      <c r="AU1" s="1" t="s">
        <v>399</v>
      </c>
      <c r="AV1" s="1" t="s">
        <v>358</v>
      </c>
      <c r="AW1" s="1" t="s">
        <v>386</v>
      </c>
      <c r="AX1" s="1" t="s">
        <v>445</v>
      </c>
      <c r="AY1" s="1" t="s">
        <v>446</v>
      </c>
      <c r="AZ1" s="1" t="s">
        <v>388</v>
      </c>
      <c r="BA1" s="1" t="s">
        <v>155</v>
      </c>
      <c r="BB1" s="1" t="s">
        <v>156</v>
      </c>
      <c r="BC1" s="1" t="s">
        <v>448</v>
      </c>
      <c r="BD1" s="1" t="s">
        <v>449</v>
      </c>
      <c r="BE1" s="1" t="s">
        <v>286</v>
      </c>
      <c r="BF1" s="1" t="s">
        <v>287</v>
      </c>
      <c r="BG1" s="4" t="s">
        <v>290</v>
      </c>
      <c r="BH1" s="4" t="s">
        <v>291</v>
      </c>
      <c r="BI1" s="4" t="s">
        <v>309</v>
      </c>
      <c r="BJ1" s="4" t="s">
        <v>310</v>
      </c>
      <c r="BK1" s="1" t="s">
        <v>292</v>
      </c>
      <c r="BL1" s="1" t="s">
        <v>540</v>
      </c>
      <c r="BM1" s="1" t="s">
        <v>293</v>
      </c>
      <c r="BN1" s="1" t="s">
        <v>294</v>
      </c>
      <c r="BO1" s="1" t="s">
        <v>544</v>
      </c>
      <c r="BP1" s="1" t="s">
        <v>422</v>
      </c>
      <c r="BQ1" s="1" t="s">
        <v>543</v>
      </c>
      <c r="BR1" s="1" t="s">
        <v>423</v>
      </c>
      <c r="BS1" s="1" t="s">
        <v>157</v>
      </c>
      <c r="BT1" s="1" t="s">
        <v>158</v>
      </c>
      <c r="BU1" s="1" t="s">
        <v>159</v>
      </c>
      <c r="BV1" s="1" t="s">
        <v>149</v>
      </c>
      <c r="BW1" s="1" t="s">
        <v>160</v>
      </c>
      <c r="BX1" s="1" t="s">
        <v>161</v>
      </c>
    </row>
    <row r="2" spans="1:76" x14ac:dyDescent="0.25">
      <c r="A2" t="s">
        <v>278</v>
      </c>
      <c r="B2" t="s">
        <v>279</v>
      </c>
      <c r="C2" t="s">
        <v>279</v>
      </c>
      <c r="D2">
        <v>0</v>
      </c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BA2" s="2"/>
      <c r="BB2" s="2"/>
      <c r="BC2" s="2"/>
      <c r="BD2" s="2"/>
      <c r="BE2" s="2"/>
      <c r="BF2" s="2"/>
      <c r="BK2" s="2"/>
      <c r="BL2" s="2"/>
      <c r="BM2" s="2"/>
      <c r="BN2" s="2"/>
      <c r="BO2" s="2"/>
      <c r="BP2" s="2"/>
      <c r="BQ2" s="2"/>
      <c r="BR2" s="2"/>
      <c r="BS2" s="3"/>
      <c r="BT2" s="3"/>
      <c r="BU2" s="3"/>
      <c r="BW2" s="2"/>
    </row>
    <row r="3" spans="1:76" x14ac:dyDescent="0.25">
      <c r="A3" t="s">
        <v>390</v>
      </c>
      <c r="B3" t="s">
        <v>389</v>
      </c>
      <c r="C3" t="s">
        <v>279</v>
      </c>
      <c r="D3">
        <v>0</v>
      </c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BA3" s="2"/>
      <c r="BB3" s="2"/>
      <c r="BC3" s="2"/>
      <c r="BD3" s="2"/>
      <c r="BE3" s="2"/>
      <c r="BF3" s="2"/>
      <c r="BK3" s="2"/>
      <c r="BL3" s="2"/>
      <c r="BM3" s="2"/>
      <c r="BN3" s="2"/>
      <c r="BO3" s="2"/>
      <c r="BP3" s="2"/>
      <c r="BQ3" s="2"/>
      <c r="BR3" s="2"/>
      <c r="BS3" s="3"/>
      <c r="BT3" s="3"/>
      <c r="BU3" s="3"/>
      <c r="BW3" s="2"/>
    </row>
    <row r="4" spans="1:76" x14ac:dyDescent="0.25">
      <c r="A4" t="s">
        <v>391</v>
      </c>
      <c r="B4" t="s">
        <v>392</v>
      </c>
      <c r="C4" t="s">
        <v>279</v>
      </c>
      <c r="D4">
        <v>0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BA4" s="2"/>
      <c r="BB4" s="2"/>
      <c r="BC4" s="2"/>
      <c r="BD4" s="2"/>
      <c r="BE4" s="2"/>
      <c r="BF4" s="2"/>
      <c r="BK4" s="2"/>
      <c r="BL4" s="2"/>
      <c r="BM4" s="2"/>
      <c r="BN4" s="2"/>
      <c r="BO4" s="2"/>
      <c r="BP4" s="2"/>
      <c r="BQ4" s="2"/>
      <c r="BR4" s="2"/>
      <c r="BS4" s="3"/>
      <c r="BT4" s="3"/>
      <c r="BU4" s="3"/>
      <c r="BW4" s="2"/>
    </row>
    <row r="5" spans="1:76" x14ac:dyDescent="0.25">
      <c r="A5" t="s">
        <v>372</v>
      </c>
      <c r="B5" t="s">
        <v>371</v>
      </c>
      <c r="C5" t="s">
        <v>370</v>
      </c>
      <c r="D5">
        <v>0</v>
      </c>
      <c r="V5" t="s">
        <v>343</v>
      </c>
      <c r="Z5" t="s">
        <v>343</v>
      </c>
    </row>
    <row r="6" spans="1:76" x14ac:dyDescent="0.25">
      <c r="A6" t="s">
        <v>375</v>
      </c>
      <c r="B6" t="s">
        <v>373</v>
      </c>
      <c r="C6" t="s">
        <v>370</v>
      </c>
      <c r="D6">
        <v>0</v>
      </c>
      <c r="V6" t="s">
        <v>343</v>
      </c>
      <c r="W6" t="s">
        <v>343</v>
      </c>
      <c r="Y6" t="s">
        <v>343</v>
      </c>
    </row>
    <row r="7" spans="1:76" x14ac:dyDescent="0.25">
      <c r="A7" t="s">
        <v>376</v>
      </c>
      <c r="B7" t="s">
        <v>374</v>
      </c>
      <c r="C7" t="s">
        <v>370</v>
      </c>
      <c r="D7">
        <v>0</v>
      </c>
      <c r="V7" t="s">
        <v>343</v>
      </c>
      <c r="W7" t="s">
        <v>343</v>
      </c>
      <c r="Y7" t="s">
        <v>343</v>
      </c>
    </row>
    <row r="8" spans="1:76" x14ac:dyDescent="0.25">
      <c r="A8" t="s">
        <v>421</v>
      </c>
      <c r="B8" t="s">
        <v>419</v>
      </c>
      <c r="C8" t="s">
        <v>370</v>
      </c>
      <c r="D8">
        <v>0</v>
      </c>
      <c r="V8" t="s">
        <v>343</v>
      </c>
      <c r="X8" t="s">
        <v>343</v>
      </c>
      <c r="Y8" t="s">
        <v>343</v>
      </c>
    </row>
    <row r="9" spans="1:76" x14ac:dyDescent="0.25">
      <c r="A9" t="s">
        <v>443</v>
      </c>
      <c r="B9" t="s">
        <v>444</v>
      </c>
      <c r="C9" t="s">
        <v>370</v>
      </c>
      <c r="D9">
        <v>0</v>
      </c>
      <c r="Z9" t="s">
        <v>343</v>
      </c>
      <c r="AB9" t="s">
        <v>343</v>
      </c>
    </row>
    <row r="10" spans="1:76" x14ac:dyDescent="0.25">
      <c r="A10" t="s">
        <v>479</v>
      </c>
      <c r="B10" t="s">
        <v>481</v>
      </c>
      <c r="C10" t="s">
        <v>480</v>
      </c>
      <c r="D10">
        <v>0</v>
      </c>
    </row>
    <row r="11" spans="1:76" x14ac:dyDescent="0.25">
      <c r="A11" t="s">
        <v>23</v>
      </c>
      <c r="B11" t="s">
        <v>162</v>
      </c>
      <c r="C11" t="s">
        <v>336</v>
      </c>
      <c r="D11">
        <f>IF(F11 &gt; 2020, ((F11-2020)*4)+1610+H11,IF(F11 &gt; 1900, ((F11-1900)*10)+400+H11, ((F11-1730)*2)+H11))+VLOOKUP(I11,'ID Scheme'!$A$2:$B$7,2, FALSE)</f>
        <v>741</v>
      </c>
      <c r="F11">
        <v>1800</v>
      </c>
      <c r="G11">
        <v>1</v>
      </c>
      <c r="H11">
        <v>1</v>
      </c>
      <c r="I11" t="s">
        <v>12</v>
      </c>
      <c r="J11" t="s">
        <v>554</v>
      </c>
      <c r="K11">
        <v>18</v>
      </c>
      <c r="L11">
        <v>100</v>
      </c>
      <c r="M11">
        <v>12</v>
      </c>
      <c r="N11">
        <v>4</v>
      </c>
      <c r="O11">
        <v>1</v>
      </c>
      <c r="P11">
        <v>15</v>
      </c>
      <c r="Q11">
        <v>20</v>
      </c>
      <c r="R11">
        <v>1</v>
      </c>
      <c r="S11" t="s">
        <v>297</v>
      </c>
      <c r="U11" s="2" t="s">
        <v>274</v>
      </c>
      <c r="V11" s="2"/>
      <c r="W11" s="2"/>
      <c r="X11" s="2"/>
      <c r="Y11" s="2"/>
      <c r="Z11" s="2"/>
      <c r="AA11" s="2"/>
      <c r="AB11" s="2"/>
      <c r="AC11" s="2"/>
      <c r="AD11" s="2"/>
      <c r="AE11" s="2"/>
      <c r="AF11">
        <v>5</v>
      </c>
      <c r="AG11">
        <v>11</v>
      </c>
      <c r="AH11">
        <v>12</v>
      </c>
      <c r="AI11">
        <v>12</v>
      </c>
      <c r="AP11" t="s">
        <v>439</v>
      </c>
      <c r="AR11" t="s">
        <v>438</v>
      </c>
      <c r="AS11" t="s">
        <v>438</v>
      </c>
      <c r="AT11" t="s">
        <v>439</v>
      </c>
      <c r="AU11" t="s">
        <v>408</v>
      </c>
      <c r="AV11" t="s">
        <v>359</v>
      </c>
      <c r="AZ11" t="s">
        <v>279</v>
      </c>
      <c r="BA11" s="2">
        <f>(SQRT(K11*AH11)*POWER((MIN(M11,20)+SQRT(MAX(M11-20,0))),0.9)*Data!$B$1)*(1-(R11-1))</f>
        <v>10.316948446979625</v>
      </c>
      <c r="BB11" s="2">
        <f>(POWER((K11*K11*AH11), 0.33)*LOG10(P11)*10*Data!$B$1)*R11</f>
        <v>13.493106560639641</v>
      </c>
      <c r="BC11" s="2"/>
      <c r="BD11" s="2"/>
      <c r="BE11" s="2">
        <f>IFERROR((SQRT($AG11*$AI11)*POWER((MIN($M11,20)+SQRT(MAX($M11-20,0))),0.9)*Data!$B$1)*(1 - (R11-1)),BA11)</f>
        <v>8.0651295981665143</v>
      </c>
      <c r="BF11" s="2">
        <f>IFERROR(((POWER(($AG11*$AG11*$AI11), 0.33)*LOG10($AF11)*10*Data!$B$1)*R11),BB11)</f>
        <v>5.7938705215218507</v>
      </c>
      <c r="BG11" s="2">
        <f t="shared" ref="BG11:BG43" si="0">K11/1.24</f>
        <v>14.516129032258064</v>
      </c>
      <c r="BH11" s="2">
        <f t="shared" ref="BH11:BH43" si="1">AG11/1.24</f>
        <v>8.870967741935484</v>
      </c>
      <c r="BI11" s="2">
        <f t="shared" ref="BI11:BI43" si="2">AN11/1.24</f>
        <v>0</v>
      </c>
      <c r="BJ11" s="2">
        <f t="shared" ref="BJ11:BJ43" si="3">AO11/1.24</f>
        <v>0</v>
      </c>
      <c r="BK11" s="2">
        <v>2</v>
      </c>
      <c r="BL11" s="2">
        <v>2</v>
      </c>
      <c r="BM11" s="2">
        <f t="shared" ref="BM11:BM43" si="4">AH11/BL11</f>
        <v>6</v>
      </c>
      <c r="BN11" s="2">
        <f t="shared" ref="BN11:BN43" si="5">AI11/BL11</f>
        <v>6</v>
      </c>
      <c r="BO11" s="2">
        <f t="shared" ref="BO11:BO75" si="6">IF(AK11 &gt; 0, (AK11)/MAX(BK11-1, 1), -1)</f>
        <v>-1</v>
      </c>
      <c r="BP11" s="2">
        <f t="shared" ref="BP11:BP43" si="7">(AH11)/MAX(BK11-1, 1)</f>
        <v>12</v>
      </c>
      <c r="BQ11" s="2">
        <f t="shared" ref="BQ11:BQ75" si="8">IF(AJ11 &gt; 0, (AJ11)/MAX(BK11-1, 1), -1)</f>
        <v>-1</v>
      </c>
      <c r="BR11" s="2">
        <f t="shared" ref="BR11:BR43" si="9">IF(AI11 &gt; 0, (AI11)/MAX(BK11-1, 1), -1)</f>
        <v>12</v>
      </c>
      <c r="BS11" s="3"/>
      <c r="BT11" s="3"/>
      <c r="BU11" s="3"/>
      <c r="BV11">
        <f>F11-F5</f>
        <v>1800</v>
      </c>
      <c r="BW11" s="2" t="str">
        <f>CONCATENATE(
ROUND(BS11*VLOOKUP(I11,'ID Scheme'!$A$2:$E$7,3),0), "x",
ROUND(BT11*VLOOKUP(I11,'ID Scheme'!$A$2:$E$7,5),0), "x",
ROUND(BU11*VLOOKUP(I11,'ID Scheme'!$A$2:$E$7,4),0))</f>
        <v>0x0x0</v>
      </c>
    </row>
    <row r="12" spans="1:76" x14ac:dyDescent="0.25">
      <c r="A12" t="s">
        <v>36</v>
      </c>
      <c r="B12" t="s">
        <v>165</v>
      </c>
      <c r="C12" t="s">
        <v>295</v>
      </c>
      <c r="D12">
        <f>IF(F12 &gt; 2020, ((F12-2020)*4)+1610+H12,IF(F12 &gt; 1900, ((F12-1900)*10)+400+H12, ((F12-1730)*2)+H12))+VLOOKUP(I12,'ID Scheme'!$A$2:$B$7,2, FALSE)</f>
        <v>807</v>
      </c>
      <c r="F12">
        <v>1833</v>
      </c>
      <c r="G12">
        <v>1</v>
      </c>
      <c r="H12">
        <v>1</v>
      </c>
      <c r="I12" t="s">
        <v>12</v>
      </c>
      <c r="J12" t="s">
        <v>554</v>
      </c>
      <c r="K12">
        <v>18</v>
      </c>
      <c r="L12">
        <v>45</v>
      </c>
      <c r="M12">
        <v>20</v>
      </c>
      <c r="N12">
        <v>4</v>
      </c>
      <c r="O12">
        <v>4</v>
      </c>
      <c r="P12">
        <v>30</v>
      </c>
      <c r="Q12">
        <v>20</v>
      </c>
      <c r="R12">
        <v>1</v>
      </c>
      <c r="S12" t="s">
        <v>298</v>
      </c>
      <c r="T12">
        <v>2</v>
      </c>
      <c r="U12" s="2" t="s">
        <v>275</v>
      </c>
      <c r="V12" s="2"/>
      <c r="W12" s="2"/>
      <c r="X12" s="2"/>
      <c r="Y12" s="2"/>
      <c r="Z12" s="2"/>
      <c r="AA12" s="2"/>
      <c r="AB12" s="2"/>
      <c r="AC12" s="2"/>
      <c r="AD12" s="2"/>
      <c r="AE12" s="2"/>
      <c r="AH12">
        <v>22</v>
      </c>
      <c r="AV12" t="s">
        <v>359</v>
      </c>
      <c r="BA12" s="2">
        <f>(SQRT(K12*AH12)*POWER((MIN(M12,20)+SQRT(MAX(M12-20,0))),0.9)*Data!$B$1)*(1-(R12-1))</f>
        <v>22.122583982050454</v>
      </c>
      <c r="BB12" s="2">
        <f>(POWER((K12*K12*AH12), 0.33)*LOG10(P12)*10*Data!$B$1)*R12</f>
        <v>20.699351945933547</v>
      </c>
      <c r="BC12" s="2"/>
      <c r="BD12" s="2"/>
      <c r="BE12" s="2">
        <f>IFERROR((SQRT($K12*$AI12)*POWER((MIN($M12,20)+SQRT(MAX($M12-20,0))),0.9)*Data!$B$1)*(1 - (R12-1)),BA12)</f>
        <v>0</v>
      </c>
      <c r="BF12" s="2">
        <f>IFERROR(((POWER(($K12*$K12*$AI12), 0.33)*LOG10($AF12)*10*Data!$B$1)*R12),BB12)</f>
        <v>20.699351945933547</v>
      </c>
      <c r="BG12" s="2">
        <f t="shared" si="0"/>
        <v>14.516129032258064</v>
      </c>
      <c r="BH12" s="2">
        <f t="shared" si="1"/>
        <v>0</v>
      </c>
      <c r="BI12" s="2">
        <f t="shared" si="2"/>
        <v>0</v>
      </c>
      <c r="BJ12" s="2">
        <f t="shared" si="3"/>
        <v>0</v>
      </c>
      <c r="BK12" s="2">
        <v>1</v>
      </c>
      <c r="BL12" s="2">
        <v>1</v>
      </c>
      <c r="BM12" s="2">
        <f t="shared" si="4"/>
        <v>22</v>
      </c>
      <c r="BN12" s="2">
        <f t="shared" si="5"/>
        <v>0</v>
      </c>
      <c r="BO12" s="2">
        <f t="shared" si="6"/>
        <v>-1</v>
      </c>
      <c r="BP12" s="2">
        <f t="shared" si="7"/>
        <v>22</v>
      </c>
      <c r="BQ12" s="2">
        <f t="shared" si="8"/>
        <v>-1</v>
      </c>
      <c r="BR12" s="2">
        <f t="shared" si="9"/>
        <v>-1</v>
      </c>
      <c r="BS12" s="3"/>
      <c r="BT12" s="3"/>
      <c r="BU12" s="3"/>
      <c r="BV12">
        <f>F12-F11</f>
        <v>33</v>
      </c>
      <c r="BW12" s="2" t="str">
        <f>CONCATENATE(
ROUND(BS12*VLOOKUP(I12,'ID Scheme'!$A$2:$E$7,3),0), "x",
ROUND(BT12*VLOOKUP(I12,'ID Scheme'!$A$2:$E$7,5),0), "x",
ROUND(BU12*VLOOKUP(I12,'ID Scheme'!$A$2:$E$7,4),0))</f>
        <v>0x0x0</v>
      </c>
    </row>
    <row r="13" spans="1:76" x14ac:dyDescent="0.25">
      <c r="A13" t="s">
        <v>24</v>
      </c>
      <c r="B13" t="s">
        <v>166</v>
      </c>
      <c r="C13" t="s">
        <v>301</v>
      </c>
      <c r="D13">
        <f>IF(F13 &gt; 2020, ((F13-2020)*4)+1610+H13,IF(F13 &gt; 1900, ((F13-1900)*10)+400+H13, ((F13-1730)*2)+H13))+VLOOKUP(I13,'ID Scheme'!$A$2:$B$7,2, FALSE)</f>
        <v>1111</v>
      </c>
      <c r="F13">
        <v>1911</v>
      </c>
      <c r="G13">
        <v>1</v>
      </c>
      <c r="H13">
        <v>1</v>
      </c>
      <c r="I13" t="s">
        <v>12</v>
      </c>
      <c r="J13" t="s">
        <v>547</v>
      </c>
      <c r="K13">
        <v>22</v>
      </c>
      <c r="L13">
        <v>20</v>
      </c>
      <c r="M13">
        <v>15</v>
      </c>
      <c r="N13">
        <v>5</v>
      </c>
      <c r="O13">
        <v>5</v>
      </c>
      <c r="P13">
        <v>30</v>
      </c>
      <c r="Q13">
        <v>20</v>
      </c>
      <c r="R13">
        <v>1</v>
      </c>
      <c r="S13" t="s">
        <v>299</v>
      </c>
      <c r="T13">
        <v>3</v>
      </c>
      <c r="U13" s="2" t="s">
        <v>276</v>
      </c>
      <c r="V13" s="2"/>
      <c r="W13" s="2"/>
      <c r="X13" s="2"/>
      <c r="Y13" s="2"/>
      <c r="Z13" s="2"/>
      <c r="AA13" s="2"/>
      <c r="AB13" s="2"/>
      <c r="AC13" s="2"/>
      <c r="AD13" s="2"/>
      <c r="AE13" s="2"/>
      <c r="AH13">
        <v>36</v>
      </c>
      <c r="AV13" t="s">
        <v>359</v>
      </c>
      <c r="BA13" s="2">
        <f>(SQRT(K13*AH13)*POWER((MIN(M13,20)+SQRT(MAX(M13-20,0))),0.9)*Data!$B$1)*(1-(R13-1))</f>
        <v>24.149380110174171</v>
      </c>
      <c r="BB13" s="2">
        <f>(POWER((K13*K13*AH13), 0.33)*LOG10(P13)*10*Data!$B$1)*R13</f>
        <v>27.800730349293211</v>
      </c>
      <c r="BC13" s="2"/>
      <c r="BD13" s="2"/>
      <c r="BE13" s="2">
        <f>IFERROR((SQRT($K13*$AI13)*POWER((MIN($M13,20)+SQRT(MAX($M13-20,0))),0.9)*Data!$B$1)*(1 - (R13-1)),BA13)</f>
        <v>0</v>
      </c>
      <c r="BF13" s="2">
        <f>IFERROR(((POWER(($K13*$K13*$AI13), 0.33)*LOG10($AF13)*10*Data!$B$1)*R13),BB13)</f>
        <v>27.800730349293211</v>
      </c>
      <c r="BG13" s="2">
        <f t="shared" si="0"/>
        <v>17.741935483870968</v>
      </c>
      <c r="BH13" s="2">
        <f t="shared" si="1"/>
        <v>0</v>
      </c>
      <c r="BI13" s="2">
        <f t="shared" si="2"/>
        <v>0</v>
      </c>
      <c r="BJ13" s="2">
        <f t="shared" si="3"/>
        <v>0</v>
      </c>
      <c r="BK13" s="2">
        <v>1</v>
      </c>
      <c r="BL13" s="2">
        <v>1</v>
      </c>
      <c r="BM13" s="2">
        <f t="shared" si="4"/>
        <v>36</v>
      </c>
      <c r="BN13" s="2">
        <f t="shared" si="5"/>
        <v>0</v>
      </c>
      <c r="BO13" s="2">
        <f t="shared" si="6"/>
        <v>-1</v>
      </c>
      <c r="BP13" s="2">
        <f t="shared" si="7"/>
        <v>36</v>
      </c>
      <c r="BQ13" s="2">
        <f t="shared" si="8"/>
        <v>-1</v>
      </c>
      <c r="BR13" s="2">
        <f t="shared" si="9"/>
        <v>-1</v>
      </c>
      <c r="BS13" s="3"/>
      <c r="BT13" s="3"/>
      <c r="BU13" s="3"/>
      <c r="BV13">
        <f>F13-F12</f>
        <v>78</v>
      </c>
      <c r="BW13" s="2" t="str">
        <f>CONCATENATE(
ROUND(BS13*VLOOKUP(I13,'ID Scheme'!$A$2:$E$7,3),0), "x",
ROUND(BT13*VLOOKUP(I13,'ID Scheme'!$A$2:$E$7,5),0), "x",
ROUND(BU13*VLOOKUP(I13,'ID Scheme'!$A$2:$E$7,4),0))</f>
        <v>0x0x0</v>
      </c>
    </row>
    <row r="14" spans="1:76" x14ac:dyDescent="0.25">
      <c r="A14" t="s">
        <v>93</v>
      </c>
      <c r="B14" t="s">
        <v>167</v>
      </c>
      <c r="C14" t="s">
        <v>301</v>
      </c>
      <c r="D14">
        <f>IF(F14 &gt; 2020, ((F14-2020)*4)+1610+H14,IF(F14 &gt; 1900, ((F14-1900)*10)+400+H14, ((F14-1730)*2)+H14))+VLOOKUP(I14,'ID Scheme'!$A$2:$B$7,2, FALSE)</f>
        <v>1201</v>
      </c>
      <c r="F14">
        <v>1920</v>
      </c>
      <c r="G14">
        <v>1</v>
      </c>
      <c r="H14">
        <v>1</v>
      </c>
      <c r="I14" t="s">
        <v>12</v>
      </c>
      <c r="J14" t="s">
        <v>547</v>
      </c>
      <c r="K14">
        <v>22</v>
      </c>
      <c r="L14">
        <v>20</v>
      </c>
      <c r="M14">
        <v>16</v>
      </c>
      <c r="N14">
        <v>5</v>
      </c>
      <c r="O14">
        <v>5</v>
      </c>
      <c r="P14">
        <v>30</v>
      </c>
      <c r="Q14">
        <v>20</v>
      </c>
      <c r="R14">
        <v>1</v>
      </c>
      <c r="S14" t="s">
        <v>299</v>
      </c>
      <c r="T14">
        <v>3</v>
      </c>
      <c r="U14" s="2" t="s">
        <v>300</v>
      </c>
      <c r="V14" s="2"/>
      <c r="W14" s="2"/>
      <c r="X14" s="2"/>
      <c r="Y14" s="2"/>
      <c r="Z14" s="2"/>
      <c r="AA14" s="2"/>
      <c r="AB14" s="2"/>
      <c r="AC14" s="2"/>
      <c r="AD14" s="2"/>
      <c r="AE14" s="2"/>
      <c r="AH14">
        <v>54</v>
      </c>
      <c r="AV14" t="s">
        <v>359</v>
      </c>
      <c r="BA14" s="2">
        <f>(SQRT(K14*AH14)*POWER((MIN(M14,20)+SQRT(MAX(M14-20,0))),0.9)*Data!$B$1)*(1-(R14-1))</f>
        <v>31.345663574572221</v>
      </c>
      <c r="BB14" s="2">
        <f>(POWER((K14*K14*AH14), 0.33)*LOG10(P14)*10*Data!$B$1)*R14</f>
        <v>31.780909444617688</v>
      </c>
      <c r="BC14" s="2"/>
      <c r="BD14" s="2"/>
      <c r="BE14" s="2">
        <f>IFERROR((SQRT($K14*$AI14)*POWER((MIN($M14,20)+SQRT(MAX($M14-20,0))),0.9)*Data!$B$1)*(1 - (R14-1)),BA14)</f>
        <v>0</v>
      </c>
      <c r="BF14" s="2">
        <f>IFERROR(((POWER(($K14*$K14*$AI14), 0.33)*LOG10($AF14)*10*Data!$B$1)*R14),BB14)</f>
        <v>31.780909444617688</v>
      </c>
      <c r="BG14" s="2">
        <f t="shared" ref="BG14:BG16" si="10">K14/1.24</f>
        <v>17.741935483870968</v>
      </c>
      <c r="BH14" s="2">
        <f t="shared" ref="BH14:BH16" si="11">AG14/1.24</f>
        <v>0</v>
      </c>
      <c r="BI14" s="2">
        <f t="shared" ref="BI14:BI16" si="12">AN14/1.24</f>
        <v>0</v>
      </c>
      <c r="BJ14" s="2">
        <f t="shared" ref="BJ14:BJ16" si="13">AO14/1.24</f>
        <v>0</v>
      </c>
      <c r="BK14" s="2">
        <v>1</v>
      </c>
      <c r="BL14" s="2">
        <v>1</v>
      </c>
      <c r="BM14" s="2">
        <f t="shared" ref="BM14:BM16" si="14">AH14/BL14</f>
        <v>54</v>
      </c>
      <c r="BN14" s="2">
        <f t="shared" si="5"/>
        <v>0</v>
      </c>
      <c r="BO14" s="2">
        <f t="shared" si="6"/>
        <v>-1</v>
      </c>
      <c r="BP14" s="2">
        <f t="shared" si="7"/>
        <v>54</v>
      </c>
      <c r="BQ14" s="2">
        <f t="shared" si="8"/>
        <v>-1</v>
      </c>
      <c r="BR14" s="2">
        <f t="shared" si="9"/>
        <v>-1</v>
      </c>
      <c r="BS14" s="3"/>
      <c r="BT14" s="3"/>
      <c r="BU14" s="3"/>
      <c r="BV14">
        <f>F14-F13</f>
        <v>9</v>
      </c>
      <c r="BW14" s="2" t="str">
        <f>CONCATENATE(
ROUND(BS14*VLOOKUP(I14,'ID Scheme'!$A$2:$E$7,3),0), "x",
ROUND(BT14*VLOOKUP(I14,'ID Scheme'!$A$2:$E$7,5),0), "x",
ROUND(BU14*VLOOKUP(I14,'ID Scheme'!$A$2:$E$7,4),0))</f>
        <v>0x0x0</v>
      </c>
    </row>
    <row r="15" spans="1:76" x14ac:dyDescent="0.25">
      <c r="A15" t="s">
        <v>550</v>
      </c>
      <c r="B15" t="s">
        <v>551</v>
      </c>
      <c r="C15" t="s">
        <v>295</v>
      </c>
      <c r="D15">
        <f>IF(F15 &gt; 2020, ((F15-2020)*4)+1610+H15,IF(F15 &gt; 1900, ((F15-1900)*10)+400+H15, ((F15-1730)*2)+H15))+VLOOKUP(I15,'ID Scheme'!$A$2:$B$7,2, FALSE)</f>
        <v>1261</v>
      </c>
      <c r="F15">
        <v>1926</v>
      </c>
      <c r="G15">
        <v>12</v>
      </c>
      <c r="H15">
        <v>1</v>
      </c>
      <c r="I15" t="s">
        <v>12</v>
      </c>
      <c r="J15" t="s">
        <v>552</v>
      </c>
      <c r="K15">
        <v>30</v>
      </c>
      <c r="L15">
        <v>-1</v>
      </c>
      <c r="M15">
        <v>18</v>
      </c>
      <c r="N15">
        <v>5</v>
      </c>
      <c r="O15">
        <v>5</v>
      </c>
      <c r="P15">
        <v>60</v>
      </c>
      <c r="Q15">
        <v>20</v>
      </c>
      <c r="R15">
        <v>1</v>
      </c>
      <c r="S15" t="s">
        <v>387</v>
      </c>
      <c r="T15">
        <v>3</v>
      </c>
      <c r="U15" s="2" t="s">
        <v>553</v>
      </c>
      <c r="V15" s="2"/>
      <c r="W15" s="2"/>
      <c r="X15" s="2"/>
      <c r="Y15" s="2"/>
      <c r="Z15" s="2"/>
      <c r="AA15" s="2"/>
      <c r="AB15" s="2"/>
      <c r="AC15" s="2"/>
      <c r="AD15" s="2"/>
      <c r="AE15" s="2"/>
      <c r="AH15">
        <v>48</v>
      </c>
      <c r="AV15" t="s">
        <v>359</v>
      </c>
      <c r="BA15" s="2">
        <f>(SQRT(K15*AH15)*POWER((MIN(M15,20)+SQRT(MAX(M15-20,0))),0.9)*Data!$B$1)*(1-(R15-1))</f>
        <v>38.369643493971942</v>
      </c>
      <c r="BB15" s="2">
        <f>(POWER((K15*K15*AH15), 0.33)*LOG10(P15)*10*Data!$B$1)*R15</f>
        <v>45.158509516285143</v>
      </c>
      <c r="BC15" s="2"/>
      <c r="BD15" s="2"/>
      <c r="BE15" s="2">
        <f>IFERROR((SQRT($K15*$AI15)*POWER((MIN($M15,20)+SQRT(MAX($M15-20,0))),0.9)*Data!$B$1)*(1 - (R15-1)),BA15)</f>
        <v>0</v>
      </c>
      <c r="BF15" s="2">
        <f>IFERROR(((POWER(($K15*$K15*$AI15), 0.33)*LOG10($AF15)*10*Data!$B$1)*R15),BB15)</f>
        <v>45.158509516285143</v>
      </c>
      <c r="BG15" s="2">
        <f t="shared" si="10"/>
        <v>24.193548387096776</v>
      </c>
      <c r="BH15" s="2">
        <f t="shared" si="11"/>
        <v>0</v>
      </c>
      <c r="BI15" s="2">
        <f t="shared" si="12"/>
        <v>0</v>
      </c>
      <c r="BJ15" s="2">
        <f t="shared" si="13"/>
        <v>0</v>
      </c>
      <c r="BK15" s="2">
        <v>1</v>
      </c>
      <c r="BL15" s="2">
        <v>1</v>
      </c>
      <c r="BM15" s="2">
        <f t="shared" si="14"/>
        <v>48</v>
      </c>
      <c r="BN15" s="2">
        <f t="shared" ref="BN15" si="15">AI15/BL15</f>
        <v>0</v>
      </c>
      <c r="BO15" s="2">
        <f t="shared" ref="BO15" si="16">IF(AK15 &gt; 0, (AK15)/MAX(BK15-1, 1), -1)</f>
        <v>-1</v>
      </c>
      <c r="BP15" s="2">
        <f t="shared" ref="BP15" si="17">(AH15)/MAX(BK15-1, 1)</f>
        <v>48</v>
      </c>
      <c r="BQ15" s="2">
        <f t="shared" ref="BQ15" si="18">IF(AJ15 &gt; 0, (AJ15)/MAX(BK15-1, 1), -1)</f>
        <v>-1</v>
      </c>
      <c r="BR15" s="2">
        <f t="shared" ref="BR15" si="19">IF(AI15 &gt; 0, (AI15)/MAX(BK15-1, 1), -1)</f>
        <v>-1</v>
      </c>
      <c r="BS15" s="3">
        <v>11</v>
      </c>
      <c r="BT15" s="3">
        <v>2.5</v>
      </c>
      <c r="BU15" s="3">
        <v>3.8</v>
      </c>
      <c r="BV15">
        <f>F15-F14</f>
        <v>6</v>
      </c>
      <c r="BW15" s="2" t="str">
        <f>CONCATENATE(
ROUND(BS15*VLOOKUP(I15,'ID Scheme'!$A$2:$E$7,3),0), "x",
ROUND(BT15*VLOOKUP(I15,'ID Scheme'!$A$2:$E$7,5),0), "x",
ROUND(BU15*VLOOKUP(I15,'ID Scheme'!$A$2:$E$7,4),0))</f>
        <v>103x36x37</v>
      </c>
    </row>
    <row r="16" spans="1:76" ht="14.25" customHeight="1" x14ac:dyDescent="0.25">
      <c r="A16" t="s">
        <v>44</v>
      </c>
      <c r="B16" t="s">
        <v>169</v>
      </c>
      <c r="C16" t="s">
        <v>295</v>
      </c>
      <c r="D16">
        <f>IF(F16 &gt; 2020, ((F16-2020)*4)+1610+H16,IF(F16 &gt; 1900, ((F16-1900)*10)+400+H16, ((F16-1730)*2)+H16))+VLOOKUP(I16,'ID Scheme'!$A$2:$B$7,2, FALSE)</f>
        <v>1271</v>
      </c>
      <c r="F16">
        <v>1927</v>
      </c>
      <c r="G16">
        <v>3</v>
      </c>
      <c r="H16">
        <v>1</v>
      </c>
      <c r="I16" t="s">
        <v>12</v>
      </c>
      <c r="J16" t="s">
        <v>547</v>
      </c>
      <c r="K16">
        <v>42</v>
      </c>
      <c r="L16">
        <v>20</v>
      </c>
      <c r="M16">
        <v>17</v>
      </c>
      <c r="N16">
        <v>4</v>
      </c>
      <c r="O16">
        <v>5</v>
      </c>
      <c r="P16">
        <v>94</v>
      </c>
      <c r="Q16">
        <v>20</v>
      </c>
      <c r="R16">
        <v>1</v>
      </c>
      <c r="S16" t="s">
        <v>299</v>
      </c>
      <c r="T16">
        <v>3</v>
      </c>
      <c r="U16" s="2" t="s">
        <v>324</v>
      </c>
      <c r="V16" s="2"/>
      <c r="W16" s="2"/>
      <c r="X16" s="2"/>
      <c r="Y16" s="2"/>
      <c r="Z16" s="2"/>
      <c r="AA16" s="2"/>
      <c r="AB16" s="2"/>
      <c r="AC16" s="2"/>
      <c r="AD16" s="2"/>
      <c r="AE16" s="2"/>
      <c r="AH16">
        <v>35</v>
      </c>
      <c r="AV16" t="s">
        <v>359</v>
      </c>
      <c r="BA16" s="2">
        <f>(SQRT(K16*AH16)*POWER((MIN(M16,20)+SQRT(MAX(M16-20,0))),0.9)*Data!$B$1)*(1-(R16-1))</f>
        <v>36.82340631265253</v>
      </c>
      <c r="BB16" s="2">
        <f>(POWER((K16*K16*AH16), 0.33)*LOG10(P16)*10*Data!$B$1)*R16</f>
        <v>56.377196674747736</v>
      </c>
      <c r="BC16" s="2"/>
      <c r="BD16" s="2"/>
      <c r="BE16" s="2">
        <f>IFERROR((SQRT($K16*$AI16)*POWER((MIN($M16,20)+SQRT(MAX($M16-20,0))),0.9)*Data!$B$1)*(1 - (R16-1)),BA16)</f>
        <v>0</v>
      </c>
      <c r="BF16" s="2">
        <f>IFERROR(((POWER(($K16*$K16*$AI16), 0.33)*LOG10($AF16)*10*Data!$B$1)*R16),BB16)</f>
        <v>56.377196674747736</v>
      </c>
      <c r="BG16" s="2">
        <f t="shared" si="10"/>
        <v>33.870967741935488</v>
      </c>
      <c r="BH16" s="2">
        <f t="shared" si="11"/>
        <v>0</v>
      </c>
      <c r="BI16" s="2">
        <f t="shared" si="12"/>
        <v>0</v>
      </c>
      <c r="BJ16" s="2">
        <f t="shared" si="13"/>
        <v>0</v>
      </c>
      <c r="BK16" s="2">
        <v>1</v>
      </c>
      <c r="BL16" s="2">
        <v>1</v>
      </c>
      <c r="BM16" s="2">
        <f t="shared" si="14"/>
        <v>35</v>
      </c>
      <c r="BN16" s="2">
        <f t="shared" si="5"/>
        <v>0</v>
      </c>
      <c r="BO16" s="2">
        <f t="shared" si="6"/>
        <v>-1</v>
      </c>
      <c r="BP16" s="2">
        <f t="shared" si="7"/>
        <v>35</v>
      </c>
      <c r="BQ16" s="2">
        <f t="shared" si="8"/>
        <v>-1</v>
      </c>
      <c r="BR16" s="2">
        <f t="shared" si="9"/>
        <v>-1</v>
      </c>
      <c r="BS16" s="3"/>
      <c r="BT16" s="3"/>
      <c r="BU16" s="3"/>
      <c r="BV16">
        <f t="shared" ref="BV16:BV17" si="20">F16-F15</f>
        <v>1</v>
      </c>
      <c r="BW16" s="2" t="str">
        <f>CONCATENATE(
ROUND(BS16*VLOOKUP(I16,'ID Scheme'!$A$2:$E$7,3),0), "x",
ROUND(BT16*VLOOKUP(I16,'ID Scheme'!$A$2:$E$7,5),0), "x",
ROUND(BU16*VLOOKUP(I16,'ID Scheme'!$A$2:$E$7,4),0))</f>
        <v>0x0x0</v>
      </c>
    </row>
    <row r="17" spans="1:76" x14ac:dyDescent="0.25">
      <c r="A17" t="s">
        <v>26</v>
      </c>
      <c r="B17" t="s">
        <v>164</v>
      </c>
      <c r="C17" t="s">
        <v>295</v>
      </c>
      <c r="D17">
        <f>IF(F17 &gt; 2020, ((F17-2020)*4)+1610+H17,IF(F17 &gt; 1900, ((F17-1900)*10)+400+H17, ((F17-1730)*2)+H17))+VLOOKUP(I17,'ID Scheme'!$A$2:$B$7,2, FALSE)</f>
        <v>1291</v>
      </c>
      <c r="F17">
        <v>1929</v>
      </c>
      <c r="G17">
        <v>1</v>
      </c>
      <c r="H17">
        <v>1</v>
      </c>
      <c r="I17" t="s">
        <v>12</v>
      </c>
      <c r="J17" t="s">
        <v>547</v>
      </c>
      <c r="K17">
        <v>29</v>
      </c>
      <c r="L17">
        <v>20</v>
      </c>
      <c r="M17">
        <v>20</v>
      </c>
      <c r="N17">
        <v>7</v>
      </c>
      <c r="O17">
        <v>7</v>
      </c>
      <c r="P17">
        <v>90</v>
      </c>
      <c r="Q17">
        <v>20</v>
      </c>
      <c r="R17">
        <v>1</v>
      </c>
      <c r="S17" t="s">
        <v>299</v>
      </c>
      <c r="T17">
        <v>3</v>
      </c>
      <c r="U17" s="2" t="s">
        <v>323</v>
      </c>
      <c r="V17" s="2"/>
      <c r="W17" s="2"/>
      <c r="X17" s="2"/>
      <c r="Y17" s="2"/>
      <c r="Z17" s="2"/>
      <c r="AA17" s="2"/>
      <c r="AB17" s="2"/>
      <c r="AC17" s="2"/>
      <c r="AD17" s="2"/>
      <c r="AE17" s="2"/>
      <c r="AH17">
        <v>50</v>
      </c>
      <c r="AV17" t="s">
        <v>359</v>
      </c>
      <c r="BA17" s="2">
        <f>(SQRT(K17*AH17)*POWER((MIN(M17,20)+SQRT(MAX(M17-20,0))),0.9)*Data!$B$1)*(1-(R17-1))</f>
        <v>42.332338540034662</v>
      </c>
      <c r="BB17" s="2">
        <f>(POWER((K17*K17*AH17), 0.33)*LOG10(P17)*10*Data!$B$1)*R17</f>
        <v>49.190642990058024</v>
      </c>
      <c r="BC17" s="2"/>
      <c r="BD17" s="2"/>
      <c r="BE17" s="2">
        <f>IFERROR((SQRT($K17*$AI17)*POWER((MIN($M17,20)+SQRT(MAX($M17-20,0))),0.9)*Data!$B$1)*(1 - (R17-1)),BA17)</f>
        <v>0</v>
      </c>
      <c r="BF17" s="2">
        <f>IFERROR(((POWER(($K17*$K17*$AI17), 0.33)*LOG10($AF17)*10*Data!$B$1)*R17),BB17)</f>
        <v>49.190642990058024</v>
      </c>
      <c r="BG17" s="2">
        <f t="shared" si="0"/>
        <v>23.387096774193548</v>
      </c>
      <c r="BH17" s="2">
        <f t="shared" si="1"/>
        <v>0</v>
      </c>
      <c r="BI17" s="2">
        <f t="shared" si="2"/>
        <v>0</v>
      </c>
      <c r="BJ17" s="2">
        <f t="shared" si="3"/>
        <v>0</v>
      </c>
      <c r="BK17" s="2">
        <v>1</v>
      </c>
      <c r="BL17" s="2">
        <v>1</v>
      </c>
      <c r="BM17" s="2">
        <f t="shared" si="4"/>
        <v>50</v>
      </c>
      <c r="BN17" s="2">
        <f t="shared" si="5"/>
        <v>0</v>
      </c>
      <c r="BO17" s="2">
        <f t="shared" si="6"/>
        <v>-1</v>
      </c>
      <c r="BP17" s="2">
        <f t="shared" si="7"/>
        <v>50</v>
      </c>
      <c r="BQ17" s="2">
        <f t="shared" si="8"/>
        <v>-1</v>
      </c>
      <c r="BR17" s="2">
        <f t="shared" si="9"/>
        <v>-1</v>
      </c>
      <c r="BS17" s="3"/>
      <c r="BT17" s="3"/>
      <c r="BU17" s="3"/>
      <c r="BV17">
        <f t="shared" si="20"/>
        <v>2</v>
      </c>
      <c r="BW17" s="2" t="str">
        <f>CONCATENATE(
ROUND(BS17*VLOOKUP(I17,'ID Scheme'!$A$2:$E$7,3),0), "x",
ROUND(BT17*VLOOKUP(I17,'ID Scheme'!$A$2:$E$7,5),0), "x",
ROUND(BU17*VLOOKUP(I17,'ID Scheme'!$A$2:$E$7,4),0))</f>
        <v>0x0x0</v>
      </c>
    </row>
    <row r="18" spans="1:76" x14ac:dyDescent="0.25">
      <c r="A18" t="s">
        <v>47</v>
      </c>
      <c r="B18" t="s">
        <v>168</v>
      </c>
      <c r="C18" t="s">
        <v>295</v>
      </c>
      <c r="D18">
        <f>IF(F18 &gt; 2020, ((F18-2020)*4)+1610+H18,IF(F18 &gt; 1900, ((F18-1900)*10)+400+H18, ((F18-1730)*2)+H18))+VLOOKUP(I18,'ID Scheme'!$A$2:$B$7,2, FALSE)</f>
        <v>1311</v>
      </c>
      <c r="F18">
        <v>1931</v>
      </c>
      <c r="G18">
        <v>1</v>
      </c>
      <c r="H18">
        <v>1</v>
      </c>
      <c r="I18" t="s">
        <v>12</v>
      </c>
      <c r="J18" t="s">
        <v>547</v>
      </c>
      <c r="K18">
        <v>36</v>
      </c>
      <c r="L18">
        <v>18</v>
      </c>
      <c r="M18">
        <v>19</v>
      </c>
      <c r="N18">
        <v>5</v>
      </c>
      <c r="O18">
        <v>5</v>
      </c>
      <c r="P18">
        <v>100</v>
      </c>
      <c r="Q18">
        <v>20</v>
      </c>
      <c r="R18">
        <v>1</v>
      </c>
      <c r="S18" t="s">
        <v>298</v>
      </c>
      <c r="T18">
        <v>-3</v>
      </c>
      <c r="U18" s="2" t="s">
        <v>322</v>
      </c>
      <c r="V18" s="2"/>
      <c r="W18" s="2"/>
      <c r="X18" s="2"/>
      <c r="Y18" s="2"/>
      <c r="Z18" s="2"/>
      <c r="AA18" s="2"/>
      <c r="AB18" s="2"/>
      <c r="AC18" s="2"/>
      <c r="AD18" s="2"/>
      <c r="AE18" s="2"/>
      <c r="AH18">
        <v>32</v>
      </c>
      <c r="AV18" t="s">
        <v>359</v>
      </c>
      <c r="BA18" s="2">
        <f>(SQRT(K18*AH18)*POWER((MIN(M18,20)+SQRT(MAX(M18-20,0))),0.9)*Data!$B$1)*(1-(R18-1))</f>
        <v>36.030122922747744</v>
      </c>
      <c r="BB18" s="2">
        <f>(POWER((K18*K18*AH18), 0.33)*LOG10(P18)*10*Data!$B$1)*R18</f>
        <v>50.112999997180935</v>
      </c>
      <c r="BC18" s="2"/>
      <c r="BD18" s="2"/>
      <c r="BE18" s="2">
        <f>IFERROR((SQRT($K18*$AI18)*POWER((MIN($M18,20)+SQRT(MAX($M18-20,0))),0.9)*Data!$B$1)*(1 - (R18-1)),BA18)</f>
        <v>0</v>
      </c>
      <c r="BF18" s="2">
        <f>IFERROR(((POWER(($K18*$K18*$AI18), 0.33)*LOG10($AF18)*10*Data!$B$1)*R18),BB18)</f>
        <v>50.112999997180935</v>
      </c>
      <c r="BG18" s="2">
        <f t="shared" si="0"/>
        <v>29.032258064516128</v>
      </c>
      <c r="BH18" s="2">
        <f t="shared" si="1"/>
        <v>0</v>
      </c>
      <c r="BI18" s="2">
        <f t="shared" si="2"/>
        <v>0</v>
      </c>
      <c r="BJ18" s="2">
        <f t="shared" si="3"/>
        <v>0</v>
      </c>
      <c r="BK18" s="2">
        <v>1</v>
      </c>
      <c r="BL18" s="2">
        <v>1</v>
      </c>
      <c r="BM18" s="2">
        <f t="shared" si="4"/>
        <v>32</v>
      </c>
      <c r="BN18" s="2">
        <f t="shared" si="5"/>
        <v>0</v>
      </c>
      <c r="BO18" s="2">
        <f t="shared" si="6"/>
        <v>-1</v>
      </c>
      <c r="BP18" s="2">
        <f t="shared" si="7"/>
        <v>32</v>
      </c>
      <c r="BQ18" s="2">
        <f t="shared" si="8"/>
        <v>-1</v>
      </c>
      <c r="BR18" s="2">
        <f t="shared" si="9"/>
        <v>-1</v>
      </c>
      <c r="BS18" s="3"/>
      <c r="BT18" s="3"/>
      <c r="BU18" s="3"/>
      <c r="BV18">
        <f>F18-F17</f>
        <v>2</v>
      </c>
      <c r="BW18" s="2" t="str">
        <f>CONCATENATE(
ROUND(BS18*VLOOKUP(I18,'ID Scheme'!$A$2:$E$7,3),0), "x",
ROUND(BT18*VLOOKUP(I18,'ID Scheme'!$A$2:$E$7,5),0), "x",
ROUND(BU18*VLOOKUP(I18,'ID Scheme'!$A$2:$E$7,4),0))</f>
        <v>0x0x0</v>
      </c>
    </row>
    <row r="19" spans="1:76" x14ac:dyDescent="0.25">
      <c r="A19" t="s">
        <v>43</v>
      </c>
      <c r="B19" t="s">
        <v>170</v>
      </c>
      <c r="C19" t="s">
        <v>295</v>
      </c>
      <c r="D19">
        <f>IF(F19 &gt; 2020, ((F19-2020)*4)+1610+H19,IF(F19 &gt; 1900, ((F19-1900)*10)+400+H19, ((F19-1730)*2)+H19))+VLOOKUP(I19,'ID Scheme'!$A$2:$B$7,2, FALSE)</f>
        <v>1331</v>
      </c>
      <c r="F19">
        <v>1933</v>
      </c>
      <c r="G19">
        <v>1</v>
      </c>
      <c r="H19">
        <v>1</v>
      </c>
      <c r="I19" t="s">
        <v>12</v>
      </c>
      <c r="J19" t="s">
        <v>547</v>
      </c>
      <c r="K19">
        <v>40</v>
      </c>
      <c r="L19">
        <v>20</v>
      </c>
      <c r="M19">
        <v>16</v>
      </c>
      <c r="N19">
        <v>4</v>
      </c>
      <c r="O19">
        <v>6</v>
      </c>
      <c r="P19">
        <v>102</v>
      </c>
      <c r="Q19">
        <v>20</v>
      </c>
      <c r="R19">
        <v>1</v>
      </c>
      <c r="S19" t="s">
        <v>299</v>
      </c>
      <c r="T19">
        <v>3</v>
      </c>
      <c r="U19" s="2" t="s">
        <v>321</v>
      </c>
      <c r="V19" s="2"/>
      <c r="W19" s="2"/>
      <c r="X19" s="2"/>
      <c r="Y19" s="2"/>
      <c r="Z19" s="2"/>
      <c r="AA19" s="2"/>
      <c r="AB19" s="2"/>
      <c r="AC19" s="2"/>
      <c r="AD19" s="2"/>
      <c r="AE19" s="2"/>
      <c r="AH19">
        <v>44</v>
      </c>
      <c r="AV19" t="s">
        <v>359</v>
      </c>
      <c r="BA19" s="2">
        <f>(SQRT(K19*AH19)*POWER((MIN(M19,20)+SQRT(MAX(M19-20,0))),0.9)*Data!$B$1)*(1-(R19-1))</f>
        <v>38.152726710580495</v>
      </c>
      <c r="BB19" s="2">
        <f>(POWER((K19*K19*AH19), 0.33)*LOG10(P19)*10*Data!$B$1)*R19</f>
        <v>59.931305258252422</v>
      </c>
      <c r="BC19" s="2"/>
      <c r="BD19" s="2"/>
      <c r="BE19" s="2">
        <f>IFERROR((SQRT($K19*$AI19)*POWER((MIN($M19,20)+SQRT(MAX($M19-20,0))),0.9)*Data!$B$1)*(1 - (R19-1)),BA19)</f>
        <v>0</v>
      </c>
      <c r="BF19" s="2">
        <f>IFERROR(((POWER(($K19*$K19*$AI19), 0.33)*LOG10($AF19)*10*Data!$B$1)*R19),BB19)</f>
        <v>59.931305258252422</v>
      </c>
      <c r="BG19" s="2">
        <f t="shared" si="0"/>
        <v>32.258064516129032</v>
      </c>
      <c r="BH19" s="2">
        <f t="shared" si="1"/>
        <v>0</v>
      </c>
      <c r="BI19" s="2">
        <f t="shared" si="2"/>
        <v>0</v>
      </c>
      <c r="BJ19" s="2">
        <f t="shared" si="3"/>
        <v>0</v>
      </c>
      <c r="BK19" s="2">
        <v>1</v>
      </c>
      <c r="BL19" s="2">
        <v>1</v>
      </c>
      <c r="BM19" s="2">
        <f t="shared" si="4"/>
        <v>44</v>
      </c>
      <c r="BN19" s="2">
        <f t="shared" si="5"/>
        <v>0</v>
      </c>
      <c r="BO19" s="2">
        <f t="shared" si="6"/>
        <v>-1</v>
      </c>
      <c r="BP19" s="2">
        <f t="shared" si="7"/>
        <v>44</v>
      </c>
      <c r="BQ19" s="2">
        <f t="shared" si="8"/>
        <v>-1</v>
      </c>
      <c r="BR19" s="2">
        <f t="shared" si="9"/>
        <v>-1</v>
      </c>
      <c r="BS19" s="3"/>
      <c r="BT19" s="3"/>
      <c r="BU19" s="3"/>
      <c r="BV19">
        <f>F19-F18</f>
        <v>2</v>
      </c>
      <c r="BW19" s="2" t="str">
        <f>CONCATENATE(
ROUND(BS19*VLOOKUP(I19,'ID Scheme'!$A$2:$E$7,3),0), "x",
ROUND(BT19*VLOOKUP(I19,'ID Scheme'!$A$2:$E$7,5),0), "x",
ROUND(BU19*VLOOKUP(I19,'ID Scheme'!$A$2:$E$7,4),0))</f>
        <v>0x0x0</v>
      </c>
    </row>
    <row r="20" spans="1:76" x14ac:dyDescent="0.25">
      <c r="A20" t="s">
        <v>101</v>
      </c>
      <c r="B20" t="s">
        <v>171</v>
      </c>
      <c r="C20" t="s">
        <v>295</v>
      </c>
      <c r="D20">
        <f>IF(F20 &gt; 2020, ((F20-2020)*4)+1610+H20,IF(F20 &gt; 1900, ((F20-1900)*10)+400+H20, ((F20-1730)*2)+H20))+VLOOKUP(I20,'ID Scheme'!$A$2:$B$7,2, FALSE)</f>
        <v>1332</v>
      </c>
      <c r="F20">
        <v>1933</v>
      </c>
      <c r="G20">
        <v>3</v>
      </c>
      <c r="H20">
        <v>2</v>
      </c>
      <c r="I20" t="s">
        <v>12</v>
      </c>
      <c r="J20" t="s">
        <v>547</v>
      </c>
      <c r="K20">
        <v>48</v>
      </c>
      <c r="L20">
        <v>25</v>
      </c>
      <c r="M20">
        <v>15</v>
      </c>
      <c r="N20">
        <v>5</v>
      </c>
      <c r="O20">
        <v>4</v>
      </c>
      <c r="P20">
        <v>90</v>
      </c>
      <c r="Q20">
        <v>20</v>
      </c>
      <c r="R20">
        <v>1</v>
      </c>
      <c r="S20" t="s">
        <v>299</v>
      </c>
      <c r="T20">
        <v>0</v>
      </c>
      <c r="U20" s="2" t="s">
        <v>320</v>
      </c>
      <c r="V20" s="2"/>
      <c r="W20" s="2"/>
      <c r="X20" s="2"/>
      <c r="Y20" s="2"/>
      <c r="Z20" s="2"/>
      <c r="AA20" s="2"/>
      <c r="AB20" s="2"/>
      <c r="AC20" s="2"/>
      <c r="AD20" s="2"/>
      <c r="AE20" s="2"/>
      <c r="AH20">
        <v>20</v>
      </c>
      <c r="AV20" t="s">
        <v>359</v>
      </c>
      <c r="BA20" s="2">
        <f>(SQRT(K20*AH20)*POWER((MIN(M20,20)+SQRT(MAX(M20-20,0))),0.9)*Data!$B$1)*(1-(R20-1))</f>
        <v>26.587592451565005</v>
      </c>
      <c r="BB20" s="2">
        <f>(POWER((K20*K20*AH20), 0.33)*LOG10(P20)*10*Data!$B$1)*R20</f>
        <v>50.698934782631881</v>
      </c>
      <c r="BC20" s="2"/>
      <c r="BD20" s="2"/>
      <c r="BE20" s="2">
        <f>IFERROR((SQRT($K20*$AI20)*POWER((MIN($M20,20)+SQRT(MAX($M20-20,0))),0.9)*Data!$B$1)*(1 - (R20-1)),BA20)</f>
        <v>0</v>
      </c>
      <c r="BF20" s="2">
        <f>IFERROR(((POWER(($K20*$K20*$AI20), 0.33)*LOG10($AF20)*10*Data!$B$1)*R20),BB20)</f>
        <v>50.698934782631881</v>
      </c>
      <c r="BG20" s="2">
        <f t="shared" si="0"/>
        <v>38.70967741935484</v>
      </c>
      <c r="BH20" s="2">
        <f t="shared" si="1"/>
        <v>0</v>
      </c>
      <c r="BI20" s="2">
        <f t="shared" si="2"/>
        <v>0</v>
      </c>
      <c r="BJ20" s="2">
        <f t="shared" si="3"/>
        <v>0</v>
      </c>
      <c r="BK20" s="2">
        <v>1</v>
      </c>
      <c r="BL20" s="2">
        <v>1</v>
      </c>
      <c r="BM20" s="2">
        <f t="shared" si="4"/>
        <v>20</v>
      </c>
      <c r="BN20" s="2">
        <f t="shared" si="5"/>
        <v>0</v>
      </c>
      <c r="BO20" s="2">
        <f t="shared" si="6"/>
        <v>-1</v>
      </c>
      <c r="BP20" s="2">
        <f t="shared" si="7"/>
        <v>20</v>
      </c>
      <c r="BQ20" s="2">
        <f t="shared" si="8"/>
        <v>-1</v>
      </c>
      <c r="BR20" s="2">
        <f t="shared" si="9"/>
        <v>-1</v>
      </c>
      <c r="BU20" s="3"/>
      <c r="BV20">
        <f>F20-F19</f>
        <v>0</v>
      </c>
      <c r="BW20" s="2" t="str">
        <f>CONCATENATE(
ROUND(BS20*VLOOKUP(I20,'ID Scheme'!$A$2:$E$7,3),0), "x",
ROUND(BT20*VLOOKUP(I20,'ID Scheme'!$A$2:$E$7,5),0), "x",
ROUND(BU20*VLOOKUP(I20,'ID Scheme'!$A$2:$E$7,4),0))</f>
        <v>0x0x0</v>
      </c>
    </row>
    <row r="21" spans="1:76" x14ac:dyDescent="0.25">
      <c r="A21" t="s">
        <v>92</v>
      </c>
      <c r="B21" t="s">
        <v>172</v>
      </c>
      <c r="C21" t="s">
        <v>295</v>
      </c>
      <c r="D21">
        <f>IF(F21 &gt; 2020, ((F21-2020)*4)+1610+H21,IF(F21 &gt; 1900, ((F21-1900)*10)+400+H21, ((F21-1730)*2)+H21))+VLOOKUP(I21,'ID Scheme'!$A$2:$B$7,2, FALSE)</f>
        <v>1371</v>
      </c>
      <c r="F21">
        <v>1937</v>
      </c>
      <c r="G21">
        <v>1</v>
      </c>
      <c r="H21">
        <v>1</v>
      </c>
      <c r="I21" t="s">
        <v>12</v>
      </c>
      <c r="J21" t="s">
        <v>547</v>
      </c>
      <c r="K21">
        <v>44</v>
      </c>
      <c r="L21">
        <v>15</v>
      </c>
      <c r="M21">
        <v>15</v>
      </c>
      <c r="N21">
        <v>4</v>
      </c>
      <c r="O21">
        <v>5</v>
      </c>
      <c r="P21">
        <v>100</v>
      </c>
      <c r="Q21">
        <v>20</v>
      </c>
      <c r="R21">
        <v>1</v>
      </c>
      <c r="S21" t="s">
        <v>299</v>
      </c>
      <c r="T21">
        <v>1</v>
      </c>
      <c r="U21" s="2" t="s">
        <v>319</v>
      </c>
      <c r="V21" s="2"/>
      <c r="W21" s="2"/>
      <c r="X21" s="2"/>
      <c r="Y21" s="2"/>
      <c r="Z21" s="2"/>
      <c r="AA21" s="2"/>
      <c r="AB21" s="2"/>
      <c r="AC21" s="2"/>
      <c r="AD21" s="2"/>
      <c r="AE21" s="2"/>
      <c r="AH21">
        <v>38</v>
      </c>
      <c r="AV21" t="s">
        <v>359</v>
      </c>
      <c r="BA21" s="2">
        <f>(SQRT(K21*AH21)*POWER((MIN(M21,20)+SQRT(MAX(M21-20,0))),0.9)*Data!$B$1)*(1-(R21-1))</f>
        <v>35.088235816466785</v>
      </c>
      <c r="BB21" s="2">
        <f>(POWER((K21*K21*AH21), 0.33)*LOG10(P21)*10*Data!$B$1)*R21</f>
        <v>60.547834117089934</v>
      </c>
      <c r="BC21" s="2"/>
      <c r="BD21" s="2"/>
      <c r="BE21" s="2">
        <f>IFERROR((SQRT($K21*$AI21)*POWER((MIN($M21,20)+SQRT(MAX($M21-20,0))),0.9)*Data!$B$1)*(1 - (R21-1)),BA21)</f>
        <v>0</v>
      </c>
      <c r="BF21" s="2">
        <f>IFERROR(((POWER(($K21*$K21*$AI21), 0.33)*LOG10($AF21)*10*Data!$B$1)*R21),BB21)</f>
        <v>60.547834117089934</v>
      </c>
      <c r="BG21" s="2">
        <f t="shared" si="0"/>
        <v>35.483870967741936</v>
      </c>
      <c r="BH21" s="2">
        <f t="shared" si="1"/>
        <v>0</v>
      </c>
      <c r="BI21" s="2">
        <f t="shared" si="2"/>
        <v>0</v>
      </c>
      <c r="BJ21" s="2">
        <f t="shared" si="3"/>
        <v>0</v>
      </c>
      <c r="BK21" s="2">
        <v>1</v>
      </c>
      <c r="BL21" s="2">
        <v>1</v>
      </c>
      <c r="BM21" s="2">
        <f t="shared" si="4"/>
        <v>38</v>
      </c>
      <c r="BN21" s="2">
        <f t="shared" si="5"/>
        <v>0</v>
      </c>
      <c r="BO21" s="2">
        <f t="shared" si="6"/>
        <v>-1</v>
      </c>
      <c r="BP21" s="2">
        <f t="shared" si="7"/>
        <v>38</v>
      </c>
      <c r="BQ21" s="2">
        <f t="shared" si="8"/>
        <v>-1</v>
      </c>
      <c r="BR21" s="2">
        <f t="shared" si="9"/>
        <v>-1</v>
      </c>
      <c r="BS21" s="3">
        <v>8.4</v>
      </c>
      <c r="BT21" s="3">
        <v>2.4</v>
      </c>
      <c r="BU21" s="3">
        <v>2.6</v>
      </c>
      <c r="BV21">
        <f>F21-F20</f>
        <v>4</v>
      </c>
      <c r="BW21" s="2" t="str">
        <f>CONCATENATE(
ROUND(BS21*VLOOKUP(I21,'ID Scheme'!$A$2:$E$7,3),0), "x",
ROUND(BT21*VLOOKUP(I21,'ID Scheme'!$A$2:$E$7,5),0), "x",
ROUND(BU21*VLOOKUP(I21,'ID Scheme'!$A$2:$E$7,4),0))</f>
        <v>78x35x25</v>
      </c>
    </row>
    <row r="22" spans="1:76" x14ac:dyDescent="0.25">
      <c r="A22" t="s">
        <v>27</v>
      </c>
      <c r="B22" t="s">
        <v>163</v>
      </c>
      <c r="C22" t="s">
        <v>295</v>
      </c>
      <c r="D22">
        <f>IF(F22 &gt; 2020, ((F22-2020)*4)+1610+H22,IF(F22 &gt; 1900, ((F22-1900)*10)+400+H22, ((F22-1730)*2)+H22))+VLOOKUP(I22,'ID Scheme'!$A$2:$B$7,2, FALSE)</f>
        <v>1451</v>
      </c>
      <c r="F22">
        <v>1945</v>
      </c>
      <c r="G22">
        <v>9</v>
      </c>
      <c r="H22">
        <v>1</v>
      </c>
      <c r="I22" t="s">
        <v>12</v>
      </c>
      <c r="J22" t="s">
        <v>547</v>
      </c>
      <c r="K22">
        <v>38</v>
      </c>
      <c r="L22">
        <v>20</v>
      </c>
      <c r="M22">
        <v>20</v>
      </c>
      <c r="N22">
        <v>7</v>
      </c>
      <c r="O22">
        <v>7</v>
      </c>
      <c r="P22">
        <v>115</v>
      </c>
      <c r="Q22">
        <v>20</v>
      </c>
      <c r="R22">
        <v>1</v>
      </c>
      <c r="S22" t="s">
        <v>299</v>
      </c>
      <c r="T22">
        <v>3</v>
      </c>
      <c r="U22" s="2" t="s">
        <v>318</v>
      </c>
      <c r="V22" s="2"/>
      <c r="W22" s="2"/>
      <c r="X22" s="2"/>
      <c r="Y22" s="2"/>
      <c r="Z22" s="2"/>
      <c r="AA22" s="2"/>
      <c r="AB22" s="2"/>
      <c r="AC22" s="2"/>
      <c r="AD22" s="2"/>
      <c r="AE22" s="2"/>
      <c r="AH22">
        <v>57</v>
      </c>
      <c r="AV22" t="s">
        <v>359</v>
      </c>
      <c r="BA22" s="2">
        <f>(SQRT(K22*AH22)*POWER((MIN(M22,20)+SQRT(MAX(M22-20,0))),0.9)*Data!$B$1)*(1-(R22-1))</f>
        <v>51.738935086655786</v>
      </c>
      <c r="BB22" s="2">
        <f>(POWER((K22*K22*AH22), 0.33)*LOG10(P22)*10*Data!$B$1)*R22</f>
        <v>64.739815215748749</v>
      </c>
      <c r="BC22" s="2"/>
      <c r="BD22" s="2"/>
      <c r="BE22" s="2">
        <f>IFERROR((SQRT($K22*$AI22)*POWER((MIN($M22,20)+SQRT(MAX($M22-20,0))),0.9)*Data!$B$1)*(1 - (R22-1)),BA22)</f>
        <v>0</v>
      </c>
      <c r="BF22" s="2">
        <f>IFERROR(((POWER(($K22*$K22*$AI22), 0.33)*LOG10($AF22)*10*Data!$B$1)*R22),BB22)</f>
        <v>64.739815215748749</v>
      </c>
      <c r="BG22" s="2">
        <f t="shared" si="0"/>
        <v>30.64516129032258</v>
      </c>
      <c r="BH22" s="2">
        <f t="shared" si="1"/>
        <v>0</v>
      </c>
      <c r="BI22" s="2">
        <f t="shared" si="2"/>
        <v>0</v>
      </c>
      <c r="BJ22" s="2">
        <f t="shared" si="3"/>
        <v>0</v>
      </c>
      <c r="BK22" s="2">
        <v>1</v>
      </c>
      <c r="BL22" s="2">
        <v>1</v>
      </c>
      <c r="BM22" s="2">
        <f t="shared" si="4"/>
        <v>57</v>
      </c>
      <c r="BN22" s="2">
        <f t="shared" si="5"/>
        <v>0</v>
      </c>
      <c r="BO22" s="2">
        <f t="shared" si="6"/>
        <v>-1</v>
      </c>
      <c r="BP22" s="2">
        <f t="shared" si="7"/>
        <v>57</v>
      </c>
      <c r="BQ22" s="2">
        <f t="shared" si="8"/>
        <v>-1</v>
      </c>
      <c r="BR22" s="2">
        <f t="shared" si="9"/>
        <v>-1</v>
      </c>
      <c r="BS22" s="3"/>
      <c r="BT22" s="3"/>
      <c r="BU22" s="3"/>
      <c r="BV22">
        <f>F22-F21</f>
        <v>8</v>
      </c>
      <c r="BW22" s="2" t="str">
        <f>CONCATENATE(
ROUND(BS22*VLOOKUP(I22,'ID Scheme'!$A$2:$E$7,3),0), "x",
ROUND(BT22*VLOOKUP(I22,'ID Scheme'!$A$2:$E$7,5),0), "x",
ROUND(BU22*VLOOKUP(I22,'ID Scheme'!$A$2:$E$7,4),0))</f>
        <v>0x0x0</v>
      </c>
    </row>
    <row r="23" spans="1:76" x14ac:dyDescent="0.25">
      <c r="A23" t="s">
        <v>86</v>
      </c>
      <c r="B23" t="s">
        <v>173</v>
      </c>
      <c r="C23" t="s">
        <v>295</v>
      </c>
      <c r="D23">
        <f>IF(F23 &gt; 2020, ((F23-2020)*4)+1610+H23,IF(F23 &gt; 1900, ((F23-1900)*10)+400+H23, ((F23-1730)*2)+H23))+VLOOKUP(I23,'ID Scheme'!$A$2:$B$7,2, FALSE)</f>
        <v>1491</v>
      </c>
      <c r="F23">
        <v>1949</v>
      </c>
      <c r="G23">
        <v>6</v>
      </c>
      <c r="H23">
        <v>1</v>
      </c>
      <c r="I23" t="s">
        <v>12</v>
      </c>
      <c r="J23" t="s">
        <v>547</v>
      </c>
      <c r="K23">
        <v>42</v>
      </c>
      <c r="L23">
        <v>20</v>
      </c>
      <c r="M23">
        <v>18</v>
      </c>
      <c r="N23">
        <v>6</v>
      </c>
      <c r="O23">
        <v>6.5</v>
      </c>
      <c r="P23">
        <v>120</v>
      </c>
      <c r="Q23">
        <v>20</v>
      </c>
      <c r="R23">
        <v>1</v>
      </c>
      <c r="S23" t="s">
        <v>299</v>
      </c>
      <c r="T23">
        <v>3</v>
      </c>
      <c r="U23" s="2" t="s">
        <v>302</v>
      </c>
      <c r="V23" s="2"/>
      <c r="W23" s="2"/>
      <c r="X23" s="2"/>
      <c r="Y23" s="2"/>
      <c r="Z23" s="2"/>
      <c r="AA23" s="2"/>
      <c r="AB23" s="2"/>
      <c r="AC23" s="2"/>
      <c r="AD23" s="2"/>
      <c r="AE23" s="2"/>
      <c r="AH23">
        <v>58</v>
      </c>
      <c r="AV23" t="s">
        <v>359</v>
      </c>
      <c r="BA23" s="2">
        <f>(SQRT(K23*AH23)*POWER((MIN(M23,20)+SQRT(MAX(M23-20,0))),0.9)*Data!$B$1)*(1-(R23-1))</f>
        <v>49.905126406384355</v>
      </c>
      <c r="BB23" s="2">
        <f>(POWER((K23*K23*AH23), 0.33)*LOG10(P23)*10*Data!$B$1)*R23</f>
        <v>70.182588528436455</v>
      </c>
      <c r="BC23" s="2"/>
      <c r="BD23" s="2"/>
      <c r="BE23" s="2">
        <f>IFERROR((SQRT($K23*$AI23)*POWER((MIN($M23,20)+SQRT(MAX($M23-20,0))),0.9)*Data!$B$1)*(1 - (R23-1)),BA23)</f>
        <v>0</v>
      </c>
      <c r="BF23" s="2">
        <f>IFERROR(((POWER(($K23*$K23*$AI23), 0.33)*LOG10($AF23)*10*Data!$B$1)*R23),BB23)</f>
        <v>70.182588528436455</v>
      </c>
      <c r="BG23" s="2">
        <f t="shared" si="0"/>
        <v>33.870967741935488</v>
      </c>
      <c r="BH23" s="2">
        <f t="shared" si="1"/>
        <v>0</v>
      </c>
      <c r="BI23" s="2">
        <f t="shared" si="2"/>
        <v>0</v>
      </c>
      <c r="BJ23" s="2">
        <f t="shared" si="3"/>
        <v>0</v>
      </c>
      <c r="BK23" s="2">
        <v>1</v>
      </c>
      <c r="BL23" s="2">
        <v>1</v>
      </c>
      <c r="BM23" s="2">
        <f t="shared" si="4"/>
        <v>58</v>
      </c>
      <c r="BN23" s="2">
        <f t="shared" si="5"/>
        <v>0</v>
      </c>
      <c r="BO23" s="2">
        <f t="shared" si="6"/>
        <v>-1</v>
      </c>
      <c r="BP23" s="2">
        <f t="shared" si="7"/>
        <v>58</v>
      </c>
      <c r="BQ23" s="2">
        <f t="shared" si="8"/>
        <v>-1</v>
      </c>
      <c r="BR23" s="2">
        <f t="shared" si="9"/>
        <v>-1</v>
      </c>
      <c r="BS23" s="3">
        <v>9.1</v>
      </c>
      <c r="BT23" s="3">
        <v>2.4</v>
      </c>
      <c r="BU23" s="3">
        <v>3.9</v>
      </c>
      <c r="BV23">
        <f>F23-F22</f>
        <v>4</v>
      </c>
      <c r="BW23" s="2" t="str">
        <f>CONCATENATE(
ROUND(BS23*VLOOKUP(I23,'ID Scheme'!$A$2:$E$7,3),0), "x",
ROUND(BT23*VLOOKUP(I23,'ID Scheme'!$A$2:$E$7,5),0), "x",
ROUND(BU23*VLOOKUP(I23,'ID Scheme'!$A$2:$E$7,4),0))</f>
        <v>85x35x38</v>
      </c>
      <c r="BX23" t="s">
        <v>87</v>
      </c>
    </row>
    <row r="24" spans="1:76" x14ac:dyDescent="0.25">
      <c r="A24" t="s">
        <v>85</v>
      </c>
      <c r="B24" t="s">
        <v>174</v>
      </c>
      <c r="C24" t="s">
        <v>295</v>
      </c>
      <c r="D24">
        <f>IF(F24 &gt; 2020, ((F24-2020)*4)+1610+H24,IF(F24 &gt; 1900, ((F24-1900)*10)+400+H24, ((F24-1730)*2)+H24))+VLOOKUP(I24,'ID Scheme'!$A$2:$B$7,2, FALSE)</f>
        <v>1501</v>
      </c>
      <c r="F24">
        <v>1950</v>
      </c>
      <c r="G24">
        <v>1</v>
      </c>
      <c r="H24">
        <v>1</v>
      </c>
      <c r="I24" t="s">
        <v>12</v>
      </c>
      <c r="J24" t="s">
        <v>547</v>
      </c>
      <c r="K24">
        <v>45</v>
      </c>
      <c r="L24">
        <v>15</v>
      </c>
      <c r="M24">
        <v>17</v>
      </c>
      <c r="N24">
        <v>4</v>
      </c>
      <c r="O24">
        <v>5</v>
      </c>
      <c r="P24">
        <v>120</v>
      </c>
      <c r="Q24">
        <v>20</v>
      </c>
      <c r="R24">
        <v>1</v>
      </c>
      <c r="S24" t="s">
        <v>299</v>
      </c>
      <c r="T24">
        <v>1</v>
      </c>
      <c r="U24" s="2" t="s">
        <v>303</v>
      </c>
      <c r="V24" s="2"/>
      <c r="W24" s="2"/>
      <c r="X24" s="2"/>
      <c r="Y24" s="2"/>
      <c r="Z24" s="2"/>
      <c r="AA24" s="2"/>
      <c r="AB24" s="2"/>
      <c r="AC24" s="2"/>
      <c r="AD24" s="2"/>
      <c r="AE24" s="2"/>
      <c r="AH24">
        <v>42</v>
      </c>
      <c r="AV24" t="s">
        <v>359</v>
      </c>
      <c r="BA24" s="2">
        <f>(SQRT(K24*AH24)*POWER((MIN(M24,20)+SQRT(MAX(M24-20,0))),0.9)*Data!$B$1)*(1-(R24-1))</f>
        <v>41.753818084099102</v>
      </c>
      <c r="BB24" s="2">
        <f>(POWER((K24*K24*AH24), 0.33)*LOG10(P24)*10*Data!$B$1)*R24</f>
        <v>66.030735917412429</v>
      </c>
      <c r="BC24" s="2"/>
      <c r="BD24" s="2"/>
      <c r="BE24" s="2">
        <f>IFERROR((SQRT($K24*$AI24)*POWER((MIN($M24,20)+SQRT(MAX($M24-20,0))),0.9)*Data!$B$1)*(1 - (R24-1)),BA24)</f>
        <v>0</v>
      </c>
      <c r="BF24" s="2">
        <f>IFERROR(((POWER(($K24*$K24*$AI24), 0.33)*LOG10($AF24)*10*Data!$B$1)*R24),BB24)</f>
        <v>66.030735917412429</v>
      </c>
      <c r="BG24" s="2">
        <f t="shared" si="0"/>
        <v>36.29032258064516</v>
      </c>
      <c r="BH24" s="2">
        <f t="shared" si="1"/>
        <v>0</v>
      </c>
      <c r="BI24" s="2">
        <f t="shared" si="2"/>
        <v>0</v>
      </c>
      <c r="BJ24" s="2">
        <f t="shared" si="3"/>
        <v>0</v>
      </c>
      <c r="BK24" s="2">
        <v>1</v>
      </c>
      <c r="BL24" s="2">
        <v>1</v>
      </c>
      <c r="BM24" s="2">
        <f t="shared" si="4"/>
        <v>42</v>
      </c>
      <c r="BN24" s="2">
        <f t="shared" si="5"/>
        <v>0</v>
      </c>
      <c r="BO24" s="2">
        <f t="shared" si="6"/>
        <v>-1</v>
      </c>
      <c r="BP24" s="2">
        <f t="shared" si="7"/>
        <v>42</v>
      </c>
      <c r="BQ24" s="2">
        <f t="shared" si="8"/>
        <v>-1</v>
      </c>
      <c r="BR24" s="2">
        <f t="shared" si="9"/>
        <v>-1</v>
      </c>
      <c r="BS24" s="3">
        <v>9.1</v>
      </c>
      <c r="BT24" s="3">
        <v>2.4</v>
      </c>
      <c r="BU24" s="3">
        <v>2.6</v>
      </c>
      <c r="BV24">
        <f>F24-F23</f>
        <v>1</v>
      </c>
      <c r="BW24" s="2" t="str">
        <f>CONCATENATE(
ROUND(BS24*VLOOKUP(I24,'ID Scheme'!$A$2:$E$7,3),0), "x",
ROUND(BT24*VLOOKUP(I24,'ID Scheme'!$A$2:$E$7,5),0), "x",
ROUND(BU24*VLOOKUP(I24,'ID Scheme'!$A$2:$E$7,4),0))</f>
        <v>85x35x25</v>
      </c>
      <c r="BX24" t="s">
        <v>87</v>
      </c>
    </row>
    <row r="25" spans="1:76" x14ac:dyDescent="0.25">
      <c r="A25" t="s">
        <v>28</v>
      </c>
      <c r="B25" t="s">
        <v>175</v>
      </c>
      <c r="C25" t="s">
        <v>295</v>
      </c>
      <c r="D25">
        <f>IF(F25 &gt; 2020, ((F25-2020)*4)+1610+H25,IF(F25 &gt; 1900, ((F25-1900)*10)+400+H25, ((F25-1730)*2)+H25))+VLOOKUP(I25,'ID Scheme'!$A$2:$B$7,2, FALSE)</f>
        <v>1541</v>
      </c>
      <c r="F25">
        <v>1954</v>
      </c>
      <c r="G25">
        <v>9</v>
      </c>
      <c r="H25">
        <v>1</v>
      </c>
      <c r="I25" t="s">
        <v>12</v>
      </c>
      <c r="J25" t="s">
        <v>547</v>
      </c>
      <c r="K25">
        <v>40</v>
      </c>
      <c r="L25">
        <v>40</v>
      </c>
      <c r="M25">
        <v>25</v>
      </c>
      <c r="N25">
        <v>7</v>
      </c>
      <c r="O25">
        <v>7.5</v>
      </c>
      <c r="P25">
        <v>115</v>
      </c>
      <c r="Q25">
        <v>20</v>
      </c>
      <c r="R25">
        <v>1</v>
      </c>
      <c r="S25" t="s">
        <v>299</v>
      </c>
      <c r="T25">
        <v>3</v>
      </c>
      <c r="U25" s="2" t="s">
        <v>317</v>
      </c>
      <c r="V25" s="2"/>
      <c r="W25" s="2"/>
      <c r="X25" s="2"/>
      <c r="Y25" s="2"/>
      <c r="Z25" s="2"/>
      <c r="AA25" s="2"/>
      <c r="AB25" s="2"/>
      <c r="AC25" s="2"/>
      <c r="AD25" s="2"/>
      <c r="AE25" s="2"/>
      <c r="AH25">
        <v>72</v>
      </c>
      <c r="AV25" t="s">
        <v>359</v>
      </c>
      <c r="BA25" s="2">
        <f>(SQRT(K25*AH25)*POWER((MIN(M25,20)+SQRT(MAX(M25-20,0))),0.9)*Data!$B$1)*(1-(R25-1))</f>
        <v>65.631102684772316</v>
      </c>
      <c r="BB25" s="2">
        <f>(POWER((K25*K25*AH25), 0.33)*LOG10(P25)*10*Data!$B$1)*R25</f>
        <v>72.3360679145528</v>
      </c>
      <c r="BC25" s="2"/>
      <c r="BD25" s="2"/>
      <c r="BE25" s="2">
        <f>IFERROR((SQRT($K25*$AI25)*POWER((MIN($M25,20)+SQRT(MAX($M25-20,0))),0.9)*Data!$B$1)*(1 - (R25-1)),BA25)</f>
        <v>0</v>
      </c>
      <c r="BF25" s="2">
        <f>IFERROR(((POWER(($K25*$K25*$AI25), 0.33)*LOG10($AF25)*10*Data!$B$1)*R25),BB25)</f>
        <v>72.3360679145528</v>
      </c>
      <c r="BG25" s="2">
        <f t="shared" si="0"/>
        <v>32.258064516129032</v>
      </c>
      <c r="BH25" s="2">
        <f t="shared" si="1"/>
        <v>0</v>
      </c>
      <c r="BI25" s="2">
        <f t="shared" si="2"/>
        <v>0</v>
      </c>
      <c r="BJ25" s="2">
        <f t="shared" si="3"/>
        <v>0</v>
      </c>
      <c r="BK25" s="2">
        <v>1</v>
      </c>
      <c r="BL25" s="2">
        <v>1</v>
      </c>
      <c r="BM25" s="2">
        <f t="shared" si="4"/>
        <v>72</v>
      </c>
      <c r="BN25" s="2">
        <f t="shared" si="5"/>
        <v>0</v>
      </c>
      <c r="BO25" s="2">
        <f t="shared" si="6"/>
        <v>-1</v>
      </c>
      <c r="BP25" s="2">
        <f t="shared" si="7"/>
        <v>72</v>
      </c>
      <c r="BQ25" s="2">
        <f t="shared" si="8"/>
        <v>-1</v>
      </c>
      <c r="BR25" s="2">
        <f t="shared" si="9"/>
        <v>-1</v>
      </c>
      <c r="BS25" s="3"/>
      <c r="BT25" s="3"/>
      <c r="BU25" s="3"/>
      <c r="BV25">
        <f>F25-F24</f>
        <v>4</v>
      </c>
      <c r="BW25" s="2" t="str">
        <f>CONCATENATE(
ROUND(BS25*VLOOKUP(I25,'ID Scheme'!$A$2:$E$7,3),0), "x",
ROUND(BT25*VLOOKUP(I25,'ID Scheme'!$A$2:$E$7,5),0), "x",
ROUND(BU25*VLOOKUP(I25,'ID Scheme'!$A$2:$E$7,4),0))</f>
        <v>0x0x0</v>
      </c>
    </row>
    <row r="26" spans="1:76" x14ac:dyDescent="0.25">
      <c r="A26" t="s">
        <v>29</v>
      </c>
      <c r="B26" t="s">
        <v>176</v>
      </c>
      <c r="C26" t="s">
        <v>295</v>
      </c>
      <c r="D26">
        <f>IF(F26 &gt; 2020, ((F26-2020)*4)+1610+H26,IF(F26 &gt; 1900, ((F26-1900)*10)+400+H26, ((F26-1730)*2)+H26))+VLOOKUP(I26,'ID Scheme'!$A$2:$B$7,2, FALSE)</f>
        <v>1581</v>
      </c>
      <c r="F26">
        <v>1958</v>
      </c>
      <c r="G26">
        <v>6</v>
      </c>
      <c r="H26">
        <v>1</v>
      </c>
      <c r="I26" t="s">
        <v>12</v>
      </c>
      <c r="J26" t="s">
        <v>547</v>
      </c>
      <c r="K26">
        <v>76</v>
      </c>
      <c r="L26">
        <v>15</v>
      </c>
      <c r="M26">
        <v>16</v>
      </c>
      <c r="N26">
        <v>4</v>
      </c>
      <c r="O26">
        <v>6</v>
      </c>
      <c r="P26">
        <v>138</v>
      </c>
      <c r="Q26">
        <v>24</v>
      </c>
      <c r="R26">
        <v>1.1000000000000001</v>
      </c>
      <c r="S26" t="s">
        <v>305</v>
      </c>
      <c r="T26">
        <v>2</v>
      </c>
      <c r="U26" s="2" t="s">
        <v>306</v>
      </c>
      <c r="V26" s="2"/>
      <c r="W26" s="2"/>
      <c r="X26" s="2"/>
      <c r="Y26" s="2"/>
      <c r="Z26" s="2"/>
      <c r="AA26" s="2"/>
      <c r="AB26" s="2"/>
      <c r="AC26" s="2"/>
      <c r="AD26" s="2"/>
      <c r="AE26" s="2"/>
      <c r="AH26">
        <v>34</v>
      </c>
      <c r="AN26">
        <v>62</v>
      </c>
      <c r="AO26">
        <v>70</v>
      </c>
      <c r="AV26" t="s">
        <v>359</v>
      </c>
      <c r="BA26" s="2">
        <f>(SQRT(K26*AH26)*POWER((MIN(M26,20)+SQRT(MAX(M26-20,0))),0.9)*Data!$B$1)*(1-(R26-1))</f>
        <v>41.606196119796323</v>
      </c>
      <c r="BB26" s="2">
        <f>(POWER((K26*K26*AH26), 0.33)*LOG10(P26)*10*Data!$B$1)*R26</f>
        <v>98.529935018135305</v>
      </c>
      <c r="BC26" s="2"/>
      <c r="BD26" s="2"/>
      <c r="BE26" s="2">
        <f>IFERROR((SQRT($K26*$AI26)*POWER((MIN($M26,20)+SQRT(MAX($M26-20,0))),0.9)*Data!$B$1)*(1 - (R26-1)),BA26)</f>
        <v>0</v>
      </c>
      <c r="BF26" s="2">
        <f>IFERROR(((POWER(($K26*$K26*$AI26), 0.33)*LOG10($AF26)*10*Data!$B$1)*R26),BB26)</f>
        <v>98.529935018135305</v>
      </c>
      <c r="BG26" s="2">
        <f t="shared" si="0"/>
        <v>61.29032258064516</v>
      </c>
      <c r="BH26" s="2">
        <f t="shared" si="1"/>
        <v>0</v>
      </c>
      <c r="BI26" s="2">
        <f t="shared" si="2"/>
        <v>50</v>
      </c>
      <c r="BJ26" s="2">
        <f t="shared" si="3"/>
        <v>56.451612903225808</v>
      </c>
      <c r="BK26" s="2">
        <v>1</v>
      </c>
      <c r="BL26" s="2">
        <v>1</v>
      </c>
      <c r="BM26" s="2">
        <f t="shared" si="4"/>
        <v>34</v>
      </c>
      <c r="BN26" s="2">
        <f t="shared" si="5"/>
        <v>0</v>
      </c>
      <c r="BO26" s="2">
        <f t="shared" si="6"/>
        <v>-1</v>
      </c>
      <c r="BP26" s="2">
        <f t="shared" si="7"/>
        <v>34</v>
      </c>
      <c r="BQ26" s="2">
        <f t="shared" si="8"/>
        <v>-1</v>
      </c>
      <c r="BR26" s="2">
        <f t="shared" si="9"/>
        <v>-1</v>
      </c>
      <c r="BS26" s="3"/>
      <c r="BT26" s="3"/>
      <c r="BU26" s="3"/>
      <c r="BV26">
        <f>F26-F25</f>
        <v>4</v>
      </c>
      <c r="BW26" s="2" t="str">
        <f>CONCATENATE(
ROUND(BS26*VLOOKUP(I26,'ID Scheme'!$A$2:$E$7,3),0), "x",
ROUND(BT26*VLOOKUP(I26,'ID Scheme'!$A$2:$E$7,5),0), "x",
ROUND(BU26*VLOOKUP(I26,'ID Scheme'!$A$2:$E$7,4),0))</f>
        <v>0x0x0</v>
      </c>
    </row>
    <row r="27" spans="1:76" x14ac:dyDescent="0.25">
      <c r="A27" t="s">
        <v>59</v>
      </c>
      <c r="B27" t="s">
        <v>177</v>
      </c>
      <c r="C27" t="s">
        <v>295</v>
      </c>
      <c r="D27">
        <f>IF(F27 &gt; 2020, ((F27-2020)*4)+1610+H27,IF(F27 &gt; 1900, ((F27-1900)*10)+400+H27, ((F27-1730)*2)+H27))+VLOOKUP(I27,'ID Scheme'!$A$2:$B$7,2, FALSE)</f>
        <v>1582</v>
      </c>
      <c r="F27">
        <v>1958</v>
      </c>
      <c r="G27">
        <v>1</v>
      </c>
      <c r="H27">
        <v>2</v>
      </c>
      <c r="I27" t="s">
        <v>12</v>
      </c>
      <c r="J27" t="s">
        <v>547</v>
      </c>
      <c r="K27">
        <v>55</v>
      </c>
      <c r="L27">
        <v>30</v>
      </c>
      <c r="M27">
        <v>25</v>
      </c>
      <c r="N27">
        <v>4</v>
      </c>
      <c r="O27">
        <v>7</v>
      </c>
      <c r="P27">
        <v>140</v>
      </c>
      <c r="Q27">
        <v>20</v>
      </c>
      <c r="R27">
        <v>1</v>
      </c>
      <c r="S27" t="s">
        <v>311</v>
      </c>
      <c r="T27">
        <v>3</v>
      </c>
      <c r="U27" s="2" t="s">
        <v>312</v>
      </c>
      <c r="V27" s="2"/>
      <c r="W27" s="2"/>
      <c r="X27" s="2"/>
      <c r="Y27" s="2"/>
      <c r="Z27" s="2"/>
      <c r="AA27" s="2"/>
      <c r="AB27" s="2"/>
      <c r="AC27" s="2"/>
      <c r="AD27" s="2"/>
      <c r="AE27" s="2"/>
      <c r="AH27">
        <v>57</v>
      </c>
      <c r="AV27" t="s">
        <v>359</v>
      </c>
      <c r="BA27" s="2">
        <f>(SQRT(K27*AH27)*POWER((MIN(M27,20)+SQRT(MAX(M27-20,0))),0.9)*Data!$B$1)*(1-(R27-1))</f>
        <v>68.475029766042482</v>
      </c>
      <c r="BB27" s="2">
        <f>(POWER((K27*K27*AH27), 0.33)*LOG10(P27)*10*Data!$B$1)*R27</f>
        <v>86.05873713759469</v>
      </c>
      <c r="BC27" s="2"/>
      <c r="BD27" s="2"/>
      <c r="BE27" s="2">
        <f>IFERROR((SQRT($K27*$AI27)*POWER((MIN($M27,20)+SQRT(MAX($M27-20,0))),0.9)*Data!$B$1)*(1 - (R27-1)),BA27)</f>
        <v>0</v>
      </c>
      <c r="BF27" s="2">
        <f>IFERROR(((POWER(($K27*$K27*$AI27), 0.33)*LOG10($AF27)*10*Data!$B$1)*R27),BB27)</f>
        <v>86.05873713759469</v>
      </c>
      <c r="BG27" s="2">
        <f t="shared" si="0"/>
        <v>44.354838709677416</v>
      </c>
      <c r="BH27" s="2">
        <f t="shared" si="1"/>
        <v>0</v>
      </c>
      <c r="BI27" s="2">
        <f t="shared" si="2"/>
        <v>0</v>
      </c>
      <c r="BJ27" s="2">
        <f t="shared" si="3"/>
        <v>0</v>
      </c>
      <c r="BK27" s="2">
        <v>1</v>
      </c>
      <c r="BL27" s="2">
        <v>1</v>
      </c>
      <c r="BM27" s="2">
        <f t="shared" si="4"/>
        <v>57</v>
      </c>
      <c r="BN27" s="2">
        <f t="shared" si="5"/>
        <v>0</v>
      </c>
      <c r="BO27" s="2">
        <f t="shared" si="6"/>
        <v>-1</v>
      </c>
      <c r="BP27" s="2">
        <f t="shared" si="7"/>
        <v>57</v>
      </c>
      <c r="BQ27" s="2">
        <f t="shared" si="8"/>
        <v>-1</v>
      </c>
      <c r="BR27" s="2">
        <f t="shared" si="9"/>
        <v>-1</v>
      </c>
      <c r="BS27" s="3"/>
      <c r="BT27" s="3"/>
      <c r="BU27" s="3"/>
      <c r="BV27">
        <f>F27-F26</f>
        <v>0</v>
      </c>
      <c r="BW27" s="2" t="str">
        <f>CONCATENATE(
ROUND(BS27*VLOOKUP(I27,'ID Scheme'!$A$2:$E$7,3),0), "x",
ROUND(BT27*VLOOKUP(I27,'ID Scheme'!$A$2:$E$7,5),0), "x",
ROUND(BU27*VLOOKUP(I27,'ID Scheme'!$A$2:$E$7,4),0))</f>
        <v>0x0x0</v>
      </c>
    </row>
    <row r="28" spans="1:76" x14ac:dyDescent="0.25">
      <c r="A28" t="s">
        <v>25</v>
      </c>
      <c r="B28" t="s">
        <v>178</v>
      </c>
      <c r="C28" t="s">
        <v>295</v>
      </c>
      <c r="D28">
        <f>IF(F28 &gt; 2020, ((F28-2020)*4)+1610+H28,IF(F28 &gt; 1900, ((F28-1900)*10)+400+H28, ((F28-1730)*2)+H28))+VLOOKUP(I28,'ID Scheme'!$A$2:$B$7,2, FALSE)</f>
        <v>1631</v>
      </c>
      <c r="F28">
        <v>1963</v>
      </c>
      <c r="G28">
        <v>6</v>
      </c>
      <c r="H28">
        <v>1</v>
      </c>
      <c r="I28" t="s">
        <v>12</v>
      </c>
      <c r="J28" t="s">
        <v>547</v>
      </c>
      <c r="K28">
        <v>55</v>
      </c>
      <c r="L28">
        <v>20</v>
      </c>
      <c r="M28">
        <v>18</v>
      </c>
      <c r="N28">
        <v>4</v>
      </c>
      <c r="O28">
        <v>10</v>
      </c>
      <c r="P28">
        <v>143</v>
      </c>
      <c r="Q28">
        <v>20</v>
      </c>
      <c r="R28">
        <v>1</v>
      </c>
      <c r="S28" t="s">
        <v>311</v>
      </c>
      <c r="T28">
        <v>3</v>
      </c>
      <c r="U28" s="2" t="s">
        <v>313</v>
      </c>
      <c r="V28" s="2"/>
      <c r="W28" s="2"/>
      <c r="X28" s="2"/>
      <c r="Y28" s="2"/>
      <c r="Z28" s="2"/>
      <c r="AA28" s="2"/>
      <c r="AB28" s="2"/>
      <c r="AC28" s="2"/>
      <c r="AD28" s="2"/>
      <c r="AE28" s="2"/>
      <c r="AH28">
        <v>52</v>
      </c>
      <c r="AV28" t="s">
        <v>359</v>
      </c>
      <c r="BA28" s="2">
        <f>(SQRT(K28*AH28)*POWER((MIN(M28,20)+SQRT(MAX(M28-20,0))),0.9)*Data!$B$1)*(1-(R28-1))</f>
        <v>54.074129222607461</v>
      </c>
      <c r="BB28" s="2">
        <f>(POWER((K28*K28*AH28), 0.33)*LOG10(P28)*10*Data!$B$1)*R28</f>
        <v>83.848776966287019</v>
      </c>
      <c r="BC28" s="2"/>
      <c r="BD28" s="2"/>
      <c r="BE28" s="2">
        <f>IFERROR((SQRT($K28*$AI28)*POWER((MIN($M28,20)+SQRT(MAX($M28-20,0))),0.9)*Data!$B$1)*(1 - (R28-1)),BA28)</f>
        <v>0</v>
      </c>
      <c r="BF28" s="2">
        <f>IFERROR(((POWER(($K28*$K28*$AI28), 0.33)*LOG10($AF28)*10*Data!$B$1)*R28),BB28)</f>
        <v>83.848776966287019</v>
      </c>
      <c r="BG28" s="2">
        <f t="shared" si="0"/>
        <v>44.354838709677416</v>
      </c>
      <c r="BH28" s="2">
        <f t="shared" si="1"/>
        <v>0</v>
      </c>
      <c r="BI28" s="2">
        <f t="shared" si="2"/>
        <v>0</v>
      </c>
      <c r="BJ28" s="2">
        <f t="shared" si="3"/>
        <v>0</v>
      </c>
      <c r="BK28" s="2">
        <v>1</v>
      </c>
      <c r="BL28" s="2">
        <v>1</v>
      </c>
      <c r="BM28" s="2">
        <f t="shared" si="4"/>
        <v>52</v>
      </c>
      <c r="BN28" s="2">
        <f t="shared" si="5"/>
        <v>0</v>
      </c>
      <c r="BO28" s="2">
        <f t="shared" si="6"/>
        <v>-1</v>
      </c>
      <c r="BP28" s="2">
        <f t="shared" si="7"/>
        <v>52</v>
      </c>
      <c r="BQ28" s="2">
        <f t="shared" si="8"/>
        <v>-1</v>
      </c>
      <c r="BR28" s="2">
        <f t="shared" si="9"/>
        <v>-1</v>
      </c>
      <c r="BS28" s="3">
        <v>11</v>
      </c>
      <c r="BT28" s="3">
        <v>2.5</v>
      </c>
      <c r="BU28" s="3"/>
      <c r="BV28">
        <f>F28-F27</f>
        <v>5</v>
      </c>
      <c r="BW28" s="2" t="str">
        <f>CONCATENATE(
ROUND(BS28*VLOOKUP(I28,'ID Scheme'!$A$2:$E$7,3),0), "x",
ROUND(BT28*VLOOKUP(I28,'ID Scheme'!$A$2:$E$7,5),0), "x",
ROUND(BU28*VLOOKUP(I28,'ID Scheme'!$A$2:$E$7,4),0))</f>
        <v>103x36x0</v>
      </c>
    </row>
    <row r="29" spans="1:76" x14ac:dyDescent="0.25">
      <c r="A29" t="s">
        <v>45</v>
      </c>
      <c r="B29" t="s">
        <v>179</v>
      </c>
      <c r="C29" t="s">
        <v>295</v>
      </c>
      <c r="D29">
        <f>IF(F29 &gt; 2020, ((F29-2020)*4)+1610+H29,IF(F29 &gt; 1900, ((F29-1900)*10)+400+H29, ((F29-1730)*2)+H29))+VLOOKUP(I29,'ID Scheme'!$A$2:$B$7,2, FALSE)</f>
        <v>1721</v>
      </c>
      <c r="F29">
        <v>1972</v>
      </c>
      <c r="G29">
        <v>1</v>
      </c>
      <c r="H29">
        <v>1</v>
      </c>
      <c r="I29" t="s">
        <v>12</v>
      </c>
      <c r="J29" t="s">
        <v>547</v>
      </c>
      <c r="K29">
        <v>52</v>
      </c>
      <c r="L29">
        <v>23</v>
      </c>
      <c r="M29">
        <v>22</v>
      </c>
      <c r="N29">
        <v>5</v>
      </c>
      <c r="O29">
        <v>7</v>
      </c>
      <c r="P29">
        <v>165</v>
      </c>
      <c r="Q29">
        <v>20</v>
      </c>
      <c r="R29">
        <v>1</v>
      </c>
      <c r="S29" t="s">
        <v>299</v>
      </c>
      <c r="T29">
        <v>3</v>
      </c>
      <c r="U29" s="2" t="s">
        <v>314</v>
      </c>
      <c r="V29" s="2"/>
      <c r="W29" s="2"/>
      <c r="X29" s="2"/>
      <c r="Y29" s="2"/>
      <c r="Z29" s="2"/>
      <c r="AA29" s="2"/>
      <c r="AB29" s="2"/>
      <c r="AC29" s="2"/>
      <c r="AD29" s="2"/>
      <c r="AE29" s="2"/>
      <c r="AH29">
        <v>58</v>
      </c>
      <c r="AV29" t="s">
        <v>359</v>
      </c>
      <c r="BA29" s="2">
        <f>(SQRT(K29*AH29)*POWER((MIN(M29,20)+SQRT(MAX(M29-20,0))),0.9)*Data!$B$1)*(1-(R29-1))</f>
        <v>64.924535113354011</v>
      </c>
      <c r="BB29" s="2">
        <f>(POWER((K29*K29*AH29), 0.33)*LOG10(P29)*10*Data!$B$1)*R29</f>
        <v>86.181726874059862</v>
      </c>
      <c r="BC29" s="2"/>
      <c r="BD29" s="2"/>
      <c r="BE29" s="2">
        <f>IFERROR((SQRT($K29*$AI29)*POWER((MIN($M29,20)+SQRT(MAX($M29-20,0))),0.9)*Data!$B$1)*(1 - (R29-1)),BA29)</f>
        <v>0</v>
      </c>
      <c r="BF29" s="2">
        <f>IFERROR(((POWER(($K29*$K29*$AI29), 0.33)*LOG10($AF29)*10*Data!$B$1)*R29),BB29)</f>
        <v>86.181726874059862</v>
      </c>
      <c r="BG29" s="2">
        <f t="shared" si="0"/>
        <v>41.935483870967744</v>
      </c>
      <c r="BH29" s="2">
        <f t="shared" si="1"/>
        <v>0</v>
      </c>
      <c r="BI29" s="2">
        <f t="shared" si="2"/>
        <v>0</v>
      </c>
      <c r="BJ29" s="2">
        <f t="shared" si="3"/>
        <v>0</v>
      </c>
      <c r="BK29" s="2">
        <v>1</v>
      </c>
      <c r="BL29" s="2">
        <v>1</v>
      </c>
      <c r="BM29" s="2">
        <f t="shared" si="4"/>
        <v>58</v>
      </c>
      <c r="BN29" s="2">
        <f t="shared" si="5"/>
        <v>0</v>
      </c>
      <c r="BO29" s="2">
        <f t="shared" si="6"/>
        <v>-1</v>
      </c>
      <c r="BP29" s="2">
        <f t="shared" si="7"/>
        <v>58</v>
      </c>
      <c r="BQ29" s="2">
        <f t="shared" si="8"/>
        <v>-1</v>
      </c>
      <c r="BR29" s="2">
        <f t="shared" si="9"/>
        <v>-1</v>
      </c>
      <c r="BS29" s="3">
        <v>11.3</v>
      </c>
      <c r="BT29" s="3">
        <v>2.5</v>
      </c>
      <c r="BU29" s="3"/>
      <c r="BV29">
        <f>F29-F28</f>
        <v>9</v>
      </c>
      <c r="BW29" s="2" t="str">
        <f>CONCATENATE(
ROUND(BS29*VLOOKUP(I29,'ID Scheme'!$A$2:$E$7,3),0), "x",
ROUND(BT29*VLOOKUP(I29,'ID Scheme'!$A$2:$E$7,5),0), "x",
ROUND(BU29*VLOOKUP(I29,'ID Scheme'!$A$2:$E$7,4),0))</f>
        <v>106x36x0</v>
      </c>
    </row>
    <row r="30" spans="1:76" x14ac:dyDescent="0.25">
      <c r="A30" t="s">
        <v>94</v>
      </c>
      <c r="B30" t="s">
        <v>180</v>
      </c>
      <c r="C30" t="s">
        <v>295</v>
      </c>
      <c r="D30">
        <f>IF(F30 &gt; 2020, ((F30-2020)*4)+1610+H30,IF(F30 &gt; 1900, ((F30-1900)*10)+400+H30, ((F30-1730)*2)+H30))+VLOOKUP(I30,'ID Scheme'!$A$2:$B$7,2, FALSE)</f>
        <v>1771</v>
      </c>
      <c r="F30">
        <v>1977</v>
      </c>
      <c r="G30">
        <v>1</v>
      </c>
      <c r="H30">
        <v>1</v>
      </c>
      <c r="I30" t="s">
        <v>12</v>
      </c>
      <c r="J30" t="s">
        <v>547</v>
      </c>
      <c r="K30">
        <v>45</v>
      </c>
      <c r="L30">
        <v>12</v>
      </c>
      <c r="M30">
        <v>19</v>
      </c>
      <c r="N30">
        <v>7</v>
      </c>
      <c r="O30">
        <v>10</v>
      </c>
      <c r="P30">
        <v>210</v>
      </c>
      <c r="Q30">
        <v>20</v>
      </c>
      <c r="R30">
        <v>1</v>
      </c>
      <c r="S30" t="s">
        <v>311</v>
      </c>
      <c r="T30">
        <v>3</v>
      </c>
      <c r="U30" s="2" t="s">
        <v>315</v>
      </c>
      <c r="V30" s="2"/>
      <c r="W30" s="2"/>
      <c r="X30" s="2"/>
      <c r="Y30" s="2"/>
      <c r="Z30" s="2"/>
      <c r="AA30" s="2"/>
      <c r="AB30" s="2"/>
      <c r="AC30" s="2"/>
      <c r="AD30" s="2"/>
      <c r="AE30" s="2"/>
      <c r="AH30">
        <v>71</v>
      </c>
      <c r="AV30" t="s">
        <v>359</v>
      </c>
      <c r="BA30" s="2">
        <f>(SQRT(K30*AH30)*POWER((MIN(M30,20)+SQRT(MAX(M30-20,0))),0.9)*Data!$B$1)*(1-(R30-1))</f>
        <v>60.003272308491312</v>
      </c>
      <c r="BB30" s="2">
        <f>(POWER((K30*K30*AH30), 0.33)*LOG10(P30)*10*Data!$B$1)*R30</f>
        <v>87.700083475967674</v>
      </c>
      <c r="BC30" s="2"/>
      <c r="BD30" s="2"/>
      <c r="BE30" s="2">
        <f>IFERROR((SQRT($K30*$AI30)*POWER((MIN($M30,20)+SQRT(MAX($M30-20,0))),0.9)*Data!$B$1)*(1 - (R30-1)),BA30)</f>
        <v>0</v>
      </c>
      <c r="BF30" s="2">
        <f>IFERROR(((POWER(($K30*$K30*$AI30), 0.33)*LOG10($AF30)*10*Data!$B$1)*R30),BB30)</f>
        <v>87.700083475967674</v>
      </c>
      <c r="BG30" s="2">
        <f t="shared" si="0"/>
        <v>36.29032258064516</v>
      </c>
      <c r="BH30" s="2">
        <f t="shared" si="1"/>
        <v>0</v>
      </c>
      <c r="BI30" s="2">
        <f t="shared" si="2"/>
        <v>0</v>
      </c>
      <c r="BJ30" s="2">
        <f t="shared" si="3"/>
        <v>0</v>
      </c>
      <c r="BK30" s="2">
        <v>1</v>
      </c>
      <c r="BL30" s="2">
        <v>1</v>
      </c>
      <c r="BM30" s="2">
        <f t="shared" si="4"/>
        <v>71</v>
      </c>
      <c r="BN30" s="2">
        <f t="shared" si="5"/>
        <v>0</v>
      </c>
      <c r="BO30" s="2">
        <f t="shared" si="6"/>
        <v>-1</v>
      </c>
      <c r="BP30" s="2">
        <f t="shared" si="7"/>
        <v>71</v>
      </c>
      <c r="BQ30" s="2">
        <f t="shared" si="8"/>
        <v>-1</v>
      </c>
      <c r="BR30" s="2">
        <f t="shared" si="9"/>
        <v>-1</v>
      </c>
      <c r="BS30" s="3">
        <v>12</v>
      </c>
      <c r="BT30" s="3">
        <v>2.5</v>
      </c>
      <c r="BU30" s="3">
        <v>4.2</v>
      </c>
      <c r="BV30">
        <f>F30-F29</f>
        <v>5</v>
      </c>
      <c r="BW30" s="2" t="str">
        <f>CONCATENATE(
ROUND(BS30*VLOOKUP(I30,'ID Scheme'!$A$2:$E$7,3),0), "x",
ROUND(BT30*VLOOKUP(I30,'ID Scheme'!$A$2:$E$7,5),0), "x",
ROUND(BU30*VLOOKUP(I30,'ID Scheme'!$A$2:$E$7,4),0))</f>
        <v>112x36x41</v>
      </c>
    </row>
    <row r="31" spans="1:76" x14ac:dyDescent="0.25">
      <c r="A31" t="s">
        <v>34</v>
      </c>
      <c r="B31" t="s">
        <v>181</v>
      </c>
      <c r="C31" t="s">
        <v>295</v>
      </c>
      <c r="D31">
        <f>IF(F31 &gt; 2020, ((F31-2020)*4)+1610+H31,IF(F31 &gt; 1900, ((F31-1900)*10)+400+H31, ((F31-1730)*2)+H31))+VLOOKUP(I31,'ID Scheme'!$A$2:$B$7,2, FALSE)</f>
        <v>1781</v>
      </c>
      <c r="F31">
        <v>1978</v>
      </c>
      <c r="G31">
        <v>6</v>
      </c>
      <c r="H31">
        <v>1</v>
      </c>
      <c r="I31" t="s">
        <v>12</v>
      </c>
      <c r="J31" t="s">
        <v>547</v>
      </c>
      <c r="K31">
        <v>62</v>
      </c>
      <c r="L31">
        <v>25</v>
      </c>
      <c r="M31">
        <v>22</v>
      </c>
      <c r="N31">
        <v>4</v>
      </c>
      <c r="O31">
        <v>12</v>
      </c>
      <c r="P31">
        <v>245</v>
      </c>
      <c r="Q31">
        <v>18</v>
      </c>
      <c r="R31">
        <v>1</v>
      </c>
      <c r="S31" t="s">
        <v>305</v>
      </c>
      <c r="T31">
        <v>3</v>
      </c>
      <c r="U31" s="2" t="s">
        <v>316</v>
      </c>
      <c r="V31" s="2"/>
      <c r="W31" s="2"/>
      <c r="X31" s="2"/>
      <c r="Y31" s="2"/>
      <c r="Z31" s="2"/>
      <c r="AA31" s="2"/>
      <c r="AB31" s="2"/>
      <c r="AC31" s="2"/>
      <c r="AD31" s="2"/>
      <c r="AE31" s="2"/>
      <c r="AH31">
        <v>55</v>
      </c>
      <c r="AO31">
        <v>60</v>
      </c>
      <c r="AV31" t="s">
        <v>359</v>
      </c>
      <c r="BA31" s="2">
        <f>(SQRT(K31*AH31)*POWER((MIN(M31,20)+SQRT(MAX(M31-20,0))),0.9)*Data!$B$1)*(1-(R31-1))</f>
        <v>69.035165364270128</v>
      </c>
      <c r="BB31" s="2">
        <f>(POWER((K31*K31*AH31), 0.33)*LOG10(P31)*10*Data!$B$1)*R31</f>
        <v>102.47214024912293</v>
      </c>
      <c r="BC31" s="2"/>
      <c r="BD31" s="2"/>
      <c r="BE31" s="2">
        <f>IFERROR((SQRT($K31*$AI31)*POWER((MIN($M31,20)+SQRT(MAX($M31-20,0))),0.9)*Data!$B$1)*(1 - (R31-1)),BA31)</f>
        <v>0</v>
      </c>
      <c r="BF31" s="2">
        <f>IFERROR(((POWER(($K31*$K31*$AI31), 0.33)*LOG10($AF31)*10*Data!$B$1)*R31),BB31)</f>
        <v>102.47214024912293</v>
      </c>
      <c r="BG31" s="2">
        <f t="shared" si="0"/>
        <v>50</v>
      </c>
      <c r="BH31" s="2">
        <f t="shared" si="1"/>
        <v>0</v>
      </c>
      <c r="BI31" s="2">
        <f t="shared" si="2"/>
        <v>0</v>
      </c>
      <c r="BJ31" s="2">
        <f t="shared" si="3"/>
        <v>48.387096774193552</v>
      </c>
      <c r="BK31" s="2">
        <v>1</v>
      </c>
      <c r="BL31" s="2">
        <v>1</v>
      </c>
      <c r="BM31" s="2">
        <f t="shared" si="4"/>
        <v>55</v>
      </c>
      <c r="BN31" s="2">
        <f t="shared" si="5"/>
        <v>0</v>
      </c>
      <c r="BO31" s="2">
        <f t="shared" si="6"/>
        <v>-1</v>
      </c>
      <c r="BP31" s="2">
        <f t="shared" si="7"/>
        <v>55</v>
      </c>
      <c r="BQ31" s="2">
        <f t="shared" si="8"/>
        <v>-1</v>
      </c>
      <c r="BR31" s="2">
        <f t="shared" si="9"/>
        <v>-1</v>
      </c>
      <c r="BS31" s="3">
        <v>12</v>
      </c>
      <c r="BT31" s="3">
        <v>2.5</v>
      </c>
      <c r="BU31" s="3">
        <v>3.3</v>
      </c>
      <c r="BV31">
        <f>F31-F30</f>
        <v>1</v>
      </c>
      <c r="BW31" s="2" t="str">
        <f>CONCATENATE(
ROUND(BS31*VLOOKUP(I31,'ID Scheme'!$A$2:$E$7,3),0), "x",
ROUND(BT31*VLOOKUP(I31,'ID Scheme'!$A$2:$E$7,5),0), "x",
ROUND(BU31*VLOOKUP(I31,'ID Scheme'!$A$2:$E$7,4),0))</f>
        <v>112x36x32</v>
      </c>
    </row>
    <row r="32" spans="1:76" x14ac:dyDescent="0.25">
      <c r="A32" t="s">
        <v>32</v>
      </c>
      <c r="B32" t="s">
        <v>182</v>
      </c>
      <c r="C32" t="s">
        <v>295</v>
      </c>
      <c r="D32">
        <f>IF(F32 &gt; 2020, ((F32-2020)*4)+1610+H32,IF(F32 &gt; 1900, ((F32-1900)*10)+400+H32, ((F32-1730)*2)+H32))+VLOOKUP(I32,'ID Scheme'!$A$2:$B$7,2, FALSE)</f>
        <v>1801</v>
      </c>
      <c r="F32">
        <v>1980</v>
      </c>
      <c r="G32">
        <v>1</v>
      </c>
      <c r="H32">
        <v>1</v>
      </c>
      <c r="I32" t="s">
        <v>12</v>
      </c>
      <c r="J32" t="s">
        <v>547</v>
      </c>
      <c r="K32">
        <v>47</v>
      </c>
      <c r="L32">
        <v>13</v>
      </c>
      <c r="M32">
        <v>22</v>
      </c>
      <c r="N32">
        <v>7</v>
      </c>
      <c r="O32">
        <v>10</v>
      </c>
      <c r="P32">
        <v>180</v>
      </c>
      <c r="Q32">
        <v>20</v>
      </c>
      <c r="R32">
        <v>1</v>
      </c>
      <c r="S32" t="s">
        <v>299</v>
      </c>
      <c r="T32">
        <v>3</v>
      </c>
      <c r="U32" s="2" t="s">
        <v>325</v>
      </c>
      <c r="V32" s="2"/>
      <c r="W32" s="2"/>
      <c r="X32" s="2"/>
      <c r="Y32" s="2"/>
      <c r="Z32" s="2"/>
      <c r="AA32" s="2"/>
      <c r="AB32" s="2"/>
      <c r="AC32" s="2"/>
      <c r="AD32" s="2"/>
      <c r="AE32" s="2"/>
      <c r="AH32">
        <v>73</v>
      </c>
      <c r="AV32" t="s">
        <v>359</v>
      </c>
      <c r="BA32" s="2">
        <f>(SQRT(K32*AH32)*POWER((MIN(M32,20)+SQRT(MAX(M32-20,0))),0.9)*Data!$B$1)*(1-(R32-1))</f>
        <v>69.247410718668419</v>
      </c>
      <c r="BB32" s="2">
        <f>(POWER((K32*K32*AH32), 0.33)*LOG10(P32)*10*Data!$B$1)*R32</f>
        <v>88.458876415134782</v>
      </c>
      <c r="BC32" s="2"/>
      <c r="BD32" s="2"/>
      <c r="BE32" s="2">
        <f>IFERROR((SQRT($K32*$AI32)*POWER((MIN($M32,20)+SQRT(MAX($M32-20,0))),0.9)*Data!$B$1)*(1 - (R32-1)),BA32)</f>
        <v>0</v>
      </c>
      <c r="BF32" s="2">
        <f>IFERROR(((POWER(($K32*$K32*$AI32), 0.33)*LOG10($AF32)*10*Data!$B$1)*R32),BB32)</f>
        <v>88.458876415134782</v>
      </c>
      <c r="BG32" s="2">
        <f t="shared" si="0"/>
        <v>37.903225806451616</v>
      </c>
      <c r="BH32" s="2">
        <f t="shared" si="1"/>
        <v>0</v>
      </c>
      <c r="BI32" s="2">
        <f t="shared" si="2"/>
        <v>0</v>
      </c>
      <c r="BJ32" s="2">
        <f t="shared" si="3"/>
        <v>0</v>
      </c>
      <c r="BK32" s="2">
        <v>1</v>
      </c>
      <c r="BL32" s="2">
        <v>1</v>
      </c>
      <c r="BM32" s="2">
        <f t="shared" si="4"/>
        <v>73</v>
      </c>
      <c r="BN32" s="2">
        <f t="shared" si="5"/>
        <v>0</v>
      </c>
      <c r="BO32" s="2">
        <f t="shared" si="6"/>
        <v>-1</v>
      </c>
      <c r="BP32" s="2">
        <f t="shared" si="7"/>
        <v>73</v>
      </c>
      <c r="BQ32" s="2">
        <f t="shared" si="8"/>
        <v>-1</v>
      </c>
      <c r="BR32" s="2">
        <f t="shared" si="9"/>
        <v>-1</v>
      </c>
      <c r="BS32" s="3">
        <v>12</v>
      </c>
      <c r="BT32" s="3">
        <v>2.5</v>
      </c>
      <c r="BU32" s="3">
        <v>4.2</v>
      </c>
      <c r="BV32">
        <f>F32-F31</f>
        <v>2</v>
      </c>
      <c r="BW32" s="2" t="str">
        <f>CONCATENATE(
ROUND(BS32*VLOOKUP(I32,'ID Scheme'!$A$2:$E$7,3),0), "x",
ROUND(BT32*VLOOKUP(I32,'ID Scheme'!$A$2:$E$7,5),0), "x",
ROUND(BU32*VLOOKUP(I32,'ID Scheme'!$A$2:$E$7,4),0))</f>
        <v>112x36x41</v>
      </c>
    </row>
    <row r="33" spans="1:76" x14ac:dyDescent="0.25">
      <c r="A33" t="s">
        <v>521</v>
      </c>
      <c r="B33" t="s">
        <v>522</v>
      </c>
      <c r="C33" t="s">
        <v>295</v>
      </c>
      <c r="D33">
        <f>IF(F33 &gt; 2020, ((F33-2020)*4)+1610+H33,IF(F33 &gt; 1900, ((F33-1900)*10)+400+H33, ((F33-1730)*2)+H33))+VLOOKUP(I33,'ID Scheme'!$A$2:$B$7,2, FALSE)</f>
        <v>1861</v>
      </c>
      <c r="F33">
        <v>1986</v>
      </c>
      <c r="G33">
        <v>10</v>
      </c>
      <c r="H33">
        <v>1</v>
      </c>
      <c r="I33" t="s">
        <v>12</v>
      </c>
      <c r="J33" t="s">
        <v>547</v>
      </c>
      <c r="K33">
        <v>64</v>
      </c>
      <c r="L33">
        <v>14</v>
      </c>
      <c r="M33">
        <v>11</v>
      </c>
      <c r="N33">
        <v>5</v>
      </c>
      <c r="O33">
        <v>6</v>
      </c>
      <c r="P33">
        <v>130</v>
      </c>
      <c r="Q33">
        <v>24</v>
      </c>
      <c r="R33">
        <v>1</v>
      </c>
      <c r="S33" t="s">
        <v>299</v>
      </c>
      <c r="T33">
        <v>2</v>
      </c>
      <c r="U33" s="2" t="s">
        <v>523</v>
      </c>
      <c r="V33" s="2"/>
      <c r="W33" s="2"/>
      <c r="X33" s="2"/>
      <c r="Y33" s="2"/>
      <c r="Z33" s="2"/>
      <c r="AA33" s="2"/>
      <c r="AB33" s="2"/>
      <c r="AC33" s="2"/>
      <c r="AD33" s="2"/>
      <c r="AE33" s="2"/>
      <c r="AH33">
        <v>33</v>
      </c>
      <c r="AV33" t="s">
        <v>359</v>
      </c>
      <c r="BA33" s="2">
        <f>(SQRT(K33*AH33)*POWER((MIN(M33,20)+SQRT(MAX(M33-20,0))),0.9)*Data!$B$1)*(1-(R33-1))</f>
        <v>29.830575842658725</v>
      </c>
      <c r="BB33" s="2">
        <f>(POWER((K33*K33*AH33), 0.33)*LOG10(P33)*10*Data!$B$1)*R33</f>
        <v>78.224535261541249</v>
      </c>
      <c r="BC33" s="2"/>
      <c r="BD33" s="2"/>
      <c r="BE33" s="2">
        <f>IFERROR((SQRT($K33*$AI33)*POWER((MIN($M33,20)+SQRT(MAX($M33-20,0))),0.9)*Data!$B$1)*(1 - (R33-1)),BA33)</f>
        <v>0</v>
      </c>
      <c r="BF33" s="2">
        <f>IFERROR(((POWER(($K33*$K33*$AI33), 0.33)*LOG10($AF33)*10*Data!$B$1)*R33),BB33)</f>
        <v>78.224535261541249</v>
      </c>
      <c r="BG33" s="2">
        <f t="shared" si="0"/>
        <v>51.612903225806456</v>
      </c>
      <c r="BH33" s="2">
        <f t="shared" si="1"/>
        <v>0</v>
      </c>
      <c r="BI33" s="2">
        <f t="shared" si="2"/>
        <v>0</v>
      </c>
      <c r="BJ33" s="2">
        <f t="shared" si="3"/>
        <v>0</v>
      </c>
      <c r="BK33" s="2">
        <v>1</v>
      </c>
      <c r="BL33" s="2">
        <v>1</v>
      </c>
      <c r="BM33" s="2">
        <f t="shared" si="4"/>
        <v>33</v>
      </c>
      <c r="BN33" s="2">
        <f t="shared" si="5"/>
        <v>0</v>
      </c>
      <c r="BO33" s="2">
        <f t="shared" si="6"/>
        <v>-1</v>
      </c>
      <c r="BP33" s="2">
        <f t="shared" si="7"/>
        <v>33</v>
      </c>
      <c r="BQ33" s="2">
        <f t="shared" si="8"/>
        <v>-1</v>
      </c>
      <c r="BR33" s="2">
        <f t="shared" si="9"/>
        <v>-1</v>
      </c>
      <c r="BS33" s="3">
        <v>8.4</v>
      </c>
      <c r="BT33" s="3">
        <v>2.2999999999999998</v>
      </c>
      <c r="BU33" s="3">
        <v>2.7</v>
      </c>
      <c r="BV33">
        <f>F33-F32</f>
        <v>6</v>
      </c>
      <c r="BW33" s="2" t="str">
        <f>CONCATENATE(
ROUND(BS33*VLOOKUP(I33,'ID Scheme'!$A$2:$E$7,3),0), "x",
ROUND(BT33*VLOOKUP(I33,'ID Scheme'!$A$2:$E$7,5),0), "x",
ROUND(BU33*VLOOKUP(I33,'ID Scheme'!$A$2:$E$7,4),0))</f>
        <v>78x33x26</v>
      </c>
    </row>
    <row r="34" spans="1:76" x14ac:dyDescent="0.25">
      <c r="A34" t="s">
        <v>46</v>
      </c>
      <c r="B34" t="s">
        <v>183</v>
      </c>
      <c r="C34" t="s">
        <v>295</v>
      </c>
      <c r="D34">
        <f>IF(F34 &gt; 2020, ((F34-2020)*4)+1610+H34,IF(F34 &gt; 1900, ((F34-1900)*10)+400+H34, ((F34-1730)*2)+H34))+VLOOKUP(I34,'ID Scheme'!$A$2:$B$7,2, FALSE)</f>
        <v>1891</v>
      </c>
      <c r="F34">
        <v>1989</v>
      </c>
      <c r="G34">
        <v>1</v>
      </c>
      <c r="H34">
        <v>1</v>
      </c>
      <c r="I34" t="s">
        <v>12</v>
      </c>
      <c r="J34" t="s">
        <v>547</v>
      </c>
      <c r="K34">
        <v>56</v>
      </c>
      <c r="L34">
        <v>19</v>
      </c>
      <c r="M34">
        <v>21</v>
      </c>
      <c r="N34">
        <v>5</v>
      </c>
      <c r="O34">
        <v>6</v>
      </c>
      <c r="P34">
        <v>130</v>
      </c>
      <c r="Q34">
        <v>20</v>
      </c>
      <c r="R34">
        <v>1</v>
      </c>
      <c r="S34" t="s">
        <v>299</v>
      </c>
      <c r="T34">
        <v>3</v>
      </c>
      <c r="U34" s="2" t="s">
        <v>326</v>
      </c>
      <c r="V34" s="2"/>
      <c r="W34" s="2"/>
      <c r="X34" s="2"/>
      <c r="Y34" s="2"/>
      <c r="Z34" s="2"/>
      <c r="AA34" s="2"/>
      <c r="AB34" s="2"/>
      <c r="AC34" s="2"/>
      <c r="AD34" s="2"/>
      <c r="AE34" s="2"/>
      <c r="AH34">
        <v>50</v>
      </c>
      <c r="AV34" t="s">
        <v>359</v>
      </c>
      <c r="BA34" s="2">
        <f>(SQRT(K34*AH34)*POWER((MIN(M34,20)+SQRT(MAX(M34-20,0))),0.9)*Data!$B$1)*(1-(R34-1))</f>
        <v>61.466381101342122</v>
      </c>
      <c r="BB34" s="2">
        <f>(POWER((K34*K34*AH34), 0.33)*LOG10(P34)*10*Data!$B$1)*R34</f>
        <v>82.152126183000618</v>
      </c>
      <c r="BC34" s="2"/>
      <c r="BD34" s="2"/>
      <c r="BE34" s="2">
        <f>IFERROR((SQRT($K34*$AI34)*POWER((MIN($M34,20)+SQRT(MAX($M34-20,0))),0.9)*Data!$B$1)*(1 - (R34-1)),BA34)</f>
        <v>0</v>
      </c>
      <c r="BF34" s="2">
        <f>IFERROR(((POWER(($K34*$K34*$AI34), 0.33)*LOG10($AF34)*10*Data!$B$1)*R34),BB34)</f>
        <v>82.152126183000618</v>
      </c>
      <c r="BG34" s="2">
        <f t="shared" si="0"/>
        <v>45.161290322580648</v>
      </c>
      <c r="BH34" s="2">
        <f t="shared" si="1"/>
        <v>0</v>
      </c>
      <c r="BI34" s="2">
        <f t="shared" si="2"/>
        <v>0</v>
      </c>
      <c r="BJ34" s="2">
        <f t="shared" si="3"/>
        <v>0</v>
      </c>
      <c r="BK34" s="2">
        <v>1</v>
      </c>
      <c r="BL34" s="2">
        <v>1</v>
      </c>
      <c r="BM34" s="2">
        <f t="shared" si="4"/>
        <v>50</v>
      </c>
      <c r="BN34" s="2">
        <f t="shared" si="5"/>
        <v>0</v>
      </c>
      <c r="BO34" s="2">
        <f t="shared" si="6"/>
        <v>-1</v>
      </c>
      <c r="BP34" s="2">
        <f t="shared" si="7"/>
        <v>50</v>
      </c>
      <c r="BQ34" s="2">
        <f t="shared" si="8"/>
        <v>-1</v>
      </c>
      <c r="BR34" s="2">
        <f t="shared" si="9"/>
        <v>-1</v>
      </c>
      <c r="BS34" s="3">
        <v>10.199999999999999</v>
      </c>
      <c r="BT34" s="3">
        <v>2.4</v>
      </c>
      <c r="BU34" s="3">
        <v>2.7</v>
      </c>
      <c r="BV34">
        <f>F34-F33</f>
        <v>3</v>
      </c>
      <c r="BW34" s="2" t="str">
        <f>CONCATENATE(
ROUND(BS34*VLOOKUP(I34,'ID Scheme'!$A$2:$E$7,3),0), "x",
ROUND(BT34*VLOOKUP(I34,'ID Scheme'!$A$2:$E$7,5),0), "x",
ROUND(BU34*VLOOKUP(I34,'ID Scheme'!$A$2:$E$7,4),0))</f>
        <v>95x35x26</v>
      </c>
    </row>
    <row r="35" spans="1:76" x14ac:dyDescent="0.25">
      <c r="A35" t="s">
        <v>97</v>
      </c>
      <c r="B35" t="s">
        <v>184</v>
      </c>
      <c r="C35" t="s">
        <v>295</v>
      </c>
      <c r="D35">
        <f>IF(F35 &gt; 2020, ((F35-2020)*4)+1610+H35,IF(F35 &gt; 1900, ((F35-1900)*10)+400+H35, ((F35-1730)*2)+H35))+VLOOKUP(I35,'ID Scheme'!$A$2:$B$7,2, FALSE)</f>
        <v>1951</v>
      </c>
      <c r="F35">
        <v>1995</v>
      </c>
      <c r="G35">
        <v>1</v>
      </c>
      <c r="H35">
        <v>1</v>
      </c>
      <c r="I35" t="s">
        <v>12</v>
      </c>
      <c r="J35" t="s">
        <v>547</v>
      </c>
      <c r="K35">
        <v>60</v>
      </c>
      <c r="L35">
        <v>21</v>
      </c>
      <c r="M35">
        <v>17</v>
      </c>
      <c r="N35">
        <v>5</v>
      </c>
      <c r="O35">
        <v>6.5</v>
      </c>
      <c r="P35">
        <v>249</v>
      </c>
      <c r="Q35">
        <v>20</v>
      </c>
      <c r="R35">
        <v>1</v>
      </c>
      <c r="S35" t="s">
        <v>299</v>
      </c>
      <c r="T35">
        <v>3</v>
      </c>
      <c r="U35" s="2" t="s">
        <v>327</v>
      </c>
      <c r="V35" s="2"/>
      <c r="W35" s="2"/>
      <c r="X35" s="2"/>
      <c r="Y35" s="2"/>
      <c r="Z35" s="2"/>
      <c r="AA35" s="2"/>
      <c r="AB35" s="2"/>
      <c r="AC35" s="2"/>
      <c r="AD35" s="2"/>
      <c r="AE35" s="2"/>
      <c r="AH35">
        <v>53</v>
      </c>
      <c r="AV35" t="s">
        <v>359</v>
      </c>
      <c r="BA35" s="2">
        <f>(SQRT(K35*AH35)*POWER((MIN(M35,20)+SQRT(MAX(M35-20,0))),0.9)*Data!$B$1)*(1-(R35-1))</f>
        <v>54.160024560908056</v>
      </c>
      <c r="BB35" s="2">
        <f>(POWER((K35*K35*AH35), 0.33)*LOG10(P35)*10*Data!$B$1)*R35</f>
        <v>99.351647021851662</v>
      </c>
      <c r="BC35" s="2"/>
      <c r="BD35" s="2"/>
      <c r="BE35" s="2">
        <f>IFERROR((SQRT($K35*$AI35)*POWER((MIN($M35,20)+SQRT(MAX($M35-20,0))),0.9)*Data!$B$1)*(1 - (R35-1)),BA35)</f>
        <v>0</v>
      </c>
      <c r="BF35" s="2">
        <f>IFERROR(((POWER(($K35*$K35*$AI35), 0.33)*LOG10($AF35)*10*Data!$B$1)*R35),BB35)</f>
        <v>99.351647021851662</v>
      </c>
      <c r="BG35" s="2">
        <f t="shared" si="0"/>
        <v>48.387096774193552</v>
      </c>
      <c r="BH35" s="2">
        <f t="shared" si="1"/>
        <v>0</v>
      </c>
      <c r="BI35" s="2">
        <f t="shared" si="2"/>
        <v>0</v>
      </c>
      <c r="BJ35" s="2">
        <f t="shared" si="3"/>
        <v>0</v>
      </c>
      <c r="BK35" s="2">
        <v>1</v>
      </c>
      <c r="BL35" s="2">
        <v>1</v>
      </c>
      <c r="BM35" s="2">
        <f t="shared" si="4"/>
        <v>53</v>
      </c>
      <c r="BN35" s="2">
        <f t="shared" si="5"/>
        <v>0</v>
      </c>
      <c r="BO35" s="2">
        <f t="shared" si="6"/>
        <v>-1</v>
      </c>
      <c r="BP35" s="2">
        <f t="shared" si="7"/>
        <v>53</v>
      </c>
      <c r="BQ35" s="2">
        <f t="shared" si="8"/>
        <v>-1</v>
      </c>
      <c r="BR35" s="2">
        <f t="shared" si="9"/>
        <v>-1</v>
      </c>
      <c r="BS35" s="3">
        <v>10.199999999999999</v>
      </c>
      <c r="BT35" s="3">
        <v>2.4</v>
      </c>
      <c r="BU35" s="3">
        <v>2.7</v>
      </c>
      <c r="BV35">
        <f>F35-F34</f>
        <v>6</v>
      </c>
      <c r="BW35" s="2" t="str">
        <f>CONCATENATE(
ROUND(BS35*VLOOKUP(I35,'ID Scheme'!$A$2:$E$7,3),0), "x",
ROUND(BT35*VLOOKUP(I35,'ID Scheme'!$A$2:$E$7,5),0), "x",
ROUND(BU35*VLOOKUP(I35,'ID Scheme'!$A$2:$E$7,4),0))</f>
        <v>95x35x26</v>
      </c>
      <c r="BX35" t="s">
        <v>98</v>
      </c>
    </row>
    <row r="36" spans="1:76" x14ac:dyDescent="0.25">
      <c r="A36" t="s">
        <v>524</v>
      </c>
      <c r="B36" t="s">
        <v>526</v>
      </c>
      <c r="C36" t="s">
        <v>295</v>
      </c>
      <c r="D36">
        <f>IF(F36 &gt; 2020, ((F36-2020)*4)+1610+H36,IF(F36 &gt; 1900, ((F36-1900)*10)+400+H36, ((F36-1730)*2)+H36))+VLOOKUP(I36,'ID Scheme'!$A$2:$B$7,2, FALSE)</f>
        <v>1971</v>
      </c>
      <c r="F36">
        <v>1997</v>
      </c>
      <c r="G36">
        <v>1</v>
      </c>
      <c r="H36">
        <v>1</v>
      </c>
      <c r="I36" t="s">
        <v>12</v>
      </c>
      <c r="J36" t="s">
        <v>547</v>
      </c>
      <c r="K36">
        <v>55</v>
      </c>
      <c r="L36">
        <v>21</v>
      </c>
      <c r="M36">
        <v>21</v>
      </c>
      <c r="N36">
        <v>5</v>
      </c>
      <c r="O36">
        <v>10</v>
      </c>
      <c r="P36">
        <v>220</v>
      </c>
      <c r="Q36">
        <v>20</v>
      </c>
      <c r="R36">
        <v>1</v>
      </c>
      <c r="S36" t="s">
        <v>311</v>
      </c>
      <c r="T36">
        <v>3</v>
      </c>
      <c r="U36" s="2" t="s">
        <v>525</v>
      </c>
      <c r="V36" s="2"/>
      <c r="W36" s="2"/>
      <c r="X36" s="2"/>
      <c r="Y36" s="2"/>
      <c r="Z36" s="2"/>
      <c r="AA36" s="2"/>
      <c r="AB36" s="2"/>
      <c r="AC36" s="2"/>
      <c r="AD36" s="2"/>
      <c r="AE36" s="2"/>
      <c r="AH36">
        <v>82</v>
      </c>
      <c r="AV36" t="s">
        <v>359</v>
      </c>
      <c r="BA36" s="2">
        <f>(SQRT(K36*AH36)*POWER((MIN(M36,20)+SQRT(MAX(M36-20,0))),0.9)*Data!$B$1)*(1-(R36-1))</f>
        <v>78.009393174536498</v>
      </c>
      <c r="BB36" s="2">
        <f>(POWER((K36*K36*AH36), 0.33)*LOG10(P36)*10*Data!$B$1)*R36</f>
        <v>105.90695322593139</v>
      </c>
      <c r="BC36" s="2"/>
      <c r="BD36" s="2"/>
      <c r="BE36" s="2">
        <f>IFERROR((SQRT($K36*$AI36)*POWER((MIN($M36,20)+SQRT(MAX($M36-20,0))),0.9)*Data!$B$1)*(1 - (R36-1)),BA36)</f>
        <v>0</v>
      </c>
      <c r="BF36" s="2">
        <f>IFERROR(((POWER(($K36*$K36*$AI36), 0.33)*LOG10($AF36)*10*Data!$B$1)*R36),BB36)</f>
        <v>105.90695322593139</v>
      </c>
      <c r="BG36" s="2">
        <f t="shared" si="0"/>
        <v>44.354838709677416</v>
      </c>
      <c r="BH36" s="2">
        <f t="shared" si="1"/>
        <v>0</v>
      </c>
      <c r="BI36" s="2">
        <f t="shared" si="2"/>
        <v>0</v>
      </c>
      <c r="BJ36" s="2">
        <f t="shared" si="3"/>
        <v>0</v>
      </c>
      <c r="BK36" s="2">
        <v>1</v>
      </c>
      <c r="BL36" s="2">
        <v>1</v>
      </c>
      <c r="BM36" s="2">
        <f t="shared" si="4"/>
        <v>82</v>
      </c>
      <c r="BN36" s="2">
        <f t="shared" si="5"/>
        <v>0</v>
      </c>
      <c r="BO36" s="2">
        <f t="shared" si="6"/>
        <v>-1</v>
      </c>
      <c r="BP36" s="2">
        <f t="shared" si="7"/>
        <v>82</v>
      </c>
      <c r="BQ36" s="2">
        <f t="shared" si="8"/>
        <v>-1</v>
      </c>
      <c r="BR36" s="2">
        <f t="shared" si="9"/>
        <v>-1</v>
      </c>
      <c r="BS36" s="3">
        <v>11</v>
      </c>
      <c r="BT36" s="3">
        <v>2.5499999999999998</v>
      </c>
      <c r="BU36" s="3">
        <v>4.4000000000000004</v>
      </c>
      <c r="BV36">
        <f>F36-F35</f>
        <v>2</v>
      </c>
      <c r="BW36" s="2" t="str">
        <f>CONCATENATE(
ROUND(BS36*VLOOKUP(I36,'ID Scheme'!$A$2:$E$7,3),0), "x",
ROUND(BT36*VLOOKUP(I36,'ID Scheme'!$A$2:$E$7,5),0), "x",
ROUND(BU36*VLOOKUP(I36,'ID Scheme'!$A$2:$E$7,4),0))</f>
        <v>103x37x43</v>
      </c>
    </row>
    <row r="37" spans="1:76" x14ac:dyDescent="0.25">
      <c r="A37" t="s">
        <v>64</v>
      </c>
      <c r="B37" t="s">
        <v>185</v>
      </c>
      <c r="C37" t="s">
        <v>295</v>
      </c>
      <c r="D37">
        <f>IF(F37 &gt; 2020, ((F37-2020)*4)+1610+H37,IF(F37 &gt; 1900, ((F37-1900)*10)+400+H37, ((F37-1730)*2)+H37))+VLOOKUP(I37,'ID Scheme'!$A$2:$B$7,2, FALSE)</f>
        <v>1981</v>
      </c>
      <c r="F37">
        <v>1998</v>
      </c>
      <c r="G37">
        <v>1</v>
      </c>
      <c r="H37">
        <v>1</v>
      </c>
      <c r="I37" t="s">
        <v>12</v>
      </c>
      <c r="J37" t="s">
        <v>547</v>
      </c>
      <c r="K37">
        <v>59</v>
      </c>
      <c r="L37">
        <v>15</v>
      </c>
      <c r="M37">
        <v>15</v>
      </c>
      <c r="N37">
        <v>5</v>
      </c>
      <c r="O37">
        <v>7</v>
      </c>
      <c r="P37">
        <v>110</v>
      </c>
      <c r="Q37">
        <v>20</v>
      </c>
      <c r="R37">
        <v>1</v>
      </c>
      <c r="S37" t="s">
        <v>311</v>
      </c>
      <c r="T37">
        <v>2</v>
      </c>
      <c r="U37" s="2" t="s">
        <v>328</v>
      </c>
      <c r="V37" s="2"/>
      <c r="W37" s="2"/>
      <c r="X37" s="2"/>
      <c r="Y37" s="2"/>
      <c r="Z37" s="2"/>
      <c r="AA37" s="2"/>
      <c r="AB37" s="2"/>
      <c r="AC37" s="2"/>
      <c r="AD37" s="2"/>
      <c r="AE37" s="2"/>
      <c r="AH37">
        <v>33</v>
      </c>
      <c r="AV37" t="s">
        <v>359</v>
      </c>
      <c r="BA37" s="2">
        <f>(SQRT(K37*AH37)*POWER((MIN(M37,20)+SQRT(MAX(M37-20,0))),0.9)*Data!$B$1)*(1-(R37-1))</f>
        <v>37.863989611191968</v>
      </c>
      <c r="BB37" s="2">
        <f>(POWER((K37*K37*AH37), 0.33)*LOG10(P37)*10*Data!$B$1)*R37</f>
        <v>71.591217050010968</v>
      </c>
      <c r="BC37" s="2"/>
      <c r="BD37" s="2"/>
      <c r="BE37" s="2">
        <f>IFERROR((SQRT($K37*$AI37)*POWER((MIN($M37,20)+SQRT(MAX($M37-20,0))),0.9)*Data!$B$1)*(1 - (R37-1)),BA37)</f>
        <v>0</v>
      </c>
      <c r="BF37" s="2">
        <f>IFERROR(((POWER(($K37*$K37*$AI37), 0.33)*LOG10($AF37)*10*Data!$B$1)*R37),BB37)</f>
        <v>71.591217050010968</v>
      </c>
      <c r="BG37" s="2">
        <f t="shared" si="0"/>
        <v>47.58064516129032</v>
      </c>
      <c r="BH37" s="2">
        <f t="shared" si="1"/>
        <v>0</v>
      </c>
      <c r="BI37" s="2">
        <f t="shared" si="2"/>
        <v>0</v>
      </c>
      <c r="BJ37" s="2">
        <f t="shared" si="3"/>
        <v>0</v>
      </c>
      <c r="BK37" s="2">
        <v>1</v>
      </c>
      <c r="BL37" s="2">
        <v>1</v>
      </c>
      <c r="BM37" s="2">
        <f t="shared" si="4"/>
        <v>33</v>
      </c>
      <c r="BN37" s="2">
        <f t="shared" si="5"/>
        <v>0</v>
      </c>
      <c r="BO37" s="2">
        <f t="shared" si="6"/>
        <v>-1</v>
      </c>
      <c r="BP37" s="2">
        <f t="shared" si="7"/>
        <v>33</v>
      </c>
      <c r="BQ37" s="2">
        <f t="shared" si="8"/>
        <v>-1</v>
      </c>
      <c r="BR37" s="2">
        <f t="shared" si="9"/>
        <v>-1</v>
      </c>
      <c r="BS37" s="3">
        <v>10.199999999999999</v>
      </c>
      <c r="BT37" s="3">
        <v>2.2999999999999998</v>
      </c>
      <c r="BU37" s="3">
        <v>2.7</v>
      </c>
      <c r="BV37">
        <f>F37-F36</f>
        <v>1</v>
      </c>
      <c r="BW37" s="2" t="str">
        <f>CONCATENATE(
ROUND(BS37*VLOOKUP(I37,'ID Scheme'!$A$2:$E$7,3),0), "x",
ROUND(BT37*VLOOKUP(I37,'ID Scheme'!$A$2:$E$7,5),0), "x",
ROUND(BU37*VLOOKUP(I37,'ID Scheme'!$A$2:$E$7,4),0))</f>
        <v>95x33x26</v>
      </c>
    </row>
    <row r="38" spans="1:76" x14ac:dyDescent="0.25">
      <c r="A38" t="s">
        <v>35</v>
      </c>
      <c r="B38" t="s">
        <v>277</v>
      </c>
      <c r="C38" t="s">
        <v>295</v>
      </c>
      <c r="D38">
        <f>IF(F38 &gt; 2020, ((F38-2020)*4)+1610+H38,IF(F38 &gt; 1900, ((F38-1900)*10)+400+H38, ((F38-1730)*2)+H38))+VLOOKUP(I38,'ID Scheme'!$A$2:$B$7,2, FALSE)</f>
        <v>2011</v>
      </c>
      <c r="F38">
        <v>2001</v>
      </c>
      <c r="G38">
        <v>1</v>
      </c>
      <c r="H38">
        <v>1</v>
      </c>
      <c r="I38" t="s">
        <v>12</v>
      </c>
      <c r="J38" t="s">
        <v>547</v>
      </c>
      <c r="K38">
        <v>70</v>
      </c>
      <c r="L38">
        <v>-1</v>
      </c>
      <c r="M38">
        <v>22</v>
      </c>
      <c r="N38">
        <v>4</v>
      </c>
      <c r="O38">
        <v>12</v>
      </c>
      <c r="P38">
        <v>320</v>
      </c>
      <c r="Q38">
        <v>18</v>
      </c>
      <c r="R38">
        <v>1</v>
      </c>
      <c r="S38" t="s">
        <v>305</v>
      </c>
      <c r="T38">
        <v>3</v>
      </c>
      <c r="U38" s="2" t="s">
        <v>330</v>
      </c>
      <c r="V38" s="2"/>
      <c r="W38" s="2"/>
      <c r="X38" s="2"/>
      <c r="Y38" s="2"/>
      <c r="Z38" s="2"/>
      <c r="AA38" s="2"/>
      <c r="AB38" s="2"/>
      <c r="AC38" s="2"/>
      <c r="AD38" s="2"/>
      <c r="AE38" s="2"/>
      <c r="AH38">
        <v>58</v>
      </c>
      <c r="AN38">
        <v>62</v>
      </c>
      <c r="AO38">
        <v>60</v>
      </c>
      <c r="AV38" t="s">
        <v>359</v>
      </c>
      <c r="BA38" s="2">
        <f>(SQRT(K38*AH38)*POWER((MIN(M38,20)+SQRT(MAX(M38-20,0))),0.9)*Data!$B$1)*(1-(R38-1))</f>
        <v>75.327958362845649</v>
      </c>
      <c r="BB38" s="2">
        <f>(POWER((K38*K38*AH38), 0.33)*LOG10(P38)*10*Data!$B$1)*R38</f>
        <v>118.46524010653438</v>
      </c>
      <c r="BC38" s="2"/>
      <c r="BD38" s="2"/>
      <c r="BE38" s="2">
        <f>IFERROR((SQRT($K38*$AI38)*POWER((MIN($M38,20)+SQRT(MAX($M38-20,0))),0.9)*Data!$B$1)*(1 - (R38-1)),BA38)</f>
        <v>0</v>
      </c>
      <c r="BF38" s="2">
        <f>IFERROR(((POWER(($K38*$K38*$AI38), 0.33)*LOG10($AF38)*10*Data!$B$1)*R38),BB38)</f>
        <v>118.46524010653438</v>
      </c>
      <c r="BG38" s="2">
        <f t="shared" si="0"/>
        <v>56.451612903225808</v>
      </c>
      <c r="BH38" s="2">
        <f t="shared" si="1"/>
        <v>0</v>
      </c>
      <c r="BI38" s="2">
        <f t="shared" si="2"/>
        <v>50</v>
      </c>
      <c r="BJ38" s="2">
        <f t="shared" si="3"/>
        <v>48.387096774193552</v>
      </c>
      <c r="BK38" s="2">
        <v>1</v>
      </c>
      <c r="BL38" s="2">
        <v>1</v>
      </c>
      <c r="BM38" s="2">
        <f t="shared" si="4"/>
        <v>58</v>
      </c>
      <c r="BN38" s="2">
        <f t="shared" si="5"/>
        <v>0</v>
      </c>
      <c r="BO38" s="2">
        <f t="shared" si="6"/>
        <v>-1</v>
      </c>
      <c r="BP38" s="2">
        <f t="shared" si="7"/>
        <v>58</v>
      </c>
      <c r="BQ38" s="2">
        <f t="shared" si="8"/>
        <v>-1</v>
      </c>
      <c r="BR38" s="2">
        <f t="shared" si="9"/>
        <v>-1</v>
      </c>
      <c r="BS38" s="3">
        <v>12</v>
      </c>
      <c r="BT38" s="3">
        <v>2.5</v>
      </c>
      <c r="BU38" s="3">
        <v>3.3</v>
      </c>
      <c r="BV38">
        <f>F38-F36</f>
        <v>4</v>
      </c>
      <c r="BW38" s="2" t="str">
        <f>CONCATENATE(
ROUND(BS38*VLOOKUP(I38,'ID Scheme'!$A$2:$E$7,3),0), "x",
ROUND(BT38*VLOOKUP(I38,'ID Scheme'!$A$2:$E$7,5),0), "x",
ROUND(BU38*VLOOKUP(I38,'ID Scheme'!$A$2:$E$7,4),0))</f>
        <v>112x36x32</v>
      </c>
    </row>
    <row r="39" spans="1:76" x14ac:dyDescent="0.25">
      <c r="A39" t="s">
        <v>58</v>
      </c>
      <c r="B39" t="s">
        <v>186</v>
      </c>
      <c r="C39" t="s">
        <v>336</v>
      </c>
      <c r="D39">
        <f>IF(F39 &gt; 2020, ((F39-2020)*4)+1610+H39,IF(F39 &gt; 1900, ((F39-1900)*10)+400+H39, ((F39-1730)*2)+H39))+VLOOKUP(I39,'ID Scheme'!$A$2:$B$7,2, FALSE)</f>
        <v>2012</v>
      </c>
      <c r="F39">
        <v>2001</v>
      </c>
      <c r="G39">
        <v>1</v>
      </c>
      <c r="H39">
        <v>2</v>
      </c>
      <c r="I39" t="s">
        <v>12</v>
      </c>
      <c r="J39" t="s">
        <v>547</v>
      </c>
      <c r="K39">
        <v>55</v>
      </c>
      <c r="L39">
        <v>-1</v>
      </c>
      <c r="M39">
        <v>11</v>
      </c>
      <c r="N39">
        <v>10</v>
      </c>
      <c r="O39">
        <v>14</v>
      </c>
      <c r="P39">
        <v>320</v>
      </c>
      <c r="Q39">
        <v>25</v>
      </c>
      <c r="R39">
        <v>1</v>
      </c>
      <c r="S39" t="s">
        <v>299</v>
      </c>
      <c r="T39">
        <v>3</v>
      </c>
      <c r="U39" s="2" t="s">
        <v>337</v>
      </c>
      <c r="V39" s="2"/>
      <c r="W39" s="2"/>
      <c r="X39" s="2"/>
      <c r="Y39" s="2"/>
      <c r="Z39" s="2"/>
      <c r="AA39" s="2"/>
      <c r="AB39" s="2"/>
      <c r="AC39" s="2"/>
      <c r="AD39" s="2"/>
      <c r="AE39" s="2"/>
      <c r="AH39">
        <v>140</v>
      </c>
      <c r="AP39" t="s">
        <v>398</v>
      </c>
      <c r="AQ39" t="s">
        <v>428</v>
      </c>
      <c r="AS39" t="s">
        <v>396</v>
      </c>
      <c r="AT39" t="s">
        <v>398</v>
      </c>
      <c r="AU39" t="s">
        <v>400</v>
      </c>
      <c r="AV39" t="s">
        <v>359</v>
      </c>
      <c r="BA39" s="2">
        <f>(SQRT(K39*AH39)*POWER((MIN(M39,20)+SQRT(MAX(M39-20,0))),0.9)*Data!$B$1)*(1-(R39-1))</f>
        <v>56.95869659296028</v>
      </c>
      <c r="BB39" s="2">
        <f>(POWER((K39*K39*AH39), 0.33)*LOG10(P39)*10*Data!$B$1)*R39</f>
        <v>135.13150745681415</v>
      </c>
      <c r="BC39" s="2"/>
      <c r="BD39" s="2"/>
      <c r="BE39" s="2">
        <f>IFERROR((SQRT($K39*$AI39)*POWER((MIN($M39,20)+SQRT(MAX($M39-20,0))),0.9)*Data!$B$1)*(1 - (R39-1)),BA39)</f>
        <v>0</v>
      </c>
      <c r="BF39" s="2">
        <f>IFERROR(((POWER(($K39*$K39*$AI39), 0.33)*LOG10($AF39)*10*Data!$B$1)*R39),BB39)</f>
        <v>135.13150745681415</v>
      </c>
      <c r="BG39" s="2">
        <f t="shared" si="0"/>
        <v>44.354838709677416</v>
      </c>
      <c r="BH39" s="2">
        <f t="shared" si="1"/>
        <v>0</v>
      </c>
      <c r="BI39" s="2">
        <f t="shared" si="2"/>
        <v>0</v>
      </c>
      <c r="BJ39" s="2">
        <f t="shared" si="3"/>
        <v>0</v>
      </c>
      <c r="BK39" s="2">
        <v>2</v>
      </c>
      <c r="BL39" s="2">
        <v>2</v>
      </c>
      <c r="BM39" s="2">
        <f t="shared" si="4"/>
        <v>70</v>
      </c>
      <c r="BN39" s="2">
        <f t="shared" si="5"/>
        <v>0</v>
      </c>
      <c r="BO39" s="2">
        <f t="shared" si="6"/>
        <v>-1</v>
      </c>
      <c r="BP39" s="2">
        <f t="shared" si="7"/>
        <v>140</v>
      </c>
      <c r="BQ39" s="2">
        <f t="shared" si="8"/>
        <v>-1</v>
      </c>
      <c r="BR39" s="2">
        <f t="shared" si="9"/>
        <v>-1</v>
      </c>
      <c r="BS39" s="3">
        <v>18</v>
      </c>
      <c r="BT39" s="3">
        <v>2.5</v>
      </c>
      <c r="BU39" s="3">
        <v>3.2</v>
      </c>
      <c r="BV39">
        <f>F39-F38</f>
        <v>0</v>
      </c>
      <c r="BW39" s="2" t="str">
        <f>CONCATENATE(
ROUND(BS39*VLOOKUP(I39,'ID Scheme'!$A$2:$E$7,3),0), "x",
ROUND(BT39*VLOOKUP(I39,'ID Scheme'!$A$2:$E$7,5),0), "x",
ROUND(BU39*VLOOKUP(I39,'ID Scheme'!$A$2:$E$7,4),0))</f>
        <v>168x36x31</v>
      </c>
    </row>
    <row r="40" spans="1:76" x14ac:dyDescent="0.25">
      <c r="A40" t="s">
        <v>33</v>
      </c>
      <c r="B40" t="s">
        <v>187</v>
      </c>
      <c r="C40" t="s">
        <v>295</v>
      </c>
      <c r="D40">
        <f>IF(F40 &gt; 2020, ((F40-2020)*4)+1610+H40,IF(F40 &gt; 1900, ((F40-1900)*10)+400+H40, ((F40-1730)*2)+H40))+VLOOKUP(I40,'ID Scheme'!$A$2:$B$7,2, FALSE)</f>
        <v>2051</v>
      </c>
      <c r="F40">
        <v>2005</v>
      </c>
      <c r="G40">
        <v>1</v>
      </c>
      <c r="H40">
        <v>1</v>
      </c>
      <c r="I40" t="s">
        <v>12</v>
      </c>
      <c r="J40" t="s">
        <v>547</v>
      </c>
      <c r="K40">
        <v>60</v>
      </c>
      <c r="L40">
        <v>-1</v>
      </c>
      <c r="M40">
        <v>20</v>
      </c>
      <c r="N40">
        <v>7</v>
      </c>
      <c r="O40">
        <v>11</v>
      </c>
      <c r="P40">
        <v>185</v>
      </c>
      <c r="Q40">
        <v>20</v>
      </c>
      <c r="R40">
        <v>1</v>
      </c>
      <c r="S40" t="s">
        <v>305</v>
      </c>
      <c r="T40">
        <v>3</v>
      </c>
      <c r="U40" s="2" t="s">
        <v>331</v>
      </c>
      <c r="V40" s="2"/>
      <c r="W40" s="2"/>
      <c r="X40" s="2"/>
      <c r="Y40" s="2"/>
      <c r="Z40" s="2"/>
      <c r="AA40" s="2"/>
      <c r="AB40" s="2"/>
      <c r="AC40" s="2"/>
      <c r="AD40" s="2"/>
      <c r="AE40" s="2"/>
      <c r="AH40">
        <v>90</v>
      </c>
      <c r="AV40" t="s">
        <v>359</v>
      </c>
      <c r="BA40" s="2">
        <f>(SQRT(K40*AH40)*POWER((MIN(M40,20)+SQRT(MAX(M40-20,0))),0.9)*Data!$B$1)*(1-(R40-1))</f>
        <v>81.693055399982839</v>
      </c>
      <c r="BB40" s="2">
        <f>(POWER((K40*K40*AH40), 0.33)*LOG10(P40)*10*Data!$B$1)*R40</f>
        <v>111.95037019981191</v>
      </c>
      <c r="BC40" s="2"/>
      <c r="BD40" s="2"/>
      <c r="BE40" s="2">
        <f>IFERROR((SQRT($K40*$AI40)*POWER((MIN($M40,20)+SQRT(MAX($M40-20,0))),0.9)*Data!$B$1)*(1 - (R40-1)),BA40)</f>
        <v>0</v>
      </c>
      <c r="BF40" s="2">
        <f>IFERROR(((POWER(($K40*$K40*$AI40), 0.33)*LOG10($AF40)*10*Data!$B$1)*R40),BB40)</f>
        <v>111.95037019981191</v>
      </c>
      <c r="BG40" s="2">
        <f t="shared" si="0"/>
        <v>48.387096774193552</v>
      </c>
      <c r="BH40" s="2">
        <f t="shared" si="1"/>
        <v>0</v>
      </c>
      <c r="BI40" s="2">
        <f t="shared" si="2"/>
        <v>0</v>
      </c>
      <c r="BJ40" s="2">
        <f t="shared" si="3"/>
        <v>0</v>
      </c>
      <c r="BK40" s="2">
        <v>1</v>
      </c>
      <c r="BL40" s="2">
        <v>1</v>
      </c>
      <c r="BM40" s="2">
        <f t="shared" si="4"/>
        <v>90</v>
      </c>
      <c r="BN40" s="2">
        <f t="shared" si="5"/>
        <v>0</v>
      </c>
      <c r="BO40" s="2">
        <f t="shared" si="6"/>
        <v>-1</v>
      </c>
      <c r="BP40" s="2">
        <f t="shared" si="7"/>
        <v>90</v>
      </c>
      <c r="BQ40" s="2">
        <f t="shared" si="8"/>
        <v>-1</v>
      </c>
      <c r="BR40" s="2">
        <f t="shared" si="9"/>
        <v>-1</v>
      </c>
      <c r="BS40" s="3">
        <v>11.4</v>
      </c>
      <c r="BT40" s="3">
        <v>2.5499999999999998</v>
      </c>
      <c r="BU40" s="3">
        <v>4.2</v>
      </c>
      <c r="BV40">
        <f>F40-F39</f>
        <v>4</v>
      </c>
      <c r="BW40" s="2" t="str">
        <f>CONCATENATE(
ROUND(BS40*VLOOKUP(I40,'ID Scheme'!$A$2:$E$7,3),0), "x",
ROUND(BT40*VLOOKUP(I40,'ID Scheme'!$A$2:$E$7,5),0), "x",
ROUND(BU40*VLOOKUP(I40,'ID Scheme'!$A$2:$E$7,4),0))</f>
        <v>106x37x41</v>
      </c>
    </row>
    <row r="41" spans="1:76" x14ac:dyDescent="0.25">
      <c r="A41" t="s">
        <v>332</v>
      </c>
      <c r="B41" t="s">
        <v>188</v>
      </c>
      <c r="C41" t="s">
        <v>295</v>
      </c>
      <c r="D41">
        <f>IF(F41 &gt; 2020, ((F41-2020)*4)+1610+H41,IF(F41 &gt; 1900, ((F41-1900)*10)+400+H41, ((F41-1730)*2)+H41))+VLOOKUP(I41,'ID Scheme'!$A$2:$B$7,2, FALSE)</f>
        <v>2112</v>
      </c>
      <c r="F41">
        <v>2011</v>
      </c>
      <c r="G41">
        <v>1</v>
      </c>
      <c r="H41">
        <v>2</v>
      </c>
      <c r="I41" t="s">
        <v>12</v>
      </c>
      <c r="J41" t="s">
        <v>547</v>
      </c>
      <c r="K41">
        <v>50</v>
      </c>
      <c r="L41">
        <v>-1</v>
      </c>
      <c r="M41">
        <v>16</v>
      </c>
      <c r="N41">
        <v>6</v>
      </c>
      <c r="O41">
        <v>10</v>
      </c>
      <c r="P41">
        <v>101</v>
      </c>
      <c r="Q41">
        <v>22</v>
      </c>
      <c r="R41">
        <v>1</v>
      </c>
      <c r="S41" t="s">
        <v>333</v>
      </c>
      <c r="T41">
        <v>3</v>
      </c>
      <c r="U41" s="2" t="s">
        <v>334</v>
      </c>
      <c r="V41" s="2"/>
      <c r="W41" s="2"/>
      <c r="X41" s="2"/>
      <c r="Y41" s="2"/>
      <c r="Z41" s="2"/>
      <c r="AA41" s="2"/>
      <c r="AB41" s="2"/>
      <c r="AC41" s="2"/>
      <c r="AD41" s="2"/>
      <c r="AE41" s="2"/>
      <c r="AH41">
        <v>72</v>
      </c>
      <c r="AV41" t="s">
        <v>359</v>
      </c>
      <c r="BA41" s="2">
        <f>(SQRT(K41*AH41)*POWER((MIN(M41,20)+SQRT(MAX(M41-20,0))),0.9)*Data!$B$1)*(1-(R41-1))</f>
        <v>54.565796394374324</v>
      </c>
      <c r="BB41" s="2">
        <f>(POWER((K41*K41*AH41), 0.33)*LOG10(P41)*10*Data!$B$1)*R41</f>
        <v>81.520821564001579</v>
      </c>
      <c r="BC41" s="2"/>
      <c r="BD41" s="2"/>
      <c r="BE41" s="2">
        <f>IFERROR((SQRT($K41*$AI41)*POWER((MIN($M41,20)+SQRT(MAX($M41-20,0))),0.9)*Data!$B$1)*(1 - (R41-1)),BA41)</f>
        <v>0</v>
      </c>
      <c r="BF41" s="2">
        <f>IFERROR(((POWER(($K41*$K41*$AI41), 0.33)*LOG10($AF41)*10*Data!$B$1)*R41),BB41)</f>
        <v>81.520821564001579</v>
      </c>
      <c r="BG41" s="2">
        <f t="shared" si="0"/>
        <v>40.322580645161288</v>
      </c>
      <c r="BH41" s="2">
        <f t="shared" si="1"/>
        <v>0</v>
      </c>
      <c r="BI41" s="2">
        <f t="shared" si="2"/>
        <v>0</v>
      </c>
      <c r="BJ41" s="2">
        <f t="shared" si="3"/>
        <v>0</v>
      </c>
      <c r="BK41" s="2">
        <v>1</v>
      </c>
      <c r="BL41" s="2">
        <v>1</v>
      </c>
      <c r="BM41" s="2">
        <f t="shared" si="4"/>
        <v>72</v>
      </c>
      <c r="BN41" s="2">
        <f t="shared" si="5"/>
        <v>0</v>
      </c>
      <c r="BO41" s="2">
        <f t="shared" si="6"/>
        <v>-1</v>
      </c>
      <c r="BP41" s="2">
        <f t="shared" si="7"/>
        <v>72</v>
      </c>
      <c r="BQ41" s="2">
        <f t="shared" si="8"/>
        <v>-1</v>
      </c>
      <c r="BR41" s="2">
        <f t="shared" si="9"/>
        <v>-1</v>
      </c>
      <c r="BS41" s="3"/>
      <c r="BT41" s="3"/>
      <c r="BU41" s="3"/>
      <c r="BV41">
        <f>F41-F39</f>
        <v>10</v>
      </c>
      <c r="BW41" s="2" t="str">
        <f>CONCATENATE(
ROUND(BS41*VLOOKUP(I41,'ID Scheme'!$A$2:$E$7,3),0), "x",
ROUND(BT41*VLOOKUP(I41,'ID Scheme'!$A$2:$E$7,5),0), "x",
ROUND(BU41*VLOOKUP(I41,'ID Scheme'!$A$2:$E$7,4),0))</f>
        <v>0x0x0</v>
      </c>
    </row>
    <row r="42" spans="1:76" x14ac:dyDescent="0.25">
      <c r="A42" t="s">
        <v>66</v>
      </c>
      <c r="B42" t="s">
        <v>189</v>
      </c>
      <c r="C42" t="s">
        <v>295</v>
      </c>
      <c r="D42">
        <f>IF(F42 &gt; 2020, ((F42-2020)*4)+1610+H42,IF(F42 &gt; 1900, ((F42-1900)*10)+400+H42, ((F42-1730)*2)+H42))+VLOOKUP(I42,'ID Scheme'!$A$2:$B$7,2, FALSE)</f>
        <v>2121</v>
      </c>
      <c r="F42">
        <v>2012</v>
      </c>
      <c r="G42">
        <v>1</v>
      </c>
      <c r="H42">
        <v>1</v>
      </c>
      <c r="I42" t="s">
        <v>12</v>
      </c>
      <c r="J42" t="s">
        <v>547</v>
      </c>
      <c r="K42">
        <v>50</v>
      </c>
      <c r="L42">
        <v>-1</v>
      </c>
      <c r="M42">
        <v>20</v>
      </c>
      <c r="N42">
        <v>7</v>
      </c>
      <c r="O42">
        <v>12.5</v>
      </c>
      <c r="P42">
        <v>185</v>
      </c>
      <c r="Q42">
        <v>23</v>
      </c>
      <c r="R42">
        <v>1</v>
      </c>
      <c r="S42" t="s">
        <v>311</v>
      </c>
      <c r="T42">
        <v>3</v>
      </c>
      <c r="U42" s="2" t="s">
        <v>335</v>
      </c>
      <c r="V42" s="2"/>
      <c r="W42" s="2"/>
      <c r="X42" s="2"/>
      <c r="Y42" s="2"/>
      <c r="Z42" s="2"/>
      <c r="AA42" s="2"/>
      <c r="AB42" s="2"/>
      <c r="AC42" s="2"/>
      <c r="AD42" s="2"/>
      <c r="AE42" s="2"/>
      <c r="AH42">
        <v>87</v>
      </c>
      <c r="AV42" t="s">
        <v>359</v>
      </c>
      <c r="BA42" s="2">
        <f>(SQRT(K42*AH42)*POWER((MIN(M42,20)+SQRT(MAX(M42-20,0))),0.9)*Data!$B$1)*(1-(R42-1))</f>
        <v>73.321761154546138</v>
      </c>
      <c r="BB42" s="2">
        <f>(POWER((K42*K42*AH42), 0.33)*LOG10(P42)*10*Data!$B$1)*R42</f>
        <v>98.153826904979823</v>
      </c>
      <c r="BC42" s="2"/>
      <c r="BD42" s="2"/>
      <c r="BE42" s="2">
        <f>IFERROR((SQRT($K42*$AI42)*POWER((MIN($M42,20)+SQRT(MAX($M42-20,0))),0.9)*Data!$B$1)*(1 - (R42-1)),BA42)</f>
        <v>0</v>
      </c>
      <c r="BF42" s="2">
        <f>IFERROR(((POWER(($K42*$K42*$AI42), 0.33)*LOG10($AF42)*10*Data!$B$1)*R42),BB42)</f>
        <v>98.153826904979823</v>
      </c>
      <c r="BG42" s="2">
        <f t="shared" si="0"/>
        <v>40.322580645161288</v>
      </c>
      <c r="BH42" s="2">
        <f t="shared" si="1"/>
        <v>0</v>
      </c>
      <c r="BI42" s="2">
        <f t="shared" si="2"/>
        <v>0</v>
      </c>
      <c r="BJ42" s="2">
        <f t="shared" si="3"/>
        <v>0</v>
      </c>
      <c r="BK42" s="2">
        <v>1</v>
      </c>
      <c r="BL42" s="2">
        <v>1</v>
      </c>
      <c r="BM42" s="2">
        <f t="shared" si="4"/>
        <v>87</v>
      </c>
      <c r="BN42" s="2">
        <f t="shared" si="5"/>
        <v>0</v>
      </c>
      <c r="BO42" s="2">
        <f t="shared" si="6"/>
        <v>-1</v>
      </c>
      <c r="BP42" s="2">
        <f t="shared" si="7"/>
        <v>87</v>
      </c>
      <c r="BQ42" s="2">
        <f t="shared" si="8"/>
        <v>-1</v>
      </c>
      <c r="BR42" s="2">
        <f t="shared" si="9"/>
        <v>-1</v>
      </c>
      <c r="BS42" s="3"/>
      <c r="BT42" s="3"/>
      <c r="BU42" s="3"/>
      <c r="BV42">
        <f>F42-F41</f>
        <v>1</v>
      </c>
      <c r="BW42" s="2" t="str">
        <f>CONCATENATE(
ROUND(BS42*VLOOKUP(I42,'ID Scheme'!$A$2:$E$7,3),0), "x",
ROUND(BT42*VLOOKUP(I42,'ID Scheme'!$A$2:$E$7,5),0), "x",
ROUND(BU42*VLOOKUP(I42,'ID Scheme'!$A$2:$E$7,4),0))</f>
        <v>0x0x0</v>
      </c>
    </row>
    <row r="43" spans="1:76" x14ac:dyDescent="0.25">
      <c r="A43" t="s">
        <v>65</v>
      </c>
      <c r="B43" t="s">
        <v>190</v>
      </c>
      <c r="C43" t="s">
        <v>295</v>
      </c>
      <c r="D43">
        <f>IF(F43 &gt; 2020, ((F43-2020)*4)+1610+H43,IF(F43 &gt; 1900, ((F43-1900)*10)+400+H43, ((F43-1730)*2)+H43))+VLOOKUP(I43,'ID Scheme'!$A$2:$B$7,2, FALSE)</f>
        <v>2122</v>
      </c>
      <c r="F43">
        <v>2012</v>
      </c>
      <c r="G43">
        <v>1</v>
      </c>
      <c r="H43">
        <v>2</v>
      </c>
      <c r="I43" t="s">
        <v>12</v>
      </c>
      <c r="J43" t="s">
        <v>547</v>
      </c>
      <c r="K43">
        <v>60</v>
      </c>
      <c r="L43">
        <v>-1</v>
      </c>
      <c r="M43">
        <v>16</v>
      </c>
      <c r="N43">
        <v>5</v>
      </c>
      <c r="O43">
        <v>7.5</v>
      </c>
      <c r="P43">
        <v>110</v>
      </c>
      <c r="Q43">
        <v>20</v>
      </c>
      <c r="R43">
        <v>0.95</v>
      </c>
      <c r="S43" t="s">
        <v>311</v>
      </c>
      <c r="T43">
        <v>2</v>
      </c>
      <c r="U43" s="2" t="s">
        <v>329</v>
      </c>
      <c r="V43" s="2"/>
      <c r="W43" s="2"/>
      <c r="X43" s="2"/>
      <c r="Y43" s="2"/>
      <c r="Z43" s="2"/>
      <c r="AA43" s="2"/>
      <c r="AB43" s="2"/>
      <c r="AC43" s="2"/>
      <c r="AD43" s="2"/>
      <c r="AE43" s="2"/>
      <c r="AH43">
        <v>35</v>
      </c>
      <c r="AV43" t="s">
        <v>359</v>
      </c>
      <c r="BA43" s="2">
        <f>(SQRT(K43*AH43)*POWER((MIN(M43,20)+SQRT(MAX(M43-20,0))),0.9)*Data!$B$1)*(1-(R43-1))</f>
        <v>43.759081158234544</v>
      </c>
      <c r="BB43" s="2">
        <f>(POWER((K43*K43*AH43), 0.33)*LOG10(P43)*10*Data!$B$1)*R43</f>
        <v>70.118675319420305</v>
      </c>
      <c r="BC43" s="2"/>
      <c r="BD43" s="2"/>
      <c r="BE43" s="2">
        <f>IFERROR((SQRT($K43*$AI43)*POWER((MIN($M43,20)+SQRT(MAX($M43-20,0))),0.9)*Data!$B$1)*(1 - (R43-1)),BA43)</f>
        <v>0</v>
      </c>
      <c r="BF43" s="2">
        <f>IFERROR(((POWER(($K43*$K43*$AI43), 0.33)*LOG10($AF43)*10*Data!$B$1)*R43),BB43)</f>
        <v>70.118675319420305</v>
      </c>
      <c r="BG43" s="2">
        <f t="shared" si="0"/>
        <v>48.387096774193552</v>
      </c>
      <c r="BH43" s="2">
        <f t="shared" si="1"/>
        <v>0</v>
      </c>
      <c r="BI43" s="2">
        <f t="shared" si="2"/>
        <v>0</v>
      </c>
      <c r="BJ43" s="2">
        <f t="shared" si="3"/>
        <v>0</v>
      </c>
      <c r="BK43" s="2">
        <v>1</v>
      </c>
      <c r="BL43" s="2">
        <v>1</v>
      </c>
      <c r="BM43" s="2">
        <f t="shared" si="4"/>
        <v>35</v>
      </c>
      <c r="BN43" s="2">
        <f t="shared" si="5"/>
        <v>0</v>
      </c>
      <c r="BO43" s="2">
        <f t="shared" si="6"/>
        <v>-1</v>
      </c>
      <c r="BP43" s="2">
        <f t="shared" si="7"/>
        <v>35</v>
      </c>
      <c r="BQ43" s="2">
        <f t="shared" si="8"/>
        <v>-1</v>
      </c>
      <c r="BR43" s="2">
        <f t="shared" si="9"/>
        <v>-1</v>
      </c>
      <c r="BS43" s="3">
        <v>10.199999999999999</v>
      </c>
      <c r="BT43" s="3">
        <v>2.2999999999999998</v>
      </c>
      <c r="BU43" s="3">
        <v>2.7</v>
      </c>
      <c r="BV43">
        <f>F43-F42</f>
        <v>0</v>
      </c>
      <c r="BW43" s="2" t="str">
        <f>CONCATENATE(
ROUND(BS43*VLOOKUP(I43,'ID Scheme'!$A$2:$E$7,3),0), "x",
ROUND(BT43*VLOOKUP(I43,'ID Scheme'!$A$2:$E$7,5),0), "x",
ROUND(BU43*VLOOKUP(I43,'ID Scheme'!$A$2:$E$7,4),0))</f>
        <v>95x33x26</v>
      </c>
    </row>
    <row r="44" spans="1:76" x14ac:dyDescent="0.25">
      <c r="A44" t="s">
        <v>529</v>
      </c>
      <c r="B44" t="s">
        <v>531</v>
      </c>
      <c r="C44" t="s">
        <v>295</v>
      </c>
      <c r="D44">
        <f>IF(F44 &gt; 2020, ((F44-2020)*4)+1610+H44,IF(F44 &gt; 1900, ((F44-1900)*10)+400+H44, ((F44-1730)*2)+H44))+VLOOKUP(I44,'ID Scheme'!$A$2:$B$7,2, FALSE)</f>
        <v>2141</v>
      </c>
      <c r="F44">
        <v>2014</v>
      </c>
      <c r="G44">
        <v>10</v>
      </c>
      <c r="H44">
        <v>1</v>
      </c>
      <c r="I44" t="s">
        <v>12</v>
      </c>
      <c r="J44" t="s">
        <v>547</v>
      </c>
      <c r="K44">
        <v>60</v>
      </c>
      <c r="L44">
        <v>-1</v>
      </c>
      <c r="M44">
        <v>20</v>
      </c>
      <c r="N44">
        <v>7</v>
      </c>
      <c r="O44">
        <v>11</v>
      </c>
      <c r="P44">
        <v>240</v>
      </c>
      <c r="Q44">
        <v>20</v>
      </c>
      <c r="R44">
        <v>0.9</v>
      </c>
      <c r="S44" t="s">
        <v>311</v>
      </c>
      <c r="T44">
        <v>3</v>
      </c>
      <c r="U44" s="2" t="s">
        <v>530</v>
      </c>
      <c r="V44" s="2"/>
      <c r="W44" s="2"/>
      <c r="X44" s="2"/>
      <c r="Y44" s="2"/>
      <c r="Z44" s="2"/>
      <c r="AA44" s="2"/>
      <c r="AB44" s="2"/>
      <c r="AC44" s="2"/>
      <c r="AD44" s="2"/>
      <c r="AE44" s="2"/>
      <c r="AH44">
        <v>90</v>
      </c>
      <c r="AV44" t="s">
        <v>359</v>
      </c>
      <c r="BA44" s="2">
        <f>(SQRT(K44*AH44)*POWER((MIN(M44,20)+SQRT(MAX(M44-20,0))),0.9)*Data!$B$1)*(1-(R44-1))</f>
        <v>89.86236093998113</v>
      </c>
      <c r="BB44" s="2">
        <f>(POWER((K44*K44*AH44), 0.33)*LOG10(P44)*10*Data!$B$1)*R44</f>
        <v>105.77891991708935</v>
      </c>
      <c r="BC44" s="2"/>
      <c r="BD44" s="2"/>
      <c r="BE44" s="2">
        <f>IFERROR((SQRT($K44*$AI44)*POWER((MIN($M44,20)+SQRT(MAX($M44-20,0))),0.9)*Data!$B$1)*(1 - (R44-1)),BA44)</f>
        <v>0</v>
      </c>
      <c r="BF44" s="2">
        <f>IFERROR(((POWER(($K44*$K44*$AI44), 0.33)*LOG10($AF44)*10*Data!$B$1)*R44),BB44)</f>
        <v>105.77891991708935</v>
      </c>
      <c r="BG44" s="2">
        <f t="shared" ref="BG44:BG75" si="21">K44/1.24</f>
        <v>48.387096774193552</v>
      </c>
      <c r="BH44" s="2">
        <f t="shared" ref="BH44:BH75" si="22">AG44/1.24</f>
        <v>0</v>
      </c>
      <c r="BI44" s="2">
        <f t="shared" ref="BI44:BI75" si="23">AN44/1.24</f>
        <v>0</v>
      </c>
      <c r="BJ44" s="2">
        <f t="shared" ref="BJ44:BJ75" si="24">AO44/1.24</f>
        <v>0</v>
      </c>
      <c r="BK44" s="2">
        <v>1</v>
      </c>
      <c r="BL44" s="2">
        <v>1</v>
      </c>
      <c r="BM44" s="2">
        <f t="shared" ref="BM44:BM75" si="25">AH44/BL44</f>
        <v>90</v>
      </c>
      <c r="BN44" s="2">
        <f t="shared" ref="BN44:BN75" si="26">AI44/BL44</f>
        <v>0</v>
      </c>
      <c r="BO44" s="2">
        <f t="shared" si="6"/>
        <v>-1</v>
      </c>
      <c r="BP44" s="2">
        <f t="shared" ref="BP44:BP75" si="27">(AH44)/MAX(BK44-1, 1)</f>
        <v>90</v>
      </c>
      <c r="BQ44" s="2">
        <f t="shared" si="8"/>
        <v>-1</v>
      </c>
      <c r="BR44" s="2">
        <f t="shared" ref="BR44:BR75" si="28">IF(AI44 &gt; 0, (AI44)/MAX(BK44-1, 1), -1)</f>
        <v>-1</v>
      </c>
      <c r="BS44" s="3">
        <v>11.4</v>
      </c>
      <c r="BT44" s="3">
        <v>2.5499999999999998</v>
      </c>
      <c r="BU44" s="3">
        <v>4.2</v>
      </c>
      <c r="BV44">
        <f>F44-F43</f>
        <v>2</v>
      </c>
      <c r="BW44" s="2" t="str">
        <f>CONCATENATE(
ROUND(BS44*VLOOKUP(I44,'ID Scheme'!$A$2:$E$7,3),0), "x",
ROUND(BT44*VLOOKUP(I44,'ID Scheme'!$A$2:$E$7,5),0), "x",
ROUND(BU44*VLOOKUP(I44,'ID Scheme'!$A$2:$E$7,4),0))</f>
        <v>106x37x41</v>
      </c>
    </row>
    <row r="45" spans="1:76" x14ac:dyDescent="0.25">
      <c r="A45" t="s">
        <v>368</v>
      </c>
      <c r="B45" t="s">
        <v>195</v>
      </c>
      <c r="C45" t="s">
        <v>369</v>
      </c>
      <c r="D45">
        <f>IF(F45 &gt; 2020, ((F45-2020)*4)+1610+H45,IF(F45 &gt; 1900, ((F45-1900)*10)+400+H45, ((F45-1730)*2)+H45))+VLOOKUP(I45,'ID Scheme'!$A$2:$B$7,2, FALSE)</f>
        <v>2741</v>
      </c>
      <c r="F45">
        <v>1800</v>
      </c>
      <c r="G45">
        <v>1</v>
      </c>
      <c r="H45">
        <v>1</v>
      </c>
      <c r="I45" t="s">
        <v>13</v>
      </c>
      <c r="J45" t="s">
        <v>554</v>
      </c>
      <c r="K45">
        <v>16</v>
      </c>
      <c r="L45">
        <v>120</v>
      </c>
      <c r="M45">
        <v>12</v>
      </c>
      <c r="N45">
        <v>4</v>
      </c>
      <c r="O45">
        <v>1</v>
      </c>
      <c r="P45">
        <v>15</v>
      </c>
      <c r="Q45">
        <v>20</v>
      </c>
      <c r="R45">
        <v>1</v>
      </c>
      <c r="S45" t="s">
        <v>297</v>
      </c>
      <c r="U45" s="2" t="s">
        <v>366</v>
      </c>
      <c r="V45" s="2"/>
      <c r="W45" s="2"/>
      <c r="X45" s="2"/>
      <c r="Y45" s="2"/>
      <c r="Z45" s="2" t="s">
        <v>343</v>
      </c>
      <c r="AA45" s="2"/>
      <c r="AB45" s="2" t="s">
        <v>343</v>
      </c>
      <c r="AC45" s="2"/>
      <c r="AD45" s="2" t="s">
        <v>444</v>
      </c>
      <c r="AE45" s="2"/>
      <c r="AF45">
        <v>5</v>
      </c>
      <c r="AG45">
        <v>10</v>
      </c>
      <c r="AH45">
        <v>12</v>
      </c>
      <c r="AI45">
        <v>2</v>
      </c>
      <c r="AJ45" s="7">
        <f>AI45*3</f>
        <v>6</v>
      </c>
      <c r="AK45" s="7">
        <f>(AH45*1.75)-MOD((AH45*1.75), BK45)</f>
        <v>20</v>
      </c>
      <c r="AL45" s="7">
        <f>(BM45*1.75)-MOD((BM45*1.75), BL45)</f>
        <v>10</v>
      </c>
      <c r="AM45" s="8">
        <f>AJ45/BL45</f>
        <v>3</v>
      </c>
      <c r="AT45" t="s">
        <v>433</v>
      </c>
      <c r="AU45" t="s">
        <v>408</v>
      </c>
      <c r="AV45" t="s">
        <v>360</v>
      </c>
      <c r="AZ45" t="s">
        <v>279</v>
      </c>
      <c r="BA45" s="2">
        <f>(SQRT(K45*AH45)*POWER((MIN(M45,20)+SQRT(MAX(M45-20,0))),0.9)*Data!$B$1)*(1-(R45-1))</f>
        <v>9.7269122773484167</v>
      </c>
      <c r="BB45" s="2">
        <f>(POWER((K45*K45*AH45), 0.33)*LOG10(P45)*10*Data!$B$1)*R45</f>
        <v>12.483928865764204</v>
      </c>
      <c r="BC45" s="2"/>
      <c r="BD45" s="2"/>
      <c r="BE45" s="2">
        <f>IFERROR((SQRT($K45*$AI45)*POWER((MIN($M45,20)+SQRT(MAX($M45-20,0))),0.9)*Data!$B$1)*(1 - (R45-1)),BA45)</f>
        <v>3.9709953087194521</v>
      </c>
      <c r="BF45" s="2">
        <f>IFERROR(((POWER(($K45*$K45*$AI45), 0.33)*LOG10($AF45)*10*Data!$B$1)*R45),BB45)</f>
        <v>4.1075124579067142</v>
      </c>
      <c r="BG45" s="2">
        <f t="shared" si="21"/>
        <v>12.903225806451614</v>
      </c>
      <c r="BH45" s="2">
        <f t="shared" si="22"/>
        <v>8.064516129032258</v>
      </c>
      <c r="BI45" s="2">
        <f t="shared" si="23"/>
        <v>0</v>
      </c>
      <c r="BJ45" s="2">
        <f t="shared" si="24"/>
        <v>0</v>
      </c>
      <c r="BK45" s="2">
        <v>2</v>
      </c>
      <c r="BL45" s="2">
        <v>2</v>
      </c>
      <c r="BM45" s="2">
        <f t="shared" si="25"/>
        <v>6</v>
      </c>
      <c r="BN45" s="2">
        <f t="shared" si="26"/>
        <v>1</v>
      </c>
      <c r="BO45" s="2">
        <f>IF(AK45 &gt; 0, (AK45)/MAX(BK45-1, 1), -1)</f>
        <v>20</v>
      </c>
      <c r="BP45" s="2">
        <f t="shared" si="27"/>
        <v>12</v>
      </c>
      <c r="BQ45" s="2">
        <f t="shared" si="8"/>
        <v>6</v>
      </c>
      <c r="BR45" s="2">
        <f t="shared" si="28"/>
        <v>2</v>
      </c>
      <c r="BS45" s="3"/>
      <c r="BT45" s="3"/>
      <c r="BU45" s="3"/>
      <c r="BV45">
        <f>F45-F44</f>
        <v>-214</v>
      </c>
      <c r="BW45" s="2" t="str">
        <f>CONCATENATE(
ROUND(BS45*VLOOKUP(I45,'ID Scheme'!$A$2:$E$7,3),0), "x",
ROUND(BT45*VLOOKUP(I45,'ID Scheme'!$A$2:$E$7,5),0), "x",
ROUND(BU45*VLOOKUP(I45,'ID Scheme'!$A$2:$E$7,4),0))</f>
        <v>0x0x0</v>
      </c>
    </row>
    <row r="46" spans="1:76" x14ac:dyDescent="0.25">
      <c r="A46" t="s">
        <v>39</v>
      </c>
      <c r="B46" t="s">
        <v>229</v>
      </c>
      <c r="C46" t="s">
        <v>339</v>
      </c>
      <c r="D46">
        <f>IF(F46 &gt; 2020, ((F46-2020)*4)+1610+H46,IF(F46 &gt; 1900, ((F46-1900)*10)+400+H46, ((F46-1730)*2)+H46))+VLOOKUP(I46,'ID Scheme'!$A$2:$B$7,2, FALSE)</f>
        <v>2935</v>
      </c>
      <c r="F46">
        <v>1897</v>
      </c>
      <c r="G46">
        <v>1</v>
      </c>
      <c r="H46">
        <v>1</v>
      </c>
      <c r="I46" t="s">
        <v>13</v>
      </c>
      <c r="J46" t="s">
        <v>554</v>
      </c>
      <c r="K46">
        <v>18</v>
      </c>
      <c r="L46">
        <v>20</v>
      </c>
      <c r="M46">
        <v>15</v>
      </c>
      <c r="N46">
        <v>5</v>
      </c>
      <c r="O46">
        <v>4</v>
      </c>
      <c r="P46">
        <v>20</v>
      </c>
      <c r="Q46">
        <v>20</v>
      </c>
      <c r="R46">
        <v>1</v>
      </c>
      <c r="S46" t="s">
        <v>298</v>
      </c>
      <c r="T46">
        <v>-3</v>
      </c>
      <c r="U46" s="2" t="s">
        <v>341</v>
      </c>
      <c r="V46" s="2"/>
      <c r="W46" s="2"/>
      <c r="X46" s="2"/>
      <c r="Y46" s="2"/>
      <c r="Z46" s="2" t="s">
        <v>343</v>
      </c>
      <c r="AA46" s="2"/>
      <c r="AB46" s="2" t="s">
        <v>343</v>
      </c>
      <c r="AC46" s="2"/>
      <c r="AD46" s="2"/>
      <c r="AE46" s="2"/>
      <c r="AH46">
        <v>14</v>
      </c>
      <c r="AI46">
        <v>4</v>
      </c>
      <c r="AJ46" s="7">
        <f>AI46*3</f>
        <v>12</v>
      </c>
      <c r="AK46" s="7">
        <f>(AH46*1.75)-MOD((AH46*1.75), BK46)</f>
        <v>24</v>
      </c>
      <c r="AL46" s="7">
        <f>(BM46*1.75)-MOD((BM46*1.75), BL46)</f>
        <v>24</v>
      </c>
      <c r="AM46" s="8">
        <f t="shared" ref="AM46:AM109" si="29">AJ46/BL46</f>
        <v>12</v>
      </c>
      <c r="AV46" t="s">
        <v>360</v>
      </c>
      <c r="BA46" s="2">
        <f>(SQRT(K46*AH46)*POWER((MIN(M46,20)+SQRT(MAX(M46-20,0))),0.9)*Data!$B$1)*(1-(R46-1))</f>
        <v>13.622087541829282</v>
      </c>
      <c r="BB46" s="2">
        <f>(POWER((K46*K46*AH46), 0.33)*LOG10(P46)*10*Data!$B$1)*R46</f>
        <v>15.705460613345815</v>
      </c>
      <c r="BC46" s="2"/>
      <c r="BD46" s="2"/>
      <c r="BE46" s="2">
        <f>IFERROR((SQRT($K46*$AI46)*POWER((MIN($M46,20)+SQRT(MAX($M46-20,0))),0.9)*Data!$B$1)*(1 - (R46-1)),BA46)</f>
        <v>7.2813120677381153</v>
      </c>
      <c r="BF46" s="2">
        <f>IFERROR(((POWER(($K46*$K46*$AI46), 0.33)*LOG10($AF46)*10*Data!$B$1)*R46),BB46)</f>
        <v>15.705460613345815</v>
      </c>
      <c r="BG46" s="2">
        <f t="shared" si="21"/>
        <v>14.516129032258064</v>
      </c>
      <c r="BH46" s="2">
        <f t="shared" si="22"/>
        <v>0</v>
      </c>
      <c r="BI46" s="2">
        <f t="shared" si="23"/>
        <v>0</v>
      </c>
      <c r="BJ46" s="2">
        <f t="shared" si="24"/>
        <v>0</v>
      </c>
      <c r="BK46" s="2">
        <v>1</v>
      </c>
      <c r="BL46" s="2">
        <v>1</v>
      </c>
      <c r="BM46" s="2">
        <f t="shared" si="25"/>
        <v>14</v>
      </c>
      <c r="BN46" s="2">
        <f t="shared" si="26"/>
        <v>4</v>
      </c>
      <c r="BO46" s="2">
        <f t="shared" si="6"/>
        <v>24</v>
      </c>
      <c r="BP46" s="2">
        <f t="shared" si="27"/>
        <v>14</v>
      </c>
      <c r="BQ46" s="2">
        <f t="shared" si="8"/>
        <v>12</v>
      </c>
      <c r="BR46" s="2">
        <f t="shared" si="28"/>
        <v>4</v>
      </c>
      <c r="BS46" s="3"/>
      <c r="BT46" s="3"/>
      <c r="BU46" s="3"/>
      <c r="BV46">
        <f>F46-F45</f>
        <v>97</v>
      </c>
      <c r="BW46" s="2" t="str">
        <f>CONCATENATE(
ROUND(BS46*VLOOKUP(I46,'ID Scheme'!$A$2:$E$7,3),0), "x",
ROUND(BT46*VLOOKUP(I46,'ID Scheme'!$A$2:$E$7,5),0), "x",
ROUND(BU46*VLOOKUP(I46,'ID Scheme'!$A$2:$E$7,4),0))</f>
        <v>0x0x0</v>
      </c>
    </row>
    <row r="47" spans="1:76" x14ac:dyDescent="0.25">
      <c r="A47" t="s">
        <v>8</v>
      </c>
      <c r="B47" t="s">
        <v>198</v>
      </c>
      <c r="C47" t="s">
        <v>339</v>
      </c>
      <c r="D47">
        <f>IF(F47 &gt; 2020, ((F47-2020)*4)+1610+H47,IF(F47 &gt; 1900, ((F47-1900)*10)+400+H47, ((F47-1730)*2)+H47))+VLOOKUP(I47,'ID Scheme'!$A$2:$B$7,2, FALSE)</f>
        <v>3021</v>
      </c>
      <c r="F47">
        <v>1902</v>
      </c>
      <c r="G47">
        <v>1</v>
      </c>
      <c r="H47">
        <v>1</v>
      </c>
      <c r="I47" t="s">
        <v>13</v>
      </c>
      <c r="J47" t="s">
        <v>554</v>
      </c>
      <c r="K47">
        <v>18</v>
      </c>
      <c r="L47">
        <v>20</v>
      </c>
      <c r="M47">
        <v>15</v>
      </c>
      <c r="N47">
        <v>5</v>
      </c>
      <c r="O47">
        <v>5</v>
      </c>
      <c r="P47">
        <v>35</v>
      </c>
      <c r="Q47">
        <v>20</v>
      </c>
      <c r="R47">
        <v>1</v>
      </c>
      <c r="S47" t="s">
        <v>298</v>
      </c>
      <c r="T47">
        <v>-3</v>
      </c>
      <c r="U47" s="2" t="s">
        <v>344</v>
      </c>
      <c r="V47" s="2"/>
      <c r="W47" s="2"/>
      <c r="X47" s="2"/>
      <c r="Y47" s="2"/>
      <c r="Z47" s="2" t="s">
        <v>343</v>
      </c>
      <c r="AA47" s="2"/>
      <c r="AB47" s="2" t="s">
        <v>343</v>
      </c>
      <c r="AC47" s="2"/>
      <c r="AD47" s="2"/>
      <c r="AE47" s="2"/>
      <c r="AH47">
        <v>16</v>
      </c>
      <c r="AI47">
        <v>5</v>
      </c>
      <c r="AJ47" s="6">
        <f t="shared" ref="AJ47:AJ48" si="30">AI47*2</f>
        <v>10</v>
      </c>
      <c r="AK47" s="6">
        <f t="shared" ref="AK47:AK54" si="31">(AH47*1.5)-MOD((AH47*1.5), BK46)</f>
        <v>24</v>
      </c>
      <c r="AL47" s="6">
        <f>(BM47*1.5)-MOD((BM47*1.5), BL47)</f>
        <v>24</v>
      </c>
      <c r="AM47" s="8">
        <f t="shared" si="29"/>
        <v>10</v>
      </c>
      <c r="AV47" t="s">
        <v>360</v>
      </c>
      <c r="BA47" s="2">
        <f>(SQRT(K47*AH47)*POWER((MIN(M47,20)+SQRT(MAX(M47-20,0))),0.9)*Data!$B$1)*(1-(R47-1))</f>
        <v>14.562624135476231</v>
      </c>
      <c r="BB47" s="2">
        <f>(POWER((K47*K47*AH47), 0.33)*LOG10(P47)*10*Data!$B$1)*R47</f>
        <v>19.479021908256488</v>
      </c>
      <c r="BC47" s="2"/>
      <c r="BD47" s="2"/>
      <c r="BE47" s="2">
        <f>IFERROR((SQRT($K47*$AI47)*POWER((MIN($M47,20)+SQRT(MAX($M47-20,0))),0.9)*Data!$B$1)*(1 - (R47-1)),BA47)</f>
        <v>8.14075437442599</v>
      </c>
      <c r="BF47" s="2">
        <f>IFERROR(((POWER(($K47*$K47*$AI47), 0.33)*LOG10($AF47)*10*Data!$B$1)*R47),BB47)</f>
        <v>19.479021908256488</v>
      </c>
      <c r="BG47" s="2">
        <f t="shared" si="21"/>
        <v>14.516129032258064</v>
      </c>
      <c r="BH47" s="2">
        <f t="shared" si="22"/>
        <v>0</v>
      </c>
      <c r="BI47" s="2">
        <f t="shared" si="23"/>
        <v>0</v>
      </c>
      <c r="BJ47" s="2">
        <f t="shared" si="24"/>
        <v>0</v>
      </c>
      <c r="BK47" s="2">
        <v>1</v>
      </c>
      <c r="BL47" s="2">
        <v>1</v>
      </c>
      <c r="BM47" s="2">
        <f t="shared" si="25"/>
        <v>16</v>
      </c>
      <c r="BN47" s="2">
        <f t="shared" si="26"/>
        <v>5</v>
      </c>
      <c r="BO47" s="2">
        <f t="shared" si="6"/>
        <v>24</v>
      </c>
      <c r="BP47" s="2">
        <f t="shared" si="27"/>
        <v>16</v>
      </c>
      <c r="BQ47" s="2">
        <f t="shared" si="8"/>
        <v>10</v>
      </c>
      <c r="BR47" s="2">
        <f t="shared" si="28"/>
        <v>5</v>
      </c>
      <c r="BS47" s="3"/>
      <c r="BT47" s="3"/>
      <c r="BU47" s="3"/>
      <c r="BV47">
        <f>F47-F46</f>
        <v>5</v>
      </c>
      <c r="BW47" s="2" t="str">
        <f>CONCATENATE(
ROUND(BS47*VLOOKUP(I47,'ID Scheme'!$A$2:$E$7,3),0), "x",
ROUND(BT47*VLOOKUP(I47,'ID Scheme'!$A$2:$E$7,5),0), "x",
ROUND(BU47*VLOOKUP(I47,'ID Scheme'!$A$2:$E$7,4),0))</f>
        <v>0x0x0</v>
      </c>
    </row>
    <row r="48" spans="1:76" x14ac:dyDescent="0.25">
      <c r="A48" t="s">
        <v>22</v>
      </c>
      <c r="B48" t="s">
        <v>230</v>
      </c>
      <c r="C48" t="s">
        <v>339</v>
      </c>
      <c r="D48">
        <f>IF(F48 &gt; 2020, ((F48-2020)*4)+1610+H48,IF(F48 &gt; 1900, ((F48-1900)*10)+400+H48, ((F48-1730)*2)+H48))+VLOOKUP(I48,'ID Scheme'!$A$2:$B$7,2, FALSE)</f>
        <v>3071</v>
      </c>
      <c r="F48">
        <v>1907</v>
      </c>
      <c r="G48">
        <v>1</v>
      </c>
      <c r="H48">
        <v>1</v>
      </c>
      <c r="I48" t="s">
        <v>13</v>
      </c>
      <c r="J48" t="s">
        <v>547</v>
      </c>
      <c r="K48">
        <v>20</v>
      </c>
      <c r="L48">
        <v>15</v>
      </c>
      <c r="M48">
        <v>15</v>
      </c>
      <c r="N48">
        <v>5</v>
      </c>
      <c r="O48">
        <v>5.5</v>
      </c>
      <c r="P48">
        <v>35</v>
      </c>
      <c r="Q48">
        <v>20</v>
      </c>
      <c r="R48">
        <v>1</v>
      </c>
      <c r="S48" t="s">
        <v>299</v>
      </c>
      <c r="T48">
        <v>2</v>
      </c>
      <c r="U48" s="2" t="s">
        <v>345</v>
      </c>
      <c r="V48" s="2" t="s">
        <v>343</v>
      </c>
      <c r="W48" s="2"/>
      <c r="X48" s="2"/>
      <c r="Y48" s="2"/>
      <c r="Z48" s="2" t="s">
        <v>343</v>
      </c>
      <c r="AA48" s="2"/>
      <c r="AB48" s="2" t="s">
        <v>343</v>
      </c>
      <c r="AC48" s="2"/>
      <c r="AD48" s="2"/>
      <c r="AE48" s="2"/>
      <c r="AH48">
        <v>18</v>
      </c>
      <c r="AI48">
        <v>5</v>
      </c>
      <c r="AJ48" s="6">
        <f t="shared" si="30"/>
        <v>10</v>
      </c>
      <c r="AK48" s="6">
        <f t="shared" si="31"/>
        <v>27</v>
      </c>
      <c r="AL48" s="6">
        <f>(BM48*1.5)-MOD((BM48*1.5), BL48)</f>
        <v>27</v>
      </c>
      <c r="AM48" s="8">
        <f t="shared" si="29"/>
        <v>10</v>
      </c>
      <c r="AV48" t="s">
        <v>360</v>
      </c>
      <c r="BA48" s="2">
        <f>(SQRT(K48*AH48)*POWER((MIN(M48,20)+SQRT(MAX(M48-20,0))),0.9)*Data!$B$1)*(1-(R48-1))</f>
        <v>16.28150874885198</v>
      </c>
      <c r="BB48" s="2">
        <f>(POWER((K48*K48*AH48), 0.33)*LOG10(P48)*10*Data!$B$1)*R48</f>
        <v>21.709380082318344</v>
      </c>
      <c r="BC48" s="2"/>
      <c r="BD48" s="2"/>
      <c r="BE48" s="2">
        <f>IFERROR((SQRT($K48*$AI48)*POWER((MIN($M48,20)+SQRT(MAX($M48-20,0))),0.9)*Data!$B$1)*(1 - (R48-1)),BA48)</f>
        <v>8.5811085650551053</v>
      </c>
      <c r="BF48" s="2">
        <f>IFERROR(((POWER(($K48*$K48*$AI48), 0.33)*LOG10($AF48)*10*Data!$B$1)*R48),BB48)</f>
        <v>21.709380082318344</v>
      </c>
      <c r="BG48" s="2">
        <f t="shared" si="21"/>
        <v>16.129032258064516</v>
      </c>
      <c r="BH48" s="2">
        <f t="shared" si="22"/>
        <v>0</v>
      </c>
      <c r="BI48" s="2">
        <f t="shared" si="23"/>
        <v>0</v>
      </c>
      <c r="BJ48" s="2">
        <f t="shared" si="24"/>
        <v>0</v>
      </c>
      <c r="BK48" s="2">
        <v>1</v>
      </c>
      <c r="BL48" s="2">
        <v>1</v>
      </c>
      <c r="BM48" s="2">
        <f t="shared" si="25"/>
        <v>18</v>
      </c>
      <c r="BN48" s="2">
        <f t="shared" si="26"/>
        <v>5</v>
      </c>
      <c r="BO48" s="2">
        <f t="shared" si="6"/>
        <v>27</v>
      </c>
      <c r="BP48" s="2">
        <f t="shared" si="27"/>
        <v>18</v>
      </c>
      <c r="BQ48" s="2">
        <f t="shared" si="8"/>
        <v>10</v>
      </c>
      <c r="BR48" s="2">
        <f t="shared" si="28"/>
        <v>5</v>
      </c>
      <c r="BS48" s="3"/>
      <c r="BT48" s="3"/>
      <c r="BU48" s="3"/>
      <c r="BV48">
        <f>F48-F47</f>
        <v>5</v>
      </c>
      <c r="BW48" s="2" t="str">
        <f>CONCATENATE(
ROUND(BS48*VLOOKUP(I48,'ID Scheme'!$A$2:$E$7,3),0), "x",
ROUND(BT48*VLOOKUP(I48,'ID Scheme'!$A$2:$E$7,5),0), "x",
ROUND(BU48*VLOOKUP(I48,'ID Scheme'!$A$2:$E$7,4),0))</f>
        <v>0x0x0</v>
      </c>
    </row>
    <row r="49" spans="1:76" x14ac:dyDescent="0.25">
      <c r="A49" t="s">
        <v>236</v>
      </c>
      <c r="B49" t="s">
        <v>235</v>
      </c>
      <c r="C49" t="s">
        <v>339</v>
      </c>
      <c r="D49">
        <f>IF(F49 &gt; 2020, ((F49-2020)*4)+1610+H49,IF(F49 &gt; 1900, ((F49-1900)*10)+400+H49, ((F49-1730)*2)+H49))+VLOOKUP(I49,'ID Scheme'!$A$2:$B$7,2, FALSE)</f>
        <v>3131</v>
      </c>
      <c r="F49">
        <v>1913</v>
      </c>
      <c r="G49">
        <v>1</v>
      </c>
      <c r="H49">
        <v>1</v>
      </c>
      <c r="I49" t="s">
        <v>13</v>
      </c>
      <c r="J49" t="s">
        <v>554</v>
      </c>
      <c r="K49">
        <v>22</v>
      </c>
      <c r="L49">
        <v>20</v>
      </c>
      <c r="M49">
        <v>18</v>
      </c>
      <c r="N49">
        <v>5</v>
      </c>
      <c r="O49">
        <v>4.5</v>
      </c>
      <c r="P49">
        <v>30</v>
      </c>
      <c r="Q49">
        <v>20</v>
      </c>
      <c r="R49">
        <v>1</v>
      </c>
      <c r="S49" t="s">
        <v>299</v>
      </c>
      <c r="T49">
        <v>2</v>
      </c>
      <c r="U49" s="2" t="s">
        <v>517</v>
      </c>
      <c r="V49" s="2" t="s">
        <v>343</v>
      </c>
      <c r="W49" s="2" t="s">
        <v>343</v>
      </c>
      <c r="X49" s="2"/>
      <c r="Y49" s="2"/>
      <c r="Z49" s="2" t="s">
        <v>343</v>
      </c>
      <c r="AA49" s="2"/>
      <c r="AB49" s="2" t="s">
        <v>343</v>
      </c>
      <c r="AC49" s="2"/>
      <c r="AD49" s="2"/>
      <c r="AE49" s="2"/>
      <c r="AH49">
        <v>18</v>
      </c>
      <c r="AI49">
        <v>5</v>
      </c>
      <c r="AJ49">
        <v>12</v>
      </c>
      <c r="AK49" s="6">
        <f t="shared" si="31"/>
        <v>27</v>
      </c>
      <c r="AL49" s="6">
        <f t="shared" ref="AL49:AL54" si="32">(BM49*1.5)-MOD((BM49*1.5), BL49)</f>
        <v>27</v>
      </c>
      <c r="AM49" s="8">
        <f t="shared" si="29"/>
        <v>12</v>
      </c>
      <c r="AV49" t="s">
        <v>360</v>
      </c>
      <c r="BA49" s="2">
        <f>(SQRT(K49*AH49)*POWER((MIN(M49,20)+SQRT(MAX(M49-20,0))),0.9)*Data!$B$1)*(1-(R49-1))</f>
        <v>20.121210798806025</v>
      </c>
      <c r="BB49" s="2">
        <f>(POWER((K49*K49*AH49), 0.33)*LOG10(P49)*10*Data!$B$1)*R49</f>
        <v>22.116495267895374</v>
      </c>
      <c r="BC49" s="2"/>
      <c r="BD49" s="2"/>
      <c r="BE49" s="2">
        <f>IFERROR((SQRT($K49*$AI49)*POWER((MIN($M49,20)+SQRT(MAX($M49-20,0))),0.9)*Data!$B$1)*(1 - (R49-1)),BA49)</f>
        <v>10.604809234100509</v>
      </c>
      <c r="BF49" s="2">
        <f>IFERROR(((POWER(($K49*$K49*$AI49), 0.33)*LOG10($AF49)*10*Data!$B$1)*R49),BB49)</f>
        <v>22.116495267895374</v>
      </c>
      <c r="BG49" s="2">
        <f t="shared" si="21"/>
        <v>17.741935483870968</v>
      </c>
      <c r="BH49" s="2">
        <f t="shared" si="22"/>
        <v>0</v>
      </c>
      <c r="BI49" s="2">
        <f t="shared" si="23"/>
        <v>0</v>
      </c>
      <c r="BJ49" s="2">
        <f t="shared" si="24"/>
        <v>0</v>
      </c>
      <c r="BK49" s="2">
        <v>1</v>
      </c>
      <c r="BL49" s="2">
        <v>1</v>
      </c>
      <c r="BM49" s="2">
        <f t="shared" si="25"/>
        <v>18</v>
      </c>
      <c r="BN49" s="2">
        <f t="shared" si="26"/>
        <v>5</v>
      </c>
      <c r="BO49" s="2">
        <f t="shared" si="6"/>
        <v>27</v>
      </c>
      <c r="BP49" s="2">
        <f t="shared" si="27"/>
        <v>18</v>
      </c>
      <c r="BQ49" s="2">
        <f t="shared" si="8"/>
        <v>12</v>
      </c>
      <c r="BR49" s="2">
        <f t="shared" si="28"/>
        <v>5</v>
      </c>
      <c r="BS49" s="3"/>
      <c r="BT49" s="3"/>
      <c r="BU49" s="3"/>
      <c r="BV49">
        <f>F49-F48</f>
        <v>6</v>
      </c>
      <c r="BW49" s="2" t="str">
        <f>CONCATENATE(
ROUND(BS49*VLOOKUP(I49,'ID Scheme'!$A$2:$E$7,3),0), "x",
ROUND(BT49*VLOOKUP(I49,'ID Scheme'!$A$2:$E$7,5),0), "x",
ROUND(BU49*VLOOKUP(I49,'ID Scheme'!$A$2:$E$7,4),0))</f>
        <v>0x0x0</v>
      </c>
    </row>
    <row r="50" spans="1:76" x14ac:dyDescent="0.25">
      <c r="A50" t="s">
        <v>70</v>
      </c>
      <c r="B50" t="s">
        <v>231</v>
      </c>
      <c r="C50" t="s">
        <v>369</v>
      </c>
      <c r="D50">
        <f>IF(F50 &gt; 2020, ((F50-2020)*4)+1610+H50,IF(F50 &gt; 1900, ((F50-1900)*10)+400+H50, ((F50-1730)*2)+H50))+VLOOKUP(I50,'ID Scheme'!$A$2:$B$7,2, FALSE)</f>
        <v>3201</v>
      </c>
      <c r="F50">
        <v>1920</v>
      </c>
      <c r="G50">
        <v>4</v>
      </c>
      <c r="H50">
        <v>1</v>
      </c>
      <c r="I50" t="s">
        <v>13</v>
      </c>
      <c r="J50" t="s">
        <v>547</v>
      </c>
      <c r="K50">
        <v>18</v>
      </c>
      <c r="L50">
        <v>20</v>
      </c>
      <c r="M50">
        <v>18</v>
      </c>
      <c r="N50">
        <v>5</v>
      </c>
      <c r="O50">
        <v>5</v>
      </c>
      <c r="P50">
        <v>80</v>
      </c>
      <c r="Q50">
        <v>20</v>
      </c>
      <c r="R50">
        <v>1</v>
      </c>
      <c r="S50" t="s">
        <v>299</v>
      </c>
      <c r="T50">
        <v>-4</v>
      </c>
      <c r="U50" s="2" t="s">
        <v>518</v>
      </c>
      <c r="V50" s="2"/>
      <c r="W50" s="2"/>
      <c r="X50" s="2"/>
      <c r="Y50" s="2"/>
      <c r="Z50" s="2" t="s">
        <v>343</v>
      </c>
      <c r="AA50" s="2"/>
      <c r="AB50" s="2"/>
      <c r="AC50" s="2"/>
      <c r="AD50" s="2" t="s">
        <v>371</v>
      </c>
      <c r="AE50" s="2"/>
      <c r="AH50">
        <v>28</v>
      </c>
      <c r="AI50">
        <v>8</v>
      </c>
      <c r="AJ50" s="6">
        <f t="shared" ref="AJ50:AJ54" si="33">AI50*2</f>
        <v>16</v>
      </c>
      <c r="AK50" s="6">
        <f t="shared" si="31"/>
        <v>42</v>
      </c>
      <c r="AL50" s="6">
        <f t="shared" si="32"/>
        <v>20</v>
      </c>
      <c r="AM50" s="8">
        <f t="shared" si="29"/>
        <v>8</v>
      </c>
      <c r="AQ50" t="s">
        <v>429</v>
      </c>
      <c r="AT50" t="s">
        <v>433</v>
      </c>
      <c r="AU50" t="s">
        <v>424</v>
      </c>
      <c r="AV50" t="s">
        <v>360</v>
      </c>
      <c r="BA50" s="2">
        <f>(SQRT(K50*AH50)*POWER((MIN(M50,20)+SQRT(MAX(M50-20,0))),0.9)*Data!$B$1)*(1-(R50-1))</f>
        <v>22.69978721594271</v>
      </c>
      <c r="BB50" s="2">
        <f>(POWER((K50*K50*AH50), 0.33)*LOG10(P50)*10*Data!$B$1)*R50</f>
        <v>28.877699401096308</v>
      </c>
      <c r="BC50" s="2"/>
      <c r="BD50" s="2"/>
      <c r="BE50" s="2">
        <f>IFERROR((SQRT($K50*$AI50)*POWER((MIN($M50,20)+SQRT(MAX($M50-20,0))),0.9)*Data!$B$1)*(1 - (R50-1)),BA50)</f>
        <v>12.133546644961246</v>
      </c>
      <c r="BF50" s="2">
        <f>IFERROR(((POWER(($K50*$K50*$AI50), 0.33)*LOG10($AF50)*10*Data!$B$1)*R50),BB50)</f>
        <v>28.877699401096308</v>
      </c>
      <c r="BG50" s="2">
        <f t="shared" si="21"/>
        <v>14.516129032258064</v>
      </c>
      <c r="BH50" s="2">
        <f t="shared" si="22"/>
        <v>0</v>
      </c>
      <c r="BI50" s="2">
        <f t="shared" si="23"/>
        <v>0</v>
      </c>
      <c r="BJ50" s="2">
        <f t="shared" si="24"/>
        <v>0</v>
      </c>
      <c r="BK50" s="2">
        <v>2</v>
      </c>
      <c r="BL50" s="2">
        <v>2</v>
      </c>
      <c r="BM50" s="2">
        <f t="shared" si="25"/>
        <v>14</v>
      </c>
      <c r="BN50" s="2">
        <f t="shared" si="26"/>
        <v>4</v>
      </c>
      <c r="BO50" s="2">
        <f t="shared" si="6"/>
        <v>42</v>
      </c>
      <c r="BP50" s="2">
        <f t="shared" si="27"/>
        <v>28</v>
      </c>
      <c r="BQ50" s="2">
        <f t="shared" si="8"/>
        <v>16</v>
      </c>
      <c r="BR50" s="2">
        <f t="shared" si="28"/>
        <v>8</v>
      </c>
      <c r="BS50" s="3">
        <v>3.4</v>
      </c>
      <c r="BT50" s="3">
        <v>2</v>
      </c>
      <c r="BU50" s="3">
        <v>2.5</v>
      </c>
      <c r="BV50">
        <f>F50-F49</f>
        <v>7</v>
      </c>
      <c r="BW50" s="2" t="str">
        <f>CONCATENATE(
ROUND(BS50*VLOOKUP(I50,'ID Scheme'!$A$2:$E$7,3),0), "x",
ROUND(BT50*VLOOKUP(I50,'ID Scheme'!$A$2:$E$7,5),0), "x",
ROUND(BU50*VLOOKUP(I50,'ID Scheme'!$A$2:$E$7,4),0))</f>
        <v>32x29x24</v>
      </c>
    </row>
    <row r="51" spans="1:76" x14ac:dyDescent="0.25">
      <c r="A51" t="s">
        <v>60</v>
      </c>
      <c r="B51" t="s">
        <v>220</v>
      </c>
      <c r="C51" t="s">
        <v>339</v>
      </c>
      <c r="D51">
        <f>IF(F51 &gt; 2020, ((F51-2020)*4)+1610+H51,IF(F51 &gt; 1900, ((F51-1900)*10)+400+H51, ((F51-1730)*2)+H51))+VLOOKUP(I51,'ID Scheme'!$A$2:$B$7,2, FALSE)</f>
        <v>3281</v>
      </c>
      <c r="F51">
        <v>1928</v>
      </c>
      <c r="G51">
        <v>1</v>
      </c>
      <c r="H51">
        <v>1</v>
      </c>
      <c r="I51" t="s">
        <v>13</v>
      </c>
      <c r="J51" t="s">
        <v>547</v>
      </c>
      <c r="K51">
        <v>37</v>
      </c>
      <c r="L51">
        <v>20</v>
      </c>
      <c r="M51">
        <v>16</v>
      </c>
      <c r="N51">
        <v>5</v>
      </c>
      <c r="O51">
        <v>6</v>
      </c>
      <c r="P51">
        <v>100</v>
      </c>
      <c r="Q51">
        <v>20</v>
      </c>
      <c r="R51">
        <v>1.05</v>
      </c>
      <c r="S51" t="s">
        <v>298</v>
      </c>
      <c r="T51">
        <v>-3</v>
      </c>
      <c r="U51" s="2" t="s">
        <v>346</v>
      </c>
      <c r="V51" s="2" t="s">
        <v>343</v>
      </c>
      <c r="W51" s="2"/>
      <c r="X51" s="2"/>
      <c r="Y51" s="2"/>
      <c r="Z51" s="2" t="s">
        <v>343</v>
      </c>
      <c r="AA51" s="2"/>
      <c r="AB51" s="2"/>
      <c r="AC51" s="2"/>
      <c r="AD51" s="2"/>
      <c r="AE51" s="2"/>
      <c r="AH51">
        <v>15</v>
      </c>
      <c r="AI51">
        <v>6</v>
      </c>
      <c r="AJ51" s="6">
        <f t="shared" si="33"/>
        <v>12</v>
      </c>
      <c r="AK51" s="6">
        <f t="shared" si="31"/>
        <v>22</v>
      </c>
      <c r="AL51" s="6">
        <f t="shared" si="32"/>
        <v>22</v>
      </c>
      <c r="AM51" s="8">
        <f t="shared" si="29"/>
        <v>12</v>
      </c>
      <c r="AV51" t="s">
        <v>360</v>
      </c>
      <c r="BA51" s="2">
        <f>(SQRT(K51*AH51)*POWER((MIN(M51,20)+SQRT(MAX(M51-20,0))),0.9)*Data!$B$1)*(1-(R51-1))</f>
        <v>20.353511393559973</v>
      </c>
      <c r="BB51" s="2">
        <f>(POWER((K51*K51*AH51), 0.33)*LOG10(P51)*10*Data!$B$1)*R51</f>
        <v>41.725717318942067</v>
      </c>
      <c r="BC51" s="2"/>
      <c r="BD51" s="2"/>
      <c r="BE51" s="2">
        <f>IFERROR((SQRT($K51*$AI51)*POWER((MIN($M51,20)+SQRT(MAX($M51-20,0))),0.9)*Data!$B$1)*(1 - (R51-1)),BA51)</f>
        <v>12.872690877167454</v>
      </c>
      <c r="BF51" s="2">
        <f>IFERROR(((POWER(($K51*$K51*$AI51), 0.33)*LOG10($AF51)*10*Data!$B$1)*R51),BB51)</f>
        <v>41.725717318942067</v>
      </c>
      <c r="BG51" s="2">
        <f t="shared" si="21"/>
        <v>29.838709677419356</v>
      </c>
      <c r="BH51" s="2">
        <f t="shared" si="22"/>
        <v>0</v>
      </c>
      <c r="BI51" s="2">
        <f t="shared" si="23"/>
        <v>0</v>
      </c>
      <c r="BJ51" s="2">
        <f t="shared" si="24"/>
        <v>0</v>
      </c>
      <c r="BK51" s="2">
        <v>1</v>
      </c>
      <c r="BL51" s="2">
        <v>1</v>
      </c>
      <c r="BM51" s="2">
        <f t="shared" si="25"/>
        <v>15</v>
      </c>
      <c r="BN51" s="2">
        <f t="shared" si="26"/>
        <v>6</v>
      </c>
      <c r="BO51" s="2">
        <f t="shared" si="6"/>
        <v>22</v>
      </c>
      <c r="BP51" s="2">
        <f t="shared" si="27"/>
        <v>15</v>
      </c>
      <c r="BQ51" s="2">
        <f t="shared" si="8"/>
        <v>12</v>
      </c>
      <c r="BR51" s="2">
        <f t="shared" si="28"/>
        <v>6</v>
      </c>
      <c r="BS51" s="3"/>
      <c r="BT51" s="3"/>
      <c r="BU51" s="3"/>
      <c r="BV51">
        <f>F51-F50</f>
        <v>8</v>
      </c>
      <c r="BW51" s="2" t="str">
        <f>CONCATENATE(
ROUND(BS51*VLOOKUP(I51,'ID Scheme'!$A$2:$E$7,3),0), "x",
ROUND(BT51*VLOOKUP(I51,'ID Scheme'!$A$2:$E$7,5),0), "x",
ROUND(BU51*VLOOKUP(I51,'ID Scheme'!$A$2:$E$7,4),0))</f>
        <v>0x0x0</v>
      </c>
    </row>
    <row r="52" spans="1:76" x14ac:dyDescent="0.25">
      <c r="A52" t="s">
        <v>532</v>
      </c>
      <c r="B52" t="s">
        <v>533</v>
      </c>
      <c r="C52" t="s">
        <v>369</v>
      </c>
      <c r="D52">
        <f>IF(F52 &gt; 2020, ((F52-2020)*4)+1610+H52,IF(F52 &gt; 1900, ((F52-1900)*10)+400+H52, ((F52-1730)*2)+H52))+VLOOKUP(I52,'ID Scheme'!$A$2:$B$7,2, FALSE)</f>
        <v>3321</v>
      </c>
      <c r="F52">
        <v>1932</v>
      </c>
      <c r="G52">
        <v>6</v>
      </c>
      <c r="H52">
        <v>1</v>
      </c>
      <c r="I52" t="s">
        <v>13</v>
      </c>
      <c r="J52" t="s">
        <v>547</v>
      </c>
      <c r="K52">
        <v>32</v>
      </c>
      <c r="L52">
        <v>20</v>
      </c>
      <c r="M52">
        <v>15</v>
      </c>
      <c r="N52">
        <v>5</v>
      </c>
      <c r="O52">
        <v>4.5</v>
      </c>
      <c r="P52">
        <v>65</v>
      </c>
      <c r="Q52">
        <v>20</v>
      </c>
      <c r="R52">
        <v>1</v>
      </c>
      <c r="S52" t="s">
        <v>299</v>
      </c>
      <c r="T52">
        <v>-4</v>
      </c>
      <c r="U52" s="2" t="s">
        <v>534</v>
      </c>
      <c r="V52" s="2"/>
      <c r="W52" s="2"/>
      <c r="X52" s="2"/>
      <c r="Y52" s="2"/>
      <c r="Z52" s="2" t="s">
        <v>343</v>
      </c>
      <c r="AA52" s="2"/>
      <c r="AB52" s="2"/>
      <c r="AC52" s="2"/>
      <c r="AD52" s="2" t="s">
        <v>371</v>
      </c>
      <c r="AE52" s="2"/>
      <c r="AH52">
        <v>30</v>
      </c>
      <c r="AI52">
        <v>12</v>
      </c>
      <c r="AJ52" s="6">
        <f t="shared" si="33"/>
        <v>24</v>
      </c>
      <c r="AK52" s="6">
        <f t="shared" si="31"/>
        <v>45</v>
      </c>
      <c r="AL52" s="6">
        <f t="shared" si="32"/>
        <v>22</v>
      </c>
      <c r="AM52" s="8">
        <f t="shared" si="29"/>
        <v>12</v>
      </c>
      <c r="AQ52" t="s">
        <v>429</v>
      </c>
      <c r="AT52" t="s">
        <v>433</v>
      </c>
      <c r="AU52" t="s">
        <v>424</v>
      </c>
      <c r="AV52" t="s">
        <v>360</v>
      </c>
      <c r="BA52" s="2">
        <f>(SQRT(K52*AH52)*POWER((MIN(M52,20)+SQRT(MAX(M52-20,0))),0.9)*Data!$B$1)*(1-(R52-1))</f>
        <v>26.587592451565005</v>
      </c>
      <c r="BB52" s="2">
        <f>(POWER((K52*K52*AH52), 0.33)*LOG10(P52)*10*Data!$B$1)*R52</f>
        <v>41.142181123813366</v>
      </c>
      <c r="BC52" s="2"/>
      <c r="BD52" s="2"/>
      <c r="BE52" s="2">
        <f>IFERROR((SQRT($K52*$AI52)*POWER((MIN($M52,20)+SQRT(MAX($M52-20,0))),0.9)*Data!$B$1)*(1 - (R52-1)),BA52)</f>
        <v>16.815469929449083</v>
      </c>
      <c r="BF52" s="2">
        <f>IFERROR(((POWER(($K52*$K52*$AI52), 0.33)*LOG10($AF52)*10*Data!$B$1)*R52),BB52)</f>
        <v>41.142181123813366</v>
      </c>
      <c r="BG52" s="2">
        <f t="shared" si="21"/>
        <v>25.806451612903228</v>
      </c>
      <c r="BH52" s="2">
        <f t="shared" si="22"/>
        <v>0</v>
      </c>
      <c r="BI52" s="2">
        <f t="shared" si="23"/>
        <v>0</v>
      </c>
      <c r="BJ52" s="2">
        <f t="shared" si="24"/>
        <v>0</v>
      </c>
      <c r="BK52" s="2">
        <v>2</v>
      </c>
      <c r="BL52" s="2">
        <v>2</v>
      </c>
      <c r="BM52" s="2">
        <f t="shared" si="25"/>
        <v>15</v>
      </c>
      <c r="BN52" s="2">
        <f t="shared" si="26"/>
        <v>6</v>
      </c>
      <c r="BO52" s="2">
        <f t="shared" si="6"/>
        <v>45</v>
      </c>
      <c r="BP52" s="2">
        <f t="shared" si="27"/>
        <v>30</v>
      </c>
      <c r="BQ52" s="2">
        <f t="shared" si="8"/>
        <v>24</v>
      </c>
      <c r="BR52" s="2">
        <f t="shared" si="28"/>
        <v>12</v>
      </c>
      <c r="BS52" s="3">
        <v>3.4</v>
      </c>
      <c r="BT52" s="3">
        <v>2</v>
      </c>
      <c r="BU52" s="3">
        <v>2.5</v>
      </c>
      <c r="BV52">
        <f>F52-F51</f>
        <v>4</v>
      </c>
      <c r="BW52" s="2" t="str">
        <f>CONCATENATE(
ROUND(BS52*VLOOKUP(I52,'ID Scheme'!$A$2:$E$7,3),0), "x",
ROUND(BT52*VLOOKUP(I52,'ID Scheme'!$A$2:$E$7,5),0), "x",
ROUND(BU52*VLOOKUP(I52,'ID Scheme'!$A$2:$E$7,4),0))</f>
        <v>32x29x24</v>
      </c>
    </row>
    <row r="53" spans="1:76" x14ac:dyDescent="0.25">
      <c r="A53" t="s">
        <v>61</v>
      </c>
      <c r="B53" t="s">
        <v>191</v>
      </c>
      <c r="C53" t="s">
        <v>339</v>
      </c>
      <c r="D53">
        <f>IF(F53 &gt; 2020, ((F53-2020)*4)+1610+H53,IF(F53 &gt; 1900, ((F53-1900)*10)+400+H53, ((F53-1730)*2)+H53))+VLOOKUP(I53,'ID Scheme'!$A$2:$B$7,2, FALSE)</f>
        <v>3351</v>
      </c>
      <c r="F53">
        <v>1935</v>
      </c>
      <c r="G53">
        <v>1</v>
      </c>
      <c r="H53">
        <v>1</v>
      </c>
      <c r="I53" t="s">
        <v>13</v>
      </c>
      <c r="J53" t="s">
        <v>547</v>
      </c>
      <c r="K53">
        <v>29</v>
      </c>
      <c r="L53">
        <v>25</v>
      </c>
      <c r="M53">
        <v>15</v>
      </c>
      <c r="N53">
        <v>5</v>
      </c>
      <c r="O53">
        <v>7</v>
      </c>
      <c r="P53">
        <v>110</v>
      </c>
      <c r="Q53">
        <v>20</v>
      </c>
      <c r="R53">
        <v>1</v>
      </c>
      <c r="S53" t="s">
        <v>299</v>
      </c>
      <c r="T53">
        <v>3</v>
      </c>
      <c r="U53" s="2" t="s">
        <v>347</v>
      </c>
      <c r="V53" s="2" t="s">
        <v>343</v>
      </c>
      <c r="W53" s="2"/>
      <c r="X53" s="2"/>
      <c r="Y53" s="2" t="s">
        <v>343</v>
      </c>
      <c r="Z53" s="2"/>
      <c r="AA53" s="2"/>
      <c r="AB53" s="2"/>
      <c r="AC53" s="2"/>
      <c r="AD53" s="2"/>
      <c r="AE53" s="2"/>
      <c r="AH53">
        <v>24</v>
      </c>
      <c r="AI53">
        <v>15</v>
      </c>
      <c r="AJ53" s="6">
        <f t="shared" si="33"/>
        <v>30</v>
      </c>
      <c r="AK53" s="6">
        <f t="shared" si="31"/>
        <v>36</v>
      </c>
      <c r="AL53" s="6">
        <f t="shared" si="32"/>
        <v>36</v>
      </c>
      <c r="AM53" s="8">
        <f t="shared" si="29"/>
        <v>30</v>
      </c>
      <c r="AV53" t="s">
        <v>360</v>
      </c>
      <c r="BA53" s="2">
        <f>(SQRT(K53*AH53)*POWER((MIN(M53,20)+SQRT(MAX(M53-20,0))),0.9)*Data!$B$1)*(1-(R53-1))</f>
        <v>22.638519219874436</v>
      </c>
      <c r="BB53" s="2">
        <f>(POWER((K53*K53*AH53), 0.33)*LOG10(P53)*10*Data!$B$1)*R53</f>
        <v>40.331112889521961</v>
      </c>
      <c r="BC53" s="2"/>
      <c r="BD53" s="2"/>
      <c r="BE53" s="2">
        <f>IFERROR((SQRT($K53*$AI53)*POWER((MIN($M53,20)+SQRT(MAX($M53-20,0))),0.9)*Data!$B$1)*(1 - (R53-1)),BA53)</f>
        <v>17.897320897075353</v>
      </c>
      <c r="BF53" s="2">
        <f>IFERROR(((POWER(($K53*$K53*$AI53), 0.33)*LOG10($AF53)*10*Data!$B$1)*R53),BB53)</f>
        <v>40.331112889521961</v>
      </c>
      <c r="BG53" s="2">
        <f t="shared" si="21"/>
        <v>23.387096774193548</v>
      </c>
      <c r="BH53" s="2">
        <f t="shared" si="22"/>
        <v>0</v>
      </c>
      <c r="BI53" s="2">
        <f t="shared" si="23"/>
        <v>0</v>
      </c>
      <c r="BJ53" s="2">
        <f t="shared" si="24"/>
        <v>0</v>
      </c>
      <c r="BK53" s="2">
        <v>1</v>
      </c>
      <c r="BL53" s="2">
        <v>1</v>
      </c>
      <c r="BM53" s="2">
        <f t="shared" si="25"/>
        <v>24</v>
      </c>
      <c r="BN53" s="2">
        <f t="shared" si="26"/>
        <v>15</v>
      </c>
      <c r="BO53" s="2">
        <f t="shared" si="6"/>
        <v>36</v>
      </c>
      <c r="BP53" s="2">
        <f t="shared" si="27"/>
        <v>24</v>
      </c>
      <c r="BQ53" s="2">
        <f t="shared" si="8"/>
        <v>30</v>
      </c>
      <c r="BR53" s="2">
        <f t="shared" si="28"/>
        <v>15</v>
      </c>
      <c r="BS53" s="3"/>
      <c r="BT53" s="3"/>
      <c r="BU53" s="3"/>
      <c r="BV53">
        <f>F53-F52</f>
        <v>3</v>
      </c>
      <c r="BW53" s="2" t="str">
        <f>CONCATENATE(
ROUND(BS53*VLOOKUP(I53,'ID Scheme'!$A$2:$E$7,3),0), "x",
ROUND(BT53*VLOOKUP(I53,'ID Scheme'!$A$2:$E$7,5),0), "x",
ROUND(BU53*VLOOKUP(I53,'ID Scheme'!$A$2:$E$7,4),0))</f>
        <v>0x0x0</v>
      </c>
    </row>
    <row r="54" spans="1:76" x14ac:dyDescent="0.25">
      <c r="A54" t="s">
        <v>0</v>
      </c>
      <c r="B54" t="s">
        <v>208</v>
      </c>
      <c r="C54" t="s">
        <v>339</v>
      </c>
      <c r="D54">
        <f>IF(F54 &gt; 2020, ((F54-2020)*4)+1610+H54,IF(F54 &gt; 1900, ((F54-1900)*10)+400+H54, ((F54-1730)*2)+H54))+VLOOKUP(I54,'ID Scheme'!$A$2:$B$7,2, FALSE)</f>
        <v>3361</v>
      </c>
      <c r="F54">
        <v>1936</v>
      </c>
      <c r="G54">
        <v>1</v>
      </c>
      <c r="H54">
        <v>1</v>
      </c>
      <c r="I54" t="s">
        <v>13</v>
      </c>
      <c r="J54" t="s">
        <v>547</v>
      </c>
      <c r="K54">
        <v>37</v>
      </c>
      <c r="L54">
        <v>20</v>
      </c>
      <c r="M54">
        <v>15</v>
      </c>
      <c r="N54">
        <v>5</v>
      </c>
      <c r="O54">
        <v>5.5</v>
      </c>
      <c r="P54">
        <v>70</v>
      </c>
      <c r="Q54">
        <v>20</v>
      </c>
      <c r="R54">
        <v>1</v>
      </c>
      <c r="S54" t="s">
        <v>299</v>
      </c>
      <c r="T54">
        <v>2</v>
      </c>
      <c r="U54" s="2" t="s">
        <v>348</v>
      </c>
      <c r="V54" s="2" t="s">
        <v>343</v>
      </c>
      <c r="W54" s="2"/>
      <c r="X54" s="2"/>
      <c r="Y54" s="2"/>
      <c r="Z54" s="2" t="s">
        <v>343</v>
      </c>
      <c r="AA54" s="2"/>
      <c r="AB54" s="2" t="s">
        <v>343</v>
      </c>
      <c r="AC54" s="2"/>
      <c r="AD54" s="2"/>
      <c r="AE54" s="2"/>
      <c r="AH54">
        <v>20</v>
      </c>
      <c r="AI54">
        <v>12</v>
      </c>
      <c r="AJ54" s="6">
        <f t="shared" si="33"/>
        <v>24</v>
      </c>
      <c r="AK54" s="6">
        <f t="shared" si="31"/>
        <v>30</v>
      </c>
      <c r="AL54" s="6">
        <f t="shared" si="32"/>
        <v>30</v>
      </c>
      <c r="AM54" s="8">
        <f t="shared" si="29"/>
        <v>24</v>
      </c>
      <c r="AV54" t="s">
        <v>360</v>
      </c>
      <c r="BA54" s="2">
        <f>(SQRT(K54*AH54)*POWER((MIN(M54,20)+SQRT(MAX(M54-20,0))),0.9)*Data!$B$1)*(1-(R54-1))</f>
        <v>23.343139015970831</v>
      </c>
      <c r="BB54" s="2">
        <f>(POWER((K54*K54*AH54), 0.33)*LOG10(P54)*10*Data!$B$1)*R54</f>
        <v>40.311944493951287</v>
      </c>
      <c r="BC54" s="2"/>
      <c r="BD54" s="2"/>
      <c r="BE54" s="2">
        <f>IFERROR((SQRT($K54*$AI54)*POWER((MIN($M54,20)+SQRT(MAX($M54-20,0))),0.9)*Data!$B$1)*(1 - (R54-1)),BA54)</f>
        <v>18.081517731411921</v>
      </c>
      <c r="BF54" s="2">
        <f>IFERROR(((POWER(($K54*$K54*$AI54), 0.33)*LOG10($AF54)*10*Data!$B$1)*R54),BB54)</f>
        <v>40.311944493951287</v>
      </c>
      <c r="BG54" s="2">
        <f t="shared" si="21"/>
        <v>29.838709677419356</v>
      </c>
      <c r="BH54" s="2">
        <f t="shared" si="22"/>
        <v>0</v>
      </c>
      <c r="BI54" s="2">
        <f t="shared" si="23"/>
        <v>0</v>
      </c>
      <c r="BJ54" s="2">
        <f t="shared" si="24"/>
        <v>0</v>
      </c>
      <c r="BK54" s="2">
        <v>1</v>
      </c>
      <c r="BL54" s="2">
        <v>1</v>
      </c>
      <c r="BM54" s="2">
        <f t="shared" si="25"/>
        <v>20</v>
      </c>
      <c r="BN54" s="2">
        <f t="shared" si="26"/>
        <v>12</v>
      </c>
      <c r="BO54" s="2">
        <f t="shared" si="6"/>
        <v>30</v>
      </c>
      <c r="BP54" s="2">
        <f t="shared" si="27"/>
        <v>20</v>
      </c>
      <c r="BQ54" s="2">
        <f t="shared" si="8"/>
        <v>24</v>
      </c>
      <c r="BR54" s="2">
        <f t="shared" si="28"/>
        <v>12</v>
      </c>
      <c r="BS54" s="3"/>
      <c r="BT54" s="3"/>
      <c r="BU54" s="3"/>
      <c r="BV54">
        <f>F54-F53</f>
        <v>1</v>
      </c>
      <c r="BW54" s="2" t="str">
        <f>CONCATENATE(
ROUND(BS54*VLOOKUP(I54,'ID Scheme'!$A$2:$E$7,3),0), "x",
ROUND(BT54*VLOOKUP(I54,'ID Scheme'!$A$2:$E$7,5),0), "x",
ROUND(BU54*VLOOKUP(I54,'ID Scheme'!$A$2:$E$7,4),0))</f>
        <v>0x0x0</v>
      </c>
    </row>
    <row r="55" spans="1:76" x14ac:dyDescent="0.25">
      <c r="A55" t="s">
        <v>72</v>
      </c>
      <c r="B55" t="s">
        <v>219</v>
      </c>
      <c r="C55" t="s">
        <v>477</v>
      </c>
      <c r="D55">
        <f>IF(F55 &gt; 2020, ((F55-2020)*4)+1610+H55,IF(F55 &gt; 1900, ((F55-1900)*10)+400+H55, ((F55-1730)*2)+H55))+VLOOKUP(I55,'ID Scheme'!$A$2:$B$7,2, FALSE)</f>
        <v>3481</v>
      </c>
      <c r="F55">
        <v>1948</v>
      </c>
      <c r="G55">
        <v>1</v>
      </c>
      <c r="H55">
        <v>1</v>
      </c>
      <c r="I55" t="s">
        <v>13</v>
      </c>
      <c r="J55" t="s">
        <v>547</v>
      </c>
      <c r="K55">
        <v>43</v>
      </c>
      <c r="L55">
        <v>20</v>
      </c>
      <c r="M55">
        <v>25</v>
      </c>
      <c r="N55">
        <v>5</v>
      </c>
      <c r="O55">
        <v>1.5</v>
      </c>
      <c r="P55">
        <v>35</v>
      </c>
      <c r="Q55">
        <v>20</v>
      </c>
      <c r="R55">
        <v>1</v>
      </c>
      <c r="S55" t="s">
        <v>299</v>
      </c>
      <c r="T55">
        <v>-4</v>
      </c>
      <c r="U55" s="2" t="s">
        <v>476</v>
      </c>
      <c r="V55" s="2"/>
      <c r="W55" s="2"/>
      <c r="X55" s="2"/>
      <c r="Y55" s="2"/>
      <c r="Z55" s="2"/>
      <c r="AA55" s="2"/>
      <c r="AB55" s="2"/>
      <c r="AC55" s="2"/>
      <c r="AD55" t="s">
        <v>481</v>
      </c>
      <c r="AE55" s="2"/>
      <c r="AH55">
        <v>10</v>
      </c>
      <c r="AI55">
        <v>4</v>
      </c>
      <c r="AJ55">
        <v>10</v>
      </c>
      <c r="AK55">
        <v>24</v>
      </c>
      <c r="AL55">
        <v>12</v>
      </c>
      <c r="AM55" s="8">
        <f t="shared" si="29"/>
        <v>5</v>
      </c>
      <c r="AQ55">
        <v>1</v>
      </c>
      <c r="AT55" t="s">
        <v>433</v>
      </c>
      <c r="AU55" t="s">
        <v>478</v>
      </c>
      <c r="AV55" t="s">
        <v>360</v>
      </c>
      <c r="BA55" s="2">
        <f>(SQRT(K55*AH55)*POWER((MIN(M55,20)+SQRT(MAX(M55-20,0))),0.9)*Data!$B$1)*(1-(R55-1))</f>
        <v>25.359908655720094</v>
      </c>
      <c r="BB55" s="2">
        <f>(POWER((K55*K55*AH55), 0.33)*LOG10(P55)*10*Data!$B$1)*R55</f>
        <v>29.635815274828715</v>
      </c>
      <c r="BC55" s="2"/>
      <c r="BD55" s="2"/>
      <c r="BE55" s="2">
        <f>IFERROR((SQRT($K55*$AI55)*POWER((MIN($M55,20)+SQRT(MAX($M55-20,0))),0.9)*Data!$B$1)*(1 - (R55-1)),BA55)</f>
        <v>16.039014521178874</v>
      </c>
      <c r="BF55" s="2">
        <f>IFERROR(((POWER(($K55*$K55*$AI55), 0.33)*LOG10($AF55)*10*Data!$B$1)*R55),BB55)</f>
        <v>29.635815274828715</v>
      </c>
      <c r="BG55" s="2">
        <f t="shared" si="21"/>
        <v>34.677419354838712</v>
      </c>
      <c r="BH55" s="2">
        <f t="shared" si="22"/>
        <v>0</v>
      </c>
      <c r="BI55" s="2">
        <f t="shared" si="23"/>
        <v>0</v>
      </c>
      <c r="BJ55" s="2">
        <f t="shared" si="24"/>
        <v>0</v>
      </c>
      <c r="BK55" s="2">
        <v>2</v>
      </c>
      <c r="BL55" s="2">
        <v>2</v>
      </c>
      <c r="BM55" s="2">
        <f t="shared" si="25"/>
        <v>5</v>
      </c>
      <c r="BN55" s="2">
        <f t="shared" si="26"/>
        <v>2</v>
      </c>
      <c r="BO55" s="2">
        <f t="shared" si="6"/>
        <v>24</v>
      </c>
      <c r="BP55" s="2">
        <f t="shared" si="27"/>
        <v>10</v>
      </c>
      <c r="BQ55" s="2">
        <f t="shared" si="8"/>
        <v>10</v>
      </c>
      <c r="BR55" s="2">
        <f t="shared" si="28"/>
        <v>4</v>
      </c>
      <c r="BU55" s="3"/>
      <c r="BV55">
        <f>F55-F53</f>
        <v>13</v>
      </c>
      <c r="BW55" s="2" t="str">
        <f>CONCATENATE(
ROUND(BS55*VLOOKUP(I55,'ID Scheme'!$A$2:$E$7,3),0), "x",
ROUND(BT55*VLOOKUP(I55,'ID Scheme'!$A$2:$E$7,5),0), "x",
ROUND(BU55*VLOOKUP(I55,'ID Scheme'!$A$2:$E$7,4),0))</f>
        <v>0x0x0</v>
      </c>
    </row>
    <row r="56" spans="1:76" x14ac:dyDescent="0.25">
      <c r="A56" t="s">
        <v>1</v>
      </c>
      <c r="B56" t="s">
        <v>210</v>
      </c>
      <c r="C56" t="s">
        <v>339</v>
      </c>
      <c r="D56">
        <f>IF(F56 &gt; 2020, ((F56-2020)*4)+1610+H56,IF(F56 &gt; 1900, ((F56-1900)*10)+400+H56, ((F56-1730)*2)+H56))+VLOOKUP(I56,'ID Scheme'!$A$2:$B$7,2, FALSE)</f>
        <v>3521</v>
      </c>
      <c r="F56">
        <v>1952</v>
      </c>
      <c r="G56">
        <v>1</v>
      </c>
      <c r="H56">
        <v>1</v>
      </c>
      <c r="I56" t="s">
        <v>13</v>
      </c>
      <c r="J56" t="s">
        <v>547</v>
      </c>
      <c r="K56">
        <v>38</v>
      </c>
      <c r="L56">
        <v>25</v>
      </c>
      <c r="M56">
        <v>15</v>
      </c>
      <c r="N56">
        <v>5</v>
      </c>
      <c r="O56">
        <v>7.5</v>
      </c>
      <c r="P56">
        <v>100</v>
      </c>
      <c r="Q56">
        <v>20</v>
      </c>
      <c r="R56">
        <v>1</v>
      </c>
      <c r="S56" t="s">
        <v>299</v>
      </c>
      <c r="T56">
        <v>3</v>
      </c>
      <c r="U56" s="2" t="s">
        <v>349</v>
      </c>
      <c r="V56" s="2" t="s">
        <v>343</v>
      </c>
      <c r="W56" s="2"/>
      <c r="X56" s="2"/>
      <c r="Y56" s="2" t="s">
        <v>343</v>
      </c>
      <c r="Z56" s="2"/>
      <c r="AA56" s="2"/>
      <c r="AB56" s="2"/>
      <c r="AC56" s="2"/>
      <c r="AD56" s="2"/>
      <c r="AE56" s="2"/>
      <c r="AH56">
        <v>25</v>
      </c>
      <c r="AI56">
        <v>18</v>
      </c>
      <c r="AJ56" s="6">
        <f t="shared" ref="AJ56:AJ81" si="34">AI56*2</f>
        <v>36</v>
      </c>
      <c r="AK56" s="6">
        <f>(AH56*1.5)-MOD((AH56*1.5), BK55)</f>
        <v>36</v>
      </c>
      <c r="AL56" s="6">
        <f>(BM56*1.5)-MOD((BM56*1.5), BL56)</f>
        <v>37</v>
      </c>
      <c r="AM56" s="8">
        <f t="shared" si="29"/>
        <v>36</v>
      </c>
      <c r="AV56" t="s">
        <v>360</v>
      </c>
      <c r="BA56" s="2">
        <f>(SQRT(K56*AH56)*POWER((MIN(M56,20)+SQRT(MAX(M56-20,0))),0.9)*Data!$B$1)*(1-(R56-1))</f>
        <v>26.448752899711359</v>
      </c>
      <c r="BB56" s="2">
        <f>(POWER((K56*K56*AH56), 0.33)*LOG10(P56)*10*Data!$B$1)*R56</f>
        <v>47.870574076263431</v>
      </c>
      <c r="BC56" s="2"/>
      <c r="BD56" s="2"/>
      <c r="BE56" s="2">
        <f>IFERROR((SQRT($K56*$AI56)*POWER((MIN($M56,20)+SQRT(MAX($M56-20,0))),0.9)*Data!$B$1)*(1 - (R56-1)),BA56)</f>
        <v>22.442511035175919</v>
      </c>
      <c r="BF56" s="2">
        <f>IFERROR(((POWER(($K56*$K56*$AI56), 0.33)*LOG10($AF56)*10*Data!$B$1)*R56),BB56)</f>
        <v>47.870574076263431</v>
      </c>
      <c r="BG56" s="2">
        <f t="shared" si="21"/>
        <v>30.64516129032258</v>
      </c>
      <c r="BH56" s="2">
        <f t="shared" si="22"/>
        <v>0</v>
      </c>
      <c r="BI56" s="2">
        <f t="shared" si="23"/>
        <v>0</v>
      </c>
      <c r="BJ56" s="2">
        <f t="shared" si="24"/>
        <v>0</v>
      </c>
      <c r="BK56" s="2">
        <v>1</v>
      </c>
      <c r="BL56" s="2">
        <v>1</v>
      </c>
      <c r="BM56" s="2">
        <f t="shared" si="25"/>
        <v>25</v>
      </c>
      <c r="BN56" s="2">
        <f t="shared" si="26"/>
        <v>18</v>
      </c>
      <c r="BO56" s="2">
        <f t="shared" si="6"/>
        <v>36</v>
      </c>
      <c r="BP56" s="2">
        <f t="shared" si="27"/>
        <v>25</v>
      </c>
      <c r="BQ56" s="2">
        <f t="shared" si="8"/>
        <v>36</v>
      </c>
      <c r="BR56" s="2">
        <f t="shared" si="28"/>
        <v>18</v>
      </c>
      <c r="BS56" s="3"/>
      <c r="BT56" s="3"/>
      <c r="BU56" s="3"/>
      <c r="BV56">
        <f>F56-F55</f>
        <v>4</v>
      </c>
      <c r="BW56" s="2" t="str">
        <f>CONCATENATE(
ROUND(BS56*VLOOKUP(I56,'ID Scheme'!$A$2:$E$7,3),0), "x",
ROUND(BT56*VLOOKUP(I56,'ID Scheme'!$A$2:$E$7,5),0), "x",
ROUND(BU56*VLOOKUP(I56,'ID Scheme'!$A$2:$E$7,4),0))</f>
        <v>0x0x0</v>
      </c>
    </row>
    <row r="57" spans="1:76" x14ac:dyDescent="0.25">
      <c r="A57" t="s">
        <v>4</v>
      </c>
      <c r="B57" t="s">
        <v>200</v>
      </c>
      <c r="C57" t="s">
        <v>339</v>
      </c>
      <c r="D57">
        <f>IF(F57 &gt; 2020, ((F57-2020)*4)+1610+H57,IF(F57 &gt; 1900, ((F57-1900)*10)+400+H57, ((F57-1730)*2)+H57))+VLOOKUP(I57,'ID Scheme'!$A$2:$B$7,2, FALSE)</f>
        <v>3571</v>
      </c>
      <c r="F57">
        <v>1957</v>
      </c>
      <c r="G57">
        <v>1</v>
      </c>
      <c r="H57">
        <v>1</v>
      </c>
      <c r="I57" t="s">
        <v>13</v>
      </c>
      <c r="J57" t="s">
        <v>547</v>
      </c>
      <c r="K57">
        <v>44</v>
      </c>
      <c r="L57">
        <v>20</v>
      </c>
      <c r="M57">
        <v>15</v>
      </c>
      <c r="N57">
        <v>5</v>
      </c>
      <c r="O57">
        <v>6.5</v>
      </c>
      <c r="P57">
        <v>110</v>
      </c>
      <c r="Q57">
        <v>20</v>
      </c>
      <c r="R57">
        <v>1</v>
      </c>
      <c r="S57" t="s">
        <v>299</v>
      </c>
      <c r="T57">
        <v>2</v>
      </c>
      <c r="U57" s="2" t="s">
        <v>350</v>
      </c>
      <c r="V57" s="2" t="s">
        <v>343</v>
      </c>
      <c r="W57" s="2" t="s">
        <v>343</v>
      </c>
      <c r="X57" s="2"/>
      <c r="Y57" s="2" t="s">
        <v>343</v>
      </c>
      <c r="Z57" s="2"/>
      <c r="AA57" s="2"/>
      <c r="AB57" s="2"/>
      <c r="AC57" s="2"/>
      <c r="AD57" s="2"/>
      <c r="AE57" s="2"/>
      <c r="AH57">
        <v>21</v>
      </c>
      <c r="AI57">
        <v>16</v>
      </c>
      <c r="AJ57" s="6">
        <f t="shared" si="34"/>
        <v>32</v>
      </c>
      <c r="AK57" s="6">
        <f>(AH57*1.5)-MOD((AH57*1.5), BK56)</f>
        <v>31</v>
      </c>
      <c r="AL57" s="6">
        <f>(BM57*1.5)-MOD((BM57*1.5), BL57)</f>
        <v>31</v>
      </c>
      <c r="AM57" s="8">
        <f t="shared" si="29"/>
        <v>32</v>
      </c>
      <c r="AV57" t="s">
        <v>360</v>
      </c>
      <c r="BA57" s="2">
        <f>(SQRT(K57*AH57)*POWER((MIN(M57,20)+SQRT(MAX(M57-20,0))),0.9)*Data!$B$1)*(1-(R57-1))</f>
        <v>26.084311753554509</v>
      </c>
      <c r="BB57" s="2">
        <f>(POWER((K57*K57*AH57), 0.33)*LOG10(P57)*10*Data!$B$1)*R57</f>
        <v>50.815821559497905</v>
      </c>
      <c r="BC57" s="2"/>
      <c r="BD57" s="2"/>
      <c r="BE57" s="2">
        <f>IFERROR((SQRT($K57*$AI57)*POWER((MIN($M57,20)+SQRT(MAX($M57-20,0))),0.9)*Data!$B$1)*(1 - (R57-1)),BA57)</f>
        <v>22.768253916474254</v>
      </c>
      <c r="BF57" s="2">
        <f>IFERROR(((POWER(($K57*$K57*$AI57), 0.33)*LOG10($AF57)*10*Data!$B$1)*R57),BB57)</f>
        <v>50.815821559497905</v>
      </c>
      <c r="BG57" s="2">
        <f t="shared" si="21"/>
        <v>35.483870967741936</v>
      </c>
      <c r="BH57" s="2">
        <f t="shared" si="22"/>
        <v>0</v>
      </c>
      <c r="BI57" s="2">
        <f t="shared" si="23"/>
        <v>0</v>
      </c>
      <c r="BJ57" s="2">
        <f t="shared" si="24"/>
        <v>0</v>
      </c>
      <c r="BK57" s="2">
        <v>1</v>
      </c>
      <c r="BL57" s="2">
        <v>1</v>
      </c>
      <c r="BM57" s="2">
        <f t="shared" si="25"/>
        <v>21</v>
      </c>
      <c r="BN57" s="2">
        <f t="shared" si="26"/>
        <v>16</v>
      </c>
      <c r="BO57" s="2">
        <f t="shared" si="6"/>
        <v>31</v>
      </c>
      <c r="BP57" s="2">
        <f t="shared" si="27"/>
        <v>21</v>
      </c>
      <c r="BQ57" s="2">
        <f t="shared" si="8"/>
        <v>32</v>
      </c>
      <c r="BR57" s="2">
        <f t="shared" si="28"/>
        <v>16</v>
      </c>
      <c r="BS57" s="3"/>
      <c r="BT57" s="3"/>
      <c r="BU57" s="3"/>
      <c r="BV57">
        <f>F57-F56</f>
        <v>5</v>
      </c>
      <c r="BW57" s="2" t="str">
        <f>CONCATENATE(
ROUND(BS57*VLOOKUP(I57,'ID Scheme'!$A$2:$E$7,3),0), "x",
ROUND(BT57*VLOOKUP(I57,'ID Scheme'!$A$2:$E$7,5),0), "x",
ROUND(BU57*VLOOKUP(I57,'ID Scheme'!$A$2:$E$7,4),0))</f>
        <v>0x0x0</v>
      </c>
    </row>
    <row r="58" spans="1:76" x14ac:dyDescent="0.25">
      <c r="A58" t="s">
        <v>74</v>
      </c>
      <c r="B58" t="s">
        <v>193</v>
      </c>
      <c r="C58" t="s">
        <v>339</v>
      </c>
      <c r="D58">
        <f>IF(F58 &gt; 2020, ((F58-2020)*4)+1610+H58,IF(F58 &gt; 1900, ((F58-1900)*10)+400+H58, ((F58-1730)*2)+H58))+VLOOKUP(I58,'ID Scheme'!$A$2:$B$7,2, FALSE)</f>
        <v>3591</v>
      </c>
      <c r="F58">
        <v>1959</v>
      </c>
      <c r="G58">
        <v>1</v>
      </c>
      <c r="H58">
        <v>1</v>
      </c>
      <c r="I58" t="s">
        <v>13</v>
      </c>
      <c r="J58" t="s">
        <v>547</v>
      </c>
      <c r="K58">
        <v>58</v>
      </c>
      <c r="L58">
        <v>30</v>
      </c>
      <c r="M58">
        <v>20</v>
      </c>
      <c r="N58">
        <v>5</v>
      </c>
      <c r="O58">
        <v>3</v>
      </c>
      <c r="P58">
        <v>72</v>
      </c>
      <c r="Q58">
        <v>20</v>
      </c>
      <c r="R58">
        <v>1</v>
      </c>
      <c r="S58" t="s">
        <v>299</v>
      </c>
      <c r="T58">
        <v>0</v>
      </c>
      <c r="U58" s="2" t="s">
        <v>351</v>
      </c>
      <c r="V58" s="2" t="s">
        <v>343</v>
      </c>
      <c r="W58" s="2" t="s">
        <v>343</v>
      </c>
      <c r="X58" s="2"/>
      <c r="Y58" s="2" t="s">
        <v>343</v>
      </c>
      <c r="Z58" s="2"/>
      <c r="AA58" s="2"/>
      <c r="AB58" s="2"/>
      <c r="AC58" s="2"/>
      <c r="AD58" s="2"/>
      <c r="AE58" s="2"/>
      <c r="AH58">
        <v>16</v>
      </c>
      <c r="AI58">
        <v>4</v>
      </c>
      <c r="AJ58" s="7">
        <f>AI58*4</f>
        <v>16</v>
      </c>
      <c r="AK58" s="7">
        <f>(AH58*1.75)-MOD((AH58*1.75), BK58)</f>
        <v>28</v>
      </c>
      <c r="AL58" s="7">
        <f>(BM58*1.75)-MOD((BM58*1.75), BL58)</f>
        <v>28</v>
      </c>
      <c r="AM58" s="8">
        <f t="shared" si="29"/>
        <v>16</v>
      </c>
      <c r="AV58" t="s">
        <v>360</v>
      </c>
      <c r="BA58" s="2">
        <f>(SQRT(K58*AH58)*POWER((MIN(M58,20)+SQRT(MAX(M58-20,0))),0.9)*Data!$B$1)*(1-(R58-1))</f>
        <v>33.865870832027731</v>
      </c>
      <c r="BB58" s="2">
        <f>(POWER((K58*K58*AH58), 0.33)*LOG10(P58)*10*Data!$B$1)*R58</f>
        <v>50.719269605559212</v>
      </c>
      <c r="BC58" s="2"/>
      <c r="BD58" s="2"/>
      <c r="BE58" s="2">
        <f>IFERROR((SQRT($K58*$AI58)*POWER((MIN($M58,20)+SQRT(MAX($M58-20,0))),0.9)*Data!$B$1)*(1 - (R58-1)),BA58)</f>
        <v>16.932935416013866</v>
      </c>
      <c r="BF58" s="2">
        <f>IFERROR(((POWER(($K58*$K58*$AI58), 0.33)*LOG10($AF58)*10*Data!$B$1)*R58),BB58)</f>
        <v>50.719269605559212</v>
      </c>
      <c r="BG58" s="2">
        <f t="shared" si="21"/>
        <v>46.774193548387096</v>
      </c>
      <c r="BH58" s="2">
        <f t="shared" si="22"/>
        <v>0</v>
      </c>
      <c r="BI58" s="2">
        <f t="shared" si="23"/>
        <v>0</v>
      </c>
      <c r="BJ58" s="2">
        <f t="shared" si="24"/>
        <v>0</v>
      </c>
      <c r="BK58" s="2">
        <v>1</v>
      </c>
      <c r="BL58" s="2">
        <v>1</v>
      </c>
      <c r="BM58" s="2">
        <f t="shared" si="25"/>
        <v>16</v>
      </c>
      <c r="BN58" s="2">
        <f t="shared" si="26"/>
        <v>4</v>
      </c>
      <c r="BO58" s="2">
        <f t="shared" si="6"/>
        <v>28</v>
      </c>
      <c r="BP58" s="2">
        <f t="shared" si="27"/>
        <v>16</v>
      </c>
      <c r="BQ58" s="2">
        <f t="shared" si="8"/>
        <v>16</v>
      </c>
      <c r="BR58" s="2">
        <f t="shared" si="28"/>
        <v>4</v>
      </c>
      <c r="BS58" s="3">
        <v>6.2</v>
      </c>
      <c r="BT58" s="3">
        <v>2.2000000000000002</v>
      </c>
      <c r="BU58" s="3">
        <v>2.6</v>
      </c>
      <c r="BV58">
        <f>F58-F57</f>
        <v>2</v>
      </c>
      <c r="BW58" s="2" t="str">
        <f>CONCATENATE(
ROUND(BS58*VLOOKUP(I58,'ID Scheme'!$A$2:$E$7,3),0), "x",
ROUND(BT58*VLOOKUP(I58,'ID Scheme'!$A$2:$E$7,5),0), "x",
ROUND(BU58*VLOOKUP(I58,'ID Scheme'!$A$2:$E$7,4),0))</f>
        <v>58x32x25</v>
      </c>
      <c r="BX58" t="s">
        <v>81</v>
      </c>
    </row>
    <row r="59" spans="1:76" x14ac:dyDescent="0.25">
      <c r="A59" t="s">
        <v>535</v>
      </c>
      <c r="B59" t="s">
        <v>536</v>
      </c>
      <c r="C59" t="s">
        <v>537</v>
      </c>
      <c r="D59">
        <f>IF(F59 &gt; 2020, ((F59-2020)*4)+1610+H59,IF(F59 &gt; 1900, ((F59-1900)*10)+400+H59, ((F59-1730)*2)+H59))+VLOOKUP(I59,'ID Scheme'!$A$2:$B$7,2, FALSE)</f>
        <v>3581</v>
      </c>
      <c r="F59">
        <v>1958</v>
      </c>
      <c r="G59">
        <v>2</v>
      </c>
      <c r="H59">
        <v>1</v>
      </c>
      <c r="I59" t="s">
        <v>13</v>
      </c>
      <c r="J59" t="s">
        <v>547</v>
      </c>
      <c r="K59">
        <v>52</v>
      </c>
      <c r="L59">
        <v>10</v>
      </c>
      <c r="M59">
        <v>15</v>
      </c>
      <c r="N59">
        <v>5</v>
      </c>
      <c r="O59">
        <v>8</v>
      </c>
      <c r="P59">
        <v>200</v>
      </c>
      <c r="Q59">
        <v>20</v>
      </c>
      <c r="R59">
        <v>1</v>
      </c>
      <c r="S59" t="s">
        <v>299</v>
      </c>
      <c r="T59">
        <v>3</v>
      </c>
      <c r="U59" s="2" t="s">
        <v>538</v>
      </c>
      <c r="V59" s="2"/>
      <c r="W59" s="2"/>
      <c r="X59" s="2"/>
      <c r="Y59" s="2"/>
      <c r="Z59" s="2"/>
      <c r="AA59" s="2"/>
      <c r="AB59" s="2"/>
      <c r="AC59" s="2"/>
      <c r="AD59" s="2"/>
      <c r="AE59" s="2"/>
      <c r="AH59">
        <v>22</v>
      </c>
      <c r="AI59">
        <v>18</v>
      </c>
      <c r="AJ59" s="6">
        <f t="shared" si="34"/>
        <v>36</v>
      </c>
      <c r="AK59" s="6">
        <f>(AH59*1.5)-MOD((AH59*1.5), BK58)</f>
        <v>33</v>
      </c>
      <c r="AL59" s="6">
        <f t="shared" ref="AL59:AL63" si="35">(BM59*1.5)-MOD((BM59*1.5), BL59)</f>
        <v>33</v>
      </c>
      <c r="AM59" s="8">
        <f t="shared" si="29"/>
        <v>36</v>
      </c>
      <c r="AV59" t="s">
        <v>360</v>
      </c>
      <c r="BA59" s="2">
        <f>(SQRT(K59*AH59)*POWER((MIN(M59,20)+SQRT(MAX(M59-20,0))),0.9)*Data!$B$1)*(1-(R59-1))</f>
        <v>29.023942752634394</v>
      </c>
      <c r="BB59" s="2">
        <f>(POWER((K59*K59*AH59), 0.33)*LOG10(P59)*10*Data!$B$1)*R59</f>
        <v>64.944927291155707</v>
      </c>
      <c r="BC59" s="2"/>
      <c r="BD59" s="2"/>
      <c r="BE59" s="2">
        <f>IFERROR((SQRT($K59*$AI59)*POWER((MIN($M59,20)+SQRT(MAX($M59-20,0))),0.9)*Data!$B$1)*(1 - (R59-1)),BA59)</f>
        <v>26.253144012884501</v>
      </c>
      <c r="BF59" s="2">
        <f>IFERROR(((POWER(($K59*$K59*$AI59), 0.33)*LOG10($AF59)*10*Data!$B$1)*R59),BB59)</f>
        <v>64.944927291155707</v>
      </c>
      <c r="BG59" s="2">
        <f t="shared" si="21"/>
        <v>41.935483870967744</v>
      </c>
      <c r="BH59" s="2">
        <f t="shared" si="22"/>
        <v>0</v>
      </c>
      <c r="BI59" s="2">
        <f t="shared" si="23"/>
        <v>0</v>
      </c>
      <c r="BJ59" s="2">
        <f t="shared" si="24"/>
        <v>0</v>
      </c>
      <c r="BK59" s="2">
        <v>1</v>
      </c>
      <c r="BL59" s="2">
        <v>1</v>
      </c>
      <c r="BM59" s="2">
        <f t="shared" si="25"/>
        <v>22</v>
      </c>
      <c r="BN59" s="2">
        <f t="shared" si="26"/>
        <v>18</v>
      </c>
      <c r="BO59" s="2">
        <f t="shared" si="6"/>
        <v>33</v>
      </c>
      <c r="BP59" s="2">
        <f t="shared" si="27"/>
        <v>22</v>
      </c>
      <c r="BQ59" s="2">
        <f t="shared" si="8"/>
        <v>36</v>
      </c>
      <c r="BR59" s="2">
        <f t="shared" si="28"/>
        <v>18</v>
      </c>
      <c r="BS59" s="3"/>
      <c r="BT59" s="3"/>
      <c r="BU59" s="3"/>
      <c r="BV59">
        <f>F59-F57</f>
        <v>1</v>
      </c>
      <c r="BW59" s="2" t="str">
        <f>CONCATENATE(
ROUND(BS59*VLOOKUP(I59,'ID Scheme'!$A$2:$E$7,3),0), "x",
ROUND(BT59*VLOOKUP(I59,'ID Scheme'!$A$2:$E$7,5),0), "x",
ROUND(BU59*VLOOKUP(I59,'ID Scheme'!$A$2:$E$7,4),0))</f>
        <v>0x0x0</v>
      </c>
    </row>
    <row r="60" spans="1:76" x14ac:dyDescent="0.25">
      <c r="A60" t="s">
        <v>3</v>
      </c>
      <c r="B60" t="s">
        <v>201</v>
      </c>
      <c r="C60" t="s">
        <v>339</v>
      </c>
      <c r="D60">
        <f>IF(F60 &gt; 2020, ((F60-2020)*4)+1610+H60,IF(F60 &gt; 1900, ((F60-1900)*10)+400+H60, ((F60-1730)*2)+H60))+VLOOKUP(I60,'ID Scheme'!$A$2:$B$7,2, FALSE)</f>
        <v>3631</v>
      </c>
      <c r="F60">
        <v>1963</v>
      </c>
      <c r="G60">
        <v>1</v>
      </c>
      <c r="H60">
        <v>1</v>
      </c>
      <c r="I60" t="s">
        <v>13</v>
      </c>
      <c r="J60" t="s">
        <v>547</v>
      </c>
      <c r="K60">
        <v>48</v>
      </c>
      <c r="L60">
        <v>20</v>
      </c>
      <c r="M60">
        <v>16</v>
      </c>
      <c r="N60">
        <v>5</v>
      </c>
      <c r="O60">
        <v>7</v>
      </c>
      <c r="P60">
        <v>120</v>
      </c>
      <c r="Q60">
        <v>20</v>
      </c>
      <c r="R60">
        <v>1</v>
      </c>
      <c r="S60" t="s">
        <v>299</v>
      </c>
      <c r="T60">
        <v>3</v>
      </c>
      <c r="U60" s="2" t="s">
        <v>352</v>
      </c>
      <c r="V60" s="2" t="s">
        <v>343</v>
      </c>
      <c r="W60" s="2" t="s">
        <v>343</v>
      </c>
      <c r="X60" s="2"/>
      <c r="Y60" s="2" t="s">
        <v>343</v>
      </c>
      <c r="Z60" s="2"/>
      <c r="AA60" s="2"/>
      <c r="AB60" s="2"/>
      <c r="AC60" s="2"/>
      <c r="AD60" s="2"/>
      <c r="AE60" s="2"/>
      <c r="AH60">
        <v>24</v>
      </c>
      <c r="AI60">
        <v>18</v>
      </c>
      <c r="AJ60" s="6">
        <f t="shared" si="34"/>
        <v>36</v>
      </c>
      <c r="AK60" s="6">
        <f>(AH60*1.5)-MOD((AH60*1.5), BK59)</f>
        <v>36</v>
      </c>
      <c r="AL60" s="6">
        <f t="shared" si="35"/>
        <v>36</v>
      </c>
      <c r="AM60" s="8">
        <f t="shared" si="29"/>
        <v>36</v>
      </c>
      <c r="AV60" t="s">
        <v>360</v>
      </c>
      <c r="BA60" s="2">
        <f>(SQRT(K60*AH60)*POWER((MIN(M60,20)+SQRT(MAX(M60-20,0))),0.9)*Data!$B$1)*(1-(R60-1))</f>
        <v>30.867075721045236</v>
      </c>
      <c r="BB60" s="2">
        <f>(POWER((K60*K60*AH60), 0.33)*LOG10(P60)*10*Data!$B$1)*R60</f>
        <v>57.285213898505866</v>
      </c>
      <c r="BC60" s="2"/>
      <c r="BD60" s="2"/>
      <c r="BE60" s="2">
        <f>IFERROR((SQRT($K60*$AI60)*POWER((MIN($M60,20)+SQRT(MAX($M60-20,0))),0.9)*Data!$B$1)*(1 - (R60-1)),BA60)</f>
        <v>26.731671714963046</v>
      </c>
      <c r="BF60" s="2">
        <f>IFERROR(((POWER(($K60*$K60*$AI60), 0.33)*LOG10($AF60)*10*Data!$B$1)*R60),BB60)</f>
        <v>57.285213898505866</v>
      </c>
      <c r="BG60" s="2">
        <f t="shared" si="21"/>
        <v>38.70967741935484</v>
      </c>
      <c r="BH60" s="2">
        <f t="shared" si="22"/>
        <v>0</v>
      </c>
      <c r="BI60" s="2">
        <f t="shared" si="23"/>
        <v>0</v>
      </c>
      <c r="BJ60" s="2">
        <f t="shared" si="24"/>
        <v>0</v>
      </c>
      <c r="BK60" s="2">
        <v>1</v>
      </c>
      <c r="BL60" s="2">
        <v>1</v>
      </c>
      <c r="BM60" s="2">
        <f t="shared" si="25"/>
        <v>24</v>
      </c>
      <c r="BN60" s="2">
        <f t="shared" si="26"/>
        <v>18</v>
      </c>
      <c r="BO60" s="2">
        <f t="shared" si="6"/>
        <v>36</v>
      </c>
      <c r="BP60" s="2">
        <f t="shared" si="27"/>
        <v>24</v>
      </c>
      <c r="BQ60" s="2">
        <f t="shared" si="8"/>
        <v>36</v>
      </c>
      <c r="BR60" s="2">
        <f t="shared" si="28"/>
        <v>18</v>
      </c>
      <c r="BS60" s="3"/>
      <c r="BT60" s="3"/>
      <c r="BU60" s="3"/>
      <c r="BV60">
        <f>F60-F58</f>
        <v>4</v>
      </c>
      <c r="BW60" s="2" t="str">
        <f>CONCATENATE(
ROUND(BS60*VLOOKUP(I60,'ID Scheme'!$A$2:$E$7,3),0), "x",
ROUND(BT60*VLOOKUP(I60,'ID Scheme'!$A$2:$E$7,5),0), "x",
ROUND(BU60*VLOOKUP(I60,'ID Scheme'!$A$2:$E$7,4),0))</f>
        <v>0x0x0</v>
      </c>
    </row>
    <row r="61" spans="1:76" x14ac:dyDescent="0.25">
      <c r="A61" t="s">
        <v>19</v>
      </c>
      <c r="B61" t="s">
        <v>227</v>
      </c>
      <c r="C61" t="s">
        <v>369</v>
      </c>
      <c r="D61">
        <f>IF(F61 &gt; 2020, ((F61-2020)*4)+1610+H61,IF(F61 &gt; 1900, ((F61-1900)*10)+400+H61, ((F61-1730)*2)+H61))+VLOOKUP(I61,'ID Scheme'!$A$2:$B$7,2, FALSE)</f>
        <v>3641</v>
      </c>
      <c r="F61">
        <v>1964</v>
      </c>
      <c r="G61">
        <v>9</v>
      </c>
      <c r="H61">
        <v>1</v>
      </c>
      <c r="I61" t="s">
        <v>13</v>
      </c>
      <c r="J61" t="s">
        <v>547</v>
      </c>
      <c r="K61">
        <v>57</v>
      </c>
      <c r="L61">
        <v>20</v>
      </c>
      <c r="M61">
        <v>15</v>
      </c>
      <c r="N61">
        <v>5</v>
      </c>
      <c r="O61">
        <v>9.5</v>
      </c>
      <c r="P61">
        <v>192</v>
      </c>
      <c r="Q61">
        <v>20</v>
      </c>
      <c r="R61">
        <v>1</v>
      </c>
      <c r="S61" t="s">
        <v>299</v>
      </c>
      <c r="T61">
        <v>-4</v>
      </c>
      <c r="U61" s="2" t="s">
        <v>354</v>
      </c>
      <c r="V61" s="2"/>
      <c r="W61" s="2" t="s">
        <v>343</v>
      </c>
      <c r="X61" s="2"/>
      <c r="Y61" s="2" t="s">
        <v>343</v>
      </c>
      <c r="Z61" s="2"/>
      <c r="AA61" s="2"/>
      <c r="AB61" s="2"/>
      <c r="AC61" s="2"/>
      <c r="AD61" s="2" t="s">
        <v>373</v>
      </c>
      <c r="AE61" s="2"/>
      <c r="AH61">
        <v>36</v>
      </c>
      <c r="AI61">
        <v>30</v>
      </c>
      <c r="AJ61" s="6">
        <f t="shared" si="34"/>
        <v>60</v>
      </c>
      <c r="AK61" s="6">
        <f>(AH61*1.5)-MOD((AH61*1.5), BK60)</f>
        <v>54</v>
      </c>
      <c r="AL61" s="6">
        <f t="shared" si="35"/>
        <v>18</v>
      </c>
      <c r="AM61" s="8">
        <f t="shared" si="29"/>
        <v>20</v>
      </c>
      <c r="AN61">
        <v>56</v>
      </c>
      <c r="AQ61">
        <v>1</v>
      </c>
      <c r="AT61" t="s">
        <v>441</v>
      </c>
      <c r="AU61" t="s">
        <v>539</v>
      </c>
      <c r="AV61" t="s">
        <v>360</v>
      </c>
      <c r="BA61" s="2">
        <f>(SQRT(K61*AH61)*POWER((MIN(M61,20)+SQRT(MAX(M61-20,0))),0.9)*Data!$B$1)*(1-(R61-1))</f>
        <v>38.871569362349888</v>
      </c>
      <c r="BB61" s="2">
        <f>(POWER((K61*K61*AH61), 0.33)*LOG10(P61)*10*Data!$B$1)*R61</f>
        <v>80.552997117621018</v>
      </c>
      <c r="BC61" s="2"/>
      <c r="BD61" s="2"/>
      <c r="BE61" s="2">
        <f>IFERROR((SQRT($K61*$AI61)*POWER((MIN($M61,20)+SQRT(MAX($M61-20,0))),0.9)*Data!$B$1)*(1 - (R61-1)),BA61)</f>
        <v>35.484725642309563</v>
      </c>
      <c r="BF61" s="2">
        <f>IFERROR(((POWER(($K61*$K61*$AI61), 0.33)*LOG10($AF61)*10*Data!$B$1)*R61),BB61)</f>
        <v>80.552997117621018</v>
      </c>
      <c r="BG61" s="2">
        <f t="shared" si="21"/>
        <v>45.967741935483872</v>
      </c>
      <c r="BH61" s="2">
        <f t="shared" si="22"/>
        <v>0</v>
      </c>
      <c r="BI61" s="2">
        <f t="shared" si="23"/>
        <v>45.161290322580648</v>
      </c>
      <c r="BJ61" s="2">
        <f t="shared" si="24"/>
        <v>0</v>
      </c>
      <c r="BK61" s="2">
        <v>2</v>
      </c>
      <c r="BL61" s="2">
        <v>3</v>
      </c>
      <c r="BM61" s="2">
        <f t="shared" si="25"/>
        <v>12</v>
      </c>
      <c r="BN61" s="2">
        <f t="shared" si="26"/>
        <v>10</v>
      </c>
      <c r="BO61" s="2">
        <f t="shared" si="6"/>
        <v>54</v>
      </c>
      <c r="BP61" s="2">
        <f t="shared" si="27"/>
        <v>36</v>
      </c>
      <c r="BQ61" s="2">
        <f t="shared" si="8"/>
        <v>60</v>
      </c>
      <c r="BR61" s="2">
        <f t="shared" si="28"/>
        <v>30</v>
      </c>
      <c r="BS61" s="3"/>
      <c r="BT61" s="3"/>
      <c r="BU61" s="3"/>
      <c r="BV61">
        <f>F61-F60</f>
        <v>1</v>
      </c>
      <c r="BW61" s="2" t="str">
        <f>CONCATENATE(
ROUND(BS61*VLOOKUP(I61,'ID Scheme'!$A$2:$E$7,3),0), "x",
ROUND(BT61*VLOOKUP(I61,'ID Scheme'!$A$2:$E$7,5),0), "x",
ROUND(BU61*VLOOKUP(I61,'ID Scheme'!$A$2:$E$7,4),0))</f>
        <v>0x0x0</v>
      </c>
    </row>
    <row r="62" spans="1:76" x14ac:dyDescent="0.25">
      <c r="A62" t="s">
        <v>20</v>
      </c>
      <c r="B62" t="s">
        <v>228</v>
      </c>
      <c r="C62" t="s">
        <v>339</v>
      </c>
      <c r="D62">
        <f>IF(F62 &gt; 2020, ((F62-2020)*4)+1610+H62,IF(F62 &gt; 1900, ((F62-1900)*10)+400+H62, ((F62-1730)*2)+H62))+VLOOKUP(I62,'ID Scheme'!$A$2:$B$7,2, FALSE)</f>
        <v>3642</v>
      </c>
      <c r="F62">
        <v>1964</v>
      </c>
      <c r="G62">
        <v>1</v>
      </c>
      <c r="H62">
        <v>2</v>
      </c>
      <c r="I62" t="s">
        <v>13</v>
      </c>
      <c r="J62" t="s">
        <v>547</v>
      </c>
      <c r="K62">
        <v>54</v>
      </c>
      <c r="L62">
        <v>20</v>
      </c>
      <c r="M62">
        <v>15</v>
      </c>
      <c r="N62">
        <v>5</v>
      </c>
      <c r="O62">
        <v>7.5</v>
      </c>
      <c r="P62">
        <v>170</v>
      </c>
      <c r="Q62">
        <v>20</v>
      </c>
      <c r="R62">
        <v>1</v>
      </c>
      <c r="S62" t="s">
        <v>299</v>
      </c>
      <c r="T62">
        <v>3</v>
      </c>
      <c r="U62" s="2" t="s">
        <v>353</v>
      </c>
      <c r="V62" s="2" t="s">
        <v>343</v>
      </c>
      <c r="W62" s="2"/>
      <c r="X62" s="2"/>
      <c r="Y62" s="2" t="s">
        <v>343</v>
      </c>
      <c r="Z62" s="2"/>
      <c r="AA62" s="2"/>
      <c r="AB62" s="2"/>
      <c r="AC62" s="2"/>
      <c r="AD62" s="2"/>
      <c r="AE62" s="2"/>
      <c r="AH62">
        <v>22</v>
      </c>
      <c r="AI62">
        <v>18</v>
      </c>
      <c r="AJ62" s="6">
        <f t="shared" si="34"/>
        <v>36</v>
      </c>
      <c r="AK62" s="6">
        <f>(AH62*1.5)-MOD((AH62*1.5), BK61)</f>
        <v>32</v>
      </c>
      <c r="AL62" s="6">
        <f t="shared" si="35"/>
        <v>33</v>
      </c>
      <c r="AM62" s="8">
        <f t="shared" si="29"/>
        <v>36</v>
      </c>
      <c r="AV62" t="s">
        <v>360</v>
      </c>
      <c r="BA62" s="2">
        <f>(SQRT(K62*AH62)*POWER((MIN(M62,20)+SQRT(MAX(M62-20,0))),0.9)*Data!$B$1)*(1-(R62-1))</f>
        <v>29.576829437221864</v>
      </c>
      <c r="BB62" s="2">
        <f>(POWER((K62*K62*AH62), 0.33)*LOG10(P62)*10*Data!$B$1)*R62</f>
        <v>64.540587091557995</v>
      </c>
      <c r="BC62" s="2"/>
      <c r="BD62" s="2"/>
      <c r="BE62" s="2">
        <f>IFERROR((SQRT($K62*$AI62)*POWER((MIN($M62,20)+SQRT(MAX($M62-20,0))),0.9)*Data!$B$1)*(1 - (R62-1)),BA62)</f>
        <v>26.753248835891831</v>
      </c>
      <c r="BF62" s="2">
        <f>IFERROR(((POWER(($K62*$K62*$AI62), 0.33)*LOG10($AF62)*10*Data!$B$1)*R62),BB62)</f>
        <v>64.540587091557995</v>
      </c>
      <c r="BG62" s="2">
        <f t="shared" si="21"/>
        <v>43.548387096774192</v>
      </c>
      <c r="BH62" s="2">
        <f t="shared" si="22"/>
        <v>0</v>
      </c>
      <c r="BI62" s="2">
        <f t="shared" si="23"/>
        <v>0</v>
      </c>
      <c r="BJ62" s="2">
        <f t="shared" si="24"/>
        <v>0</v>
      </c>
      <c r="BK62" s="2">
        <v>1</v>
      </c>
      <c r="BL62" s="2">
        <v>1</v>
      </c>
      <c r="BM62" s="2">
        <f t="shared" si="25"/>
        <v>22</v>
      </c>
      <c r="BN62" s="2">
        <f t="shared" si="26"/>
        <v>18</v>
      </c>
      <c r="BO62" s="2">
        <f t="shared" si="6"/>
        <v>32</v>
      </c>
      <c r="BP62" s="2">
        <f t="shared" si="27"/>
        <v>22</v>
      </c>
      <c r="BQ62" s="2">
        <f t="shared" si="8"/>
        <v>36</v>
      </c>
      <c r="BR62" s="2">
        <f t="shared" si="28"/>
        <v>18</v>
      </c>
      <c r="BS62" s="3"/>
      <c r="BT62" s="3"/>
      <c r="BU62" s="3"/>
      <c r="BV62">
        <f>F62-F61</f>
        <v>0</v>
      </c>
      <c r="BW62" s="2" t="str">
        <f>CONCATENATE(
ROUND(BS62*VLOOKUP(I62,'ID Scheme'!$A$2:$E$7,3),0), "x",
ROUND(BT62*VLOOKUP(I62,'ID Scheme'!$A$2:$E$7,5),0), "x",
ROUND(BU62*VLOOKUP(I62,'ID Scheme'!$A$2:$E$7,4),0))</f>
        <v>0x0x0</v>
      </c>
      <c r="BX62" t="s">
        <v>21</v>
      </c>
    </row>
    <row r="63" spans="1:76" x14ac:dyDescent="0.25">
      <c r="A63" t="s">
        <v>2</v>
      </c>
      <c r="B63" t="s">
        <v>209</v>
      </c>
      <c r="C63" t="s">
        <v>369</v>
      </c>
      <c r="D63">
        <f>IF(F63 &gt; 2020, ((F63-2020)*4)+1610+H63,IF(F63 &gt; 1900, ((F63-1900)*10)+400+H63, ((F63-1730)*2)+H63))+VLOOKUP(I63,'ID Scheme'!$A$2:$B$7,2, FALSE)</f>
        <v>3651</v>
      </c>
      <c r="F63">
        <v>1965</v>
      </c>
      <c r="G63">
        <v>6</v>
      </c>
      <c r="H63">
        <v>1</v>
      </c>
      <c r="I63" t="s">
        <v>13</v>
      </c>
      <c r="J63" t="s">
        <v>547</v>
      </c>
      <c r="K63">
        <v>55</v>
      </c>
      <c r="L63">
        <v>20</v>
      </c>
      <c r="M63">
        <v>15</v>
      </c>
      <c r="N63">
        <v>5</v>
      </c>
      <c r="O63">
        <v>9.5</v>
      </c>
      <c r="P63">
        <v>140</v>
      </c>
      <c r="Q63">
        <v>20</v>
      </c>
      <c r="R63">
        <v>1</v>
      </c>
      <c r="S63" t="s">
        <v>299</v>
      </c>
      <c r="T63">
        <v>-4</v>
      </c>
      <c r="U63" s="2" t="s">
        <v>512</v>
      </c>
      <c r="V63" s="2"/>
      <c r="W63" s="2" t="s">
        <v>343</v>
      </c>
      <c r="X63" s="2"/>
      <c r="Y63" s="2" t="s">
        <v>343</v>
      </c>
      <c r="Z63" s="2"/>
      <c r="AA63" s="2"/>
      <c r="AB63" s="2"/>
      <c r="AC63" s="2"/>
      <c r="AD63" s="2" t="s">
        <v>373</v>
      </c>
      <c r="AE63" s="2"/>
      <c r="AH63">
        <v>36</v>
      </c>
      <c r="AI63">
        <v>30</v>
      </c>
      <c r="AJ63" s="6">
        <f t="shared" si="34"/>
        <v>60</v>
      </c>
      <c r="AK63" s="6">
        <f>(AH63*1.5)-MOD((AH63*1.5), BK62)</f>
        <v>54</v>
      </c>
      <c r="AL63" s="6">
        <f t="shared" si="35"/>
        <v>18</v>
      </c>
      <c r="AM63" s="8">
        <f t="shared" si="29"/>
        <v>20</v>
      </c>
      <c r="AQ63">
        <v>1</v>
      </c>
      <c r="AT63" t="s">
        <v>441</v>
      </c>
      <c r="AU63" t="s">
        <v>539</v>
      </c>
      <c r="AV63" t="s">
        <v>360</v>
      </c>
      <c r="BA63" s="2">
        <f>(SQRT(K63*AH63)*POWER((MIN(M63,20)+SQRT(MAX(M63-20,0))),0.9)*Data!$B$1)*(1-(R63-1))</f>
        <v>38.183522614659189</v>
      </c>
      <c r="BB63" s="2">
        <f>(POWER((K63*K63*AH63), 0.33)*LOG10(P63)*10*Data!$B$1)*R63</f>
        <v>73.949644689024566</v>
      </c>
      <c r="BC63" s="2"/>
      <c r="BD63" s="2"/>
      <c r="BE63" s="2">
        <f>IFERROR((SQRT($K63*$AI63)*POWER((MIN($M63,20)+SQRT(MAX($M63-20,0))),0.9)*Data!$B$1)*(1 - (R63-1)),BA63)</f>
        <v>34.856627768429135</v>
      </c>
      <c r="BF63" s="2">
        <f>IFERROR(((POWER(($K63*$K63*$AI63), 0.33)*LOG10($AF63)*10*Data!$B$1)*R63),BB63)</f>
        <v>73.949644689024566</v>
      </c>
      <c r="BG63" s="2">
        <f t="shared" si="21"/>
        <v>44.354838709677416</v>
      </c>
      <c r="BH63" s="2">
        <f t="shared" si="22"/>
        <v>0</v>
      </c>
      <c r="BI63" s="2">
        <f t="shared" si="23"/>
        <v>0</v>
      </c>
      <c r="BJ63" s="2">
        <f t="shared" si="24"/>
        <v>0</v>
      </c>
      <c r="BK63" s="2">
        <v>2</v>
      </c>
      <c r="BL63" s="2">
        <v>3</v>
      </c>
      <c r="BM63" s="2">
        <f t="shared" si="25"/>
        <v>12</v>
      </c>
      <c r="BN63" s="2">
        <f t="shared" si="26"/>
        <v>10</v>
      </c>
      <c r="BO63" s="2">
        <f t="shared" si="6"/>
        <v>54</v>
      </c>
      <c r="BP63" s="2">
        <f t="shared" si="27"/>
        <v>36</v>
      </c>
      <c r="BQ63" s="2">
        <f t="shared" si="8"/>
        <v>60</v>
      </c>
      <c r="BR63" s="2">
        <f t="shared" si="28"/>
        <v>30</v>
      </c>
      <c r="BS63" s="3"/>
      <c r="BT63" s="3"/>
      <c r="BU63" s="3"/>
      <c r="BV63">
        <f>F63-F62</f>
        <v>1</v>
      </c>
      <c r="BW63" s="2" t="str">
        <f>CONCATENATE(
ROUND(BS63*VLOOKUP(I63,'ID Scheme'!$A$2:$E$7,3),0), "x",
ROUND(BT63*VLOOKUP(I63,'ID Scheme'!$A$2:$E$7,5),0), "x",
ROUND(BU63*VLOOKUP(I63,'ID Scheme'!$A$2:$E$7,4),0))</f>
        <v>0x0x0</v>
      </c>
    </row>
    <row r="64" spans="1:76" x14ac:dyDescent="0.25">
      <c r="A64" t="s">
        <v>75</v>
      </c>
      <c r="B64" t="s">
        <v>226</v>
      </c>
      <c r="C64" t="s">
        <v>339</v>
      </c>
      <c r="D64">
        <f>IF(F64 &gt; 2020, ((F64-2020)*4)+1610+H64,IF(F64 &gt; 1900, ((F64-1900)*10)+400+H64, ((F64-1730)*2)+H64))+VLOOKUP(I64,'ID Scheme'!$A$2:$B$7,2, FALSE)</f>
        <v>3652</v>
      </c>
      <c r="F64">
        <v>1965</v>
      </c>
      <c r="G64">
        <v>1</v>
      </c>
      <c r="H64">
        <v>2</v>
      </c>
      <c r="I64" t="s">
        <v>13</v>
      </c>
      <c r="J64" t="s">
        <v>547</v>
      </c>
      <c r="K64">
        <v>60</v>
      </c>
      <c r="L64">
        <v>20</v>
      </c>
      <c r="M64">
        <v>17</v>
      </c>
      <c r="N64">
        <v>5</v>
      </c>
      <c r="O64">
        <v>3</v>
      </c>
      <c r="P64">
        <v>82</v>
      </c>
      <c r="Q64">
        <v>20</v>
      </c>
      <c r="R64">
        <v>1</v>
      </c>
      <c r="S64" t="s">
        <v>299</v>
      </c>
      <c r="T64">
        <v>0</v>
      </c>
      <c r="U64" s="2" t="s">
        <v>340</v>
      </c>
      <c r="V64" s="2" t="s">
        <v>343</v>
      </c>
      <c r="W64" s="2"/>
      <c r="X64" s="2"/>
      <c r="Y64" s="2" t="s">
        <v>343</v>
      </c>
      <c r="Z64" s="2"/>
      <c r="AA64" s="2"/>
      <c r="AB64" s="2"/>
      <c r="AC64" s="2"/>
      <c r="AD64" s="2"/>
      <c r="AE64" s="2"/>
      <c r="AH64">
        <v>16</v>
      </c>
      <c r="AI64">
        <v>4</v>
      </c>
      <c r="AJ64" s="7">
        <f>AI64*4</f>
        <v>16</v>
      </c>
      <c r="AK64" s="7">
        <f>(AH64*1.75)-MOD((AH64*1.75), BK64)</f>
        <v>28</v>
      </c>
      <c r="AL64" s="7">
        <f>(BM64*1.75)-MOD((BM64*1.75), BL64)</f>
        <v>28</v>
      </c>
      <c r="AM64" s="8">
        <f t="shared" si="29"/>
        <v>16</v>
      </c>
      <c r="AN64">
        <v>56</v>
      </c>
      <c r="AV64" t="s">
        <v>360</v>
      </c>
      <c r="BA64" s="2">
        <f>(SQRT(K64*AH64)*POWER((MIN(M64,20)+SQRT(MAX(M64-20,0))),0.9)*Data!$B$1)*(1-(R64-1))</f>
        <v>29.757806068644722</v>
      </c>
      <c r="BB64" s="2">
        <f>(POWER((K64*K64*AH64), 0.33)*LOG10(P64)*10*Data!$B$1)*R64</f>
        <v>53.444174907561425</v>
      </c>
      <c r="BC64" s="2"/>
      <c r="BD64" s="2"/>
      <c r="BE64" s="2">
        <f>IFERROR((SQRT($K64*$AI64)*POWER((MIN($M64,20)+SQRT(MAX($M64-20,0))),0.9)*Data!$B$1)*(1 - (R64-1)),BA64)</f>
        <v>14.878903034322361</v>
      </c>
      <c r="BF64" s="2">
        <f>IFERROR(((POWER(($K64*$K64*$AI64), 0.33)*LOG10($AF64)*10*Data!$B$1)*R64),BB64)</f>
        <v>53.444174907561425</v>
      </c>
      <c r="BG64" s="2">
        <f t="shared" si="21"/>
        <v>48.387096774193552</v>
      </c>
      <c r="BH64" s="2">
        <f t="shared" si="22"/>
        <v>0</v>
      </c>
      <c r="BI64" s="2">
        <f t="shared" si="23"/>
        <v>45.161290322580648</v>
      </c>
      <c r="BJ64" s="2">
        <f t="shared" si="24"/>
        <v>0</v>
      </c>
      <c r="BK64" s="2">
        <v>1</v>
      </c>
      <c r="BL64" s="2">
        <v>1</v>
      </c>
      <c r="BM64" s="2">
        <f t="shared" si="25"/>
        <v>16</v>
      </c>
      <c r="BN64" s="2">
        <f t="shared" si="26"/>
        <v>4</v>
      </c>
      <c r="BO64" s="2">
        <f t="shared" si="6"/>
        <v>28</v>
      </c>
      <c r="BP64" s="2">
        <f t="shared" si="27"/>
        <v>16</v>
      </c>
      <c r="BQ64" s="2">
        <f t="shared" si="8"/>
        <v>16</v>
      </c>
      <c r="BR64" s="2">
        <f t="shared" si="28"/>
        <v>4</v>
      </c>
      <c r="BS64" s="3">
        <v>6.2</v>
      </c>
      <c r="BT64" s="3">
        <v>2.2000000000000002</v>
      </c>
      <c r="BU64" s="3">
        <v>2.6</v>
      </c>
      <c r="BV64">
        <f>F64-F63</f>
        <v>0</v>
      </c>
      <c r="BW64" s="2" t="str">
        <f>CONCATENATE(
ROUND(BS64*VLOOKUP(I64,'ID Scheme'!$A$2:$E$7,3),0), "x",
ROUND(BT64*VLOOKUP(I64,'ID Scheme'!$A$2:$E$7,5),0), "x",
ROUND(BU64*VLOOKUP(I64,'ID Scheme'!$A$2:$E$7,4),0))</f>
        <v>58x32x25</v>
      </c>
      <c r="BX64" t="s">
        <v>80</v>
      </c>
    </row>
    <row r="65" spans="1:76" x14ac:dyDescent="0.25">
      <c r="A65" t="s">
        <v>83</v>
      </c>
      <c r="B65" t="s">
        <v>218</v>
      </c>
      <c r="C65" t="s">
        <v>339</v>
      </c>
      <c r="D65">
        <f>IF(F65 &gt; 2020, ((F65-2020)*4)+1610+H65,IF(F65 &gt; 1900, ((F65-1900)*10)+400+H65, ((F65-1730)*2)+H65))+VLOOKUP(I65,'ID Scheme'!$A$2:$B$7,2, FALSE)</f>
        <v>3671</v>
      </c>
      <c r="F65">
        <v>1967</v>
      </c>
      <c r="G65">
        <v>1</v>
      </c>
      <c r="H65">
        <v>1</v>
      </c>
      <c r="I65" t="s">
        <v>13</v>
      </c>
      <c r="J65" t="s">
        <v>547</v>
      </c>
      <c r="K65">
        <v>56</v>
      </c>
      <c r="L65">
        <v>15</v>
      </c>
      <c r="M65">
        <v>22</v>
      </c>
      <c r="N65">
        <v>5</v>
      </c>
      <c r="O65">
        <v>5</v>
      </c>
      <c r="P65">
        <v>170</v>
      </c>
      <c r="Q65">
        <v>20</v>
      </c>
      <c r="R65">
        <v>1</v>
      </c>
      <c r="S65" t="s">
        <v>299</v>
      </c>
      <c r="T65">
        <v>3</v>
      </c>
      <c r="U65" s="2" t="s">
        <v>357</v>
      </c>
      <c r="V65" s="2" t="s">
        <v>343</v>
      </c>
      <c r="W65" s="2" t="s">
        <v>343</v>
      </c>
      <c r="X65" s="2"/>
      <c r="Y65" s="2" t="s">
        <v>343</v>
      </c>
      <c r="Z65" s="2"/>
      <c r="AA65" s="2"/>
      <c r="AB65" s="2"/>
      <c r="AC65" s="2"/>
      <c r="AD65" s="2"/>
      <c r="AE65" s="2"/>
      <c r="AH65">
        <v>22</v>
      </c>
      <c r="AI65">
        <v>10</v>
      </c>
      <c r="AJ65" s="7">
        <f>AI65*4</f>
        <v>40</v>
      </c>
      <c r="AK65" s="7">
        <f>(AH65*1.75)-MOD((AH65*1.75), BK65)</f>
        <v>38</v>
      </c>
      <c r="AL65" s="7">
        <f>(BM65*1.75)-MOD((BM65*1.75), BL65)</f>
        <v>38</v>
      </c>
      <c r="AM65" s="8">
        <f t="shared" si="29"/>
        <v>40</v>
      </c>
      <c r="AV65" t="s">
        <v>360</v>
      </c>
      <c r="BA65" s="2">
        <f>(SQRT(K65*AH65)*POWER((MIN(M65,20)+SQRT(MAX(M65-20,0))),0.9)*Data!$B$1)*(1-(R65-1))</f>
        <v>41.495264182549853</v>
      </c>
      <c r="BB65" s="2">
        <f>(POWER((K65*K65*AH65), 0.33)*LOG10(P65)*10*Data!$B$1)*R65</f>
        <v>66.108473335639829</v>
      </c>
      <c r="BC65" s="2"/>
      <c r="BD65" s="2"/>
      <c r="BE65" s="2">
        <f>IFERROR((SQRT($K65*$AI65)*POWER((MIN($M65,20)+SQRT(MAX($M65-20,0))),0.9)*Data!$B$1)*(1 - (R65-1)),BA65)</f>
        <v>27.976101404751009</v>
      </c>
      <c r="BF65" s="2">
        <f>IFERROR(((POWER(($K65*$K65*$AI65), 0.33)*LOG10($AF65)*10*Data!$B$1)*R65),BB65)</f>
        <v>66.108473335639829</v>
      </c>
      <c r="BG65" s="2">
        <f t="shared" si="21"/>
        <v>45.161290322580648</v>
      </c>
      <c r="BH65" s="2">
        <f t="shared" si="22"/>
        <v>0</v>
      </c>
      <c r="BI65" s="2">
        <f t="shared" si="23"/>
        <v>0</v>
      </c>
      <c r="BJ65" s="2">
        <f t="shared" si="24"/>
        <v>0</v>
      </c>
      <c r="BK65" s="2">
        <v>1</v>
      </c>
      <c r="BL65" s="2">
        <v>1</v>
      </c>
      <c r="BM65" s="2">
        <f t="shared" si="25"/>
        <v>22</v>
      </c>
      <c r="BN65" s="2">
        <f t="shared" si="26"/>
        <v>10</v>
      </c>
      <c r="BO65" s="2">
        <f t="shared" si="6"/>
        <v>38</v>
      </c>
      <c r="BP65" s="2">
        <f t="shared" si="27"/>
        <v>22</v>
      </c>
      <c r="BQ65" s="2">
        <f t="shared" si="8"/>
        <v>40</v>
      </c>
      <c r="BR65" s="2">
        <f t="shared" si="28"/>
        <v>10</v>
      </c>
      <c r="BS65" s="3">
        <v>8.5</v>
      </c>
      <c r="BT65" s="3">
        <v>2.5</v>
      </c>
      <c r="BU65" s="3">
        <v>2.8</v>
      </c>
      <c r="BV65">
        <f>F65-F64</f>
        <v>2</v>
      </c>
      <c r="BW65" s="2" t="str">
        <f>CONCATENATE(
ROUND(BS65*VLOOKUP(I65,'ID Scheme'!$A$2:$E$7,3),0), "x",
ROUND(BT65*VLOOKUP(I65,'ID Scheme'!$A$2:$E$7,5),0), "x",
ROUND(BU65*VLOOKUP(I65,'ID Scheme'!$A$2:$E$7,4),0))</f>
        <v>79x36x27</v>
      </c>
      <c r="BX65" t="s">
        <v>21</v>
      </c>
    </row>
    <row r="66" spans="1:76" x14ac:dyDescent="0.25">
      <c r="A66" t="s">
        <v>5</v>
      </c>
      <c r="B66" t="s">
        <v>192</v>
      </c>
      <c r="C66" t="s">
        <v>369</v>
      </c>
      <c r="D66">
        <f>IF(F66 &gt; 2020, ((F66-2020)*4)+1610+H66,IF(F66 &gt; 1900, ((F66-1900)*10)+400+H66, ((F66-1730)*2)+H66))+VLOOKUP(I66,'ID Scheme'!$A$2:$B$7,2, FALSE)</f>
        <v>3681</v>
      </c>
      <c r="F66">
        <v>1968</v>
      </c>
      <c r="G66">
        <v>1</v>
      </c>
      <c r="H66">
        <v>1</v>
      </c>
      <c r="I66" t="s">
        <v>13</v>
      </c>
      <c r="J66" t="s">
        <v>547</v>
      </c>
      <c r="K66">
        <v>68</v>
      </c>
      <c r="L66">
        <v>10</v>
      </c>
      <c r="M66">
        <v>15</v>
      </c>
      <c r="N66">
        <v>5</v>
      </c>
      <c r="O66">
        <v>10</v>
      </c>
      <c r="P66">
        <v>247</v>
      </c>
      <c r="Q66">
        <v>25</v>
      </c>
      <c r="R66">
        <v>1.1000000000000001</v>
      </c>
      <c r="S66" t="s">
        <v>305</v>
      </c>
      <c r="T66">
        <v>-3</v>
      </c>
      <c r="U66" s="2" t="s">
        <v>513</v>
      </c>
      <c r="V66" s="2"/>
      <c r="W66" s="2" t="s">
        <v>343</v>
      </c>
      <c r="X66" s="2"/>
      <c r="Y66" s="2" t="s">
        <v>343</v>
      </c>
      <c r="Z66" s="2"/>
      <c r="AA66" s="2"/>
      <c r="AB66" s="2"/>
      <c r="AC66" s="2"/>
      <c r="AD66" s="2" t="s">
        <v>373</v>
      </c>
      <c r="AE66" s="2"/>
      <c r="AH66">
        <v>36</v>
      </c>
      <c r="AI66">
        <v>30</v>
      </c>
      <c r="AJ66" s="6">
        <f t="shared" si="34"/>
        <v>60</v>
      </c>
      <c r="AK66" s="6">
        <f>(AH66*1.5)-MOD((AH66*1.5), BK65)</f>
        <v>54</v>
      </c>
      <c r="AL66" s="6">
        <f t="shared" ref="AL66:AL68" si="36">(BM66*1.5)-MOD((BM66*1.5), BL66)</f>
        <v>18</v>
      </c>
      <c r="AM66" s="8">
        <f t="shared" si="29"/>
        <v>20</v>
      </c>
      <c r="AN66">
        <v>56</v>
      </c>
      <c r="AO66">
        <v>60</v>
      </c>
      <c r="AQ66">
        <v>1</v>
      </c>
      <c r="AT66" t="s">
        <v>441</v>
      </c>
      <c r="AU66" t="s">
        <v>539</v>
      </c>
      <c r="AV66" t="s">
        <v>360</v>
      </c>
      <c r="BA66" s="2">
        <f>(SQRT(K66*AH66)*POWER((MIN(M66,20)+SQRT(MAX(M66-20,0))),0.9)*Data!$B$1)*(1-(R66-1))</f>
        <v>38.211282358503759</v>
      </c>
      <c r="BB66" s="2">
        <f>(POWER((K66*K66*AH66), 0.33)*LOG10(P66)*10*Data!$B$1)*R66</f>
        <v>104.32234788878965</v>
      </c>
      <c r="BC66" s="2"/>
      <c r="BD66" s="2"/>
      <c r="BE66" s="2">
        <f>IFERROR((SQRT($K66*$AI66)*POWER((MIN($M66,20)+SQRT(MAX($M66-20,0))),0.9)*Data!$B$1)*(1 - (R66-1)),BA66)</f>
        <v>34.881968831586192</v>
      </c>
      <c r="BF66" s="2">
        <f>IFERROR(((POWER(($K66*$K66*$AI66), 0.33)*LOG10($AF66)*10*Data!$B$1)*R66),BB66)</f>
        <v>104.32234788878965</v>
      </c>
      <c r="BG66" s="2">
        <f t="shared" si="21"/>
        <v>54.838709677419352</v>
      </c>
      <c r="BH66" s="2">
        <f t="shared" si="22"/>
        <v>0</v>
      </c>
      <c r="BI66" s="2">
        <f t="shared" si="23"/>
        <v>45.161290322580648</v>
      </c>
      <c r="BJ66" s="2">
        <f t="shared" si="24"/>
        <v>48.387096774193552</v>
      </c>
      <c r="BK66" s="2">
        <v>2</v>
      </c>
      <c r="BL66" s="2">
        <v>3</v>
      </c>
      <c r="BM66" s="2">
        <f t="shared" si="25"/>
        <v>12</v>
      </c>
      <c r="BN66" s="2">
        <f t="shared" si="26"/>
        <v>10</v>
      </c>
      <c r="BO66" s="2">
        <f t="shared" si="6"/>
        <v>54</v>
      </c>
      <c r="BP66" s="2">
        <f t="shared" si="27"/>
        <v>36</v>
      </c>
      <c r="BQ66" s="2">
        <f t="shared" si="8"/>
        <v>60</v>
      </c>
      <c r="BR66" s="2">
        <f t="shared" si="28"/>
        <v>30</v>
      </c>
      <c r="BS66" s="3"/>
      <c r="BT66" s="3"/>
      <c r="BU66" s="3"/>
      <c r="BV66">
        <f>F66-F65</f>
        <v>1</v>
      </c>
      <c r="BW66" s="2" t="str">
        <f>CONCATENATE(
ROUND(BS66*VLOOKUP(I66,'ID Scheme'!$A$2:$E$7,3),0), "x",
ROUND(BT66*VLOOKUP(I66,'ID Scheme'!$A$2:$E$7,5),0), "x",
ROUND(BU66*VLOOKUP(I66,'ID Scheme'!$A$2:$E$7,4),0))</f>
        <v>0x0x0</v>
      </c>
    </row>
    <row r="67" spans="1:76" x14ac:dyDescent="0.25">
      <c r="A67" t="s">
        <v>95</v>
      </c>
      <c r="B67" t="s">
        <v>224</v>
      </c>
      <c r="C67" t="s">
        <v>369</v>
      </c>
      <c r="D67">
        <f>IF(F67 &gt; 2020, ((F67-2020)*4)+1610+H67,IF(F67 &gt; 1900, ((F67-1900)*10)+400+H67, ((F67-1730)*2)+H67))+VLOOKUP(I67,'ID Scheme'!$A$2:$B$7,2, FALSE)</f>
        <v>3771</v>
      </c>
      <c r="F67">
        <v>1977</v>
      </c>
      <c r="G67">
        <v>1</v>
      </c>
      <c r="H67">
        <v>1</v>
      </c>
      <c r="I67" t="s">
        <v>13</v>
      </c>
      <c r="J67" t="s">
        <v>547</v>
      </c>
      <c r="K67">
        <v>60</v>
      </c>
      <c r="L67">
        <v>16</v>
      </c>
      <c r="M67">
        <v>18</v>
      </c>
      <c r="N67">
        <v>5</v>
      </c>
      <c r="O67">
        <v>9.5</v>
      </c>
      <c r="P67">
        <v>280</v>
      </c>
      <c r="Q67">
        <v>20</v>
      </c>
      <c r="R67">
        <v>1</v>
      </c>
      <c r="S67" t="s">
        <v>299</v>
      </c>
      <c r="T67">
        <v>-3</v>
      </c>
      <c r="U67" s="2" t="s">
        <v>514</v>
      </c>
      <c r="V67" s="2"/>
      <c r="W67" s="2" t="s">
        <v>343</v>
      </c>
      <c r="X67" s="2"/>
      <c r="Y67" s="2" t="s">
        <v>343</v>
      </c>
      <c r="Z67" s="2"/>
      <c r="AA67" s="2"/>
      <c r="AB67" s="2"/>
      <c r="AC67" s="2"/>
      <c r="AD67" s="2" t="s">
        <v>373</v>
      </c>
      <c r="AE67" s="2"/>
      <c r="AH67">
        <v>39</v>
      </c>
      <c r="AI67">
        <v>30</v>
      </c>
      <c r="AJ67" s="6">
        <f t="shared" si="34"/>
        <v>60</v>
      </c>
      <c r="AK67" s="6">
        <f>(AH67*1.5)-MOD((AH67*1.5), BK66)</f>
        <v>58</v>
      </c>
      <c r="AL67" s="6">
        <f t="shared" si="36"/>
        <v>18</v>
      </c>
      <c r="AM67" s="8">
        <f t="shared" si="29"/>
        <v>20</v>
      </c>
      <c r="AN67">
        <v>56</v>
      </c>
      <c r="AQ67">
        <v>1</v>
      </c>
      <c r="AT67" t="s">
        <v>441</v>
      </c>
      <c r="AU67" t="s">
        <v>539</v>
      </c>
      <c r="AV67" t="s">
        <v>360</v>
      </c>
      <c r="BA67" s="2">
        <f>(SQRT(K67*AH67)*POWER((MIN(M67,20)+SQRT(MAX(M67-20,0))),0.9)*Data!$B$1)*(1-(R67-1))</f>
        <v>48.911890226340333</v>
      </c>
      <c r="BB67" s="2">
        <f>(POWER((K67*K67*AH67), 0.33)*LOG10(P67)*10*Data!$B$1)*R67</f>
        <v>91.696851682976998</v>
      </c>
      <c r="BC67" s="2"/>
      <c r="BD67" s="2"/>
      <c r="BE67" s="2">
        <f>IFERROR((SQRT($K67*$AI67)*POWER((MIN($M67,20)+SQRT(MAX($M67-20,0))),0.9)*Data!$B$1)*(1 - (R67-1)),BA67)</f>
        <v>42.898565562476904</v>
      </c>
      <c r="BF67" s="2">
        <f>IFERROR(((POWER(($K67*$K67*$AI67), 0.33)*LOG10($AF67)*10*Data!$B$1)*R67),BB67)</f>
        <v>91.696851682976998</v>
      </c>
      <c r="BG67" s="2">
        <f t="shared" si="21"/>
        <v>48.387096774193552</v>
      </c>
      <c r="BH67" s="2">
        <f t="shared" si="22"/>
        <v>0</v>
      </c>
      <c r="BI67" s="2">
        <f t="shared" si="23"/>
        <v>45.161290322580648</v>
      </c>
      <c r="BJ67" s="2">
        <f t="shared" si="24"/>
        <v>0</v>
      </c>
      <c r="BK67" s="2">
        <v>2</v>
      </c>
      <c r="BL67" s="2">
        <v>3</v>
      </c>
      <c r="BM67" s="2">
        <f t="shared" si="25"/>
        <v>13</v>
      </c>
      <c r="BN67" s="2">
        <f t="shared" si="26"/>
        <v>10</v>
      </c>
      <c r="BO67" s="2">
        <f t="shared" si="6"/>
        <v>58</v>
      </c>
      <c r="BP67" s="2">
        <f t="shared" si="27"/>
        <v>39</v>
      </c>
      <c r="BQ67" s="2">
        <f t="shared" si="8"/>
        <v>60</v>
      </c>
      <c r="BR67" s="2">
        <f t="shared" si="28"/>
        <v>30</v>
      </c>
      <c r="BS67" s="3"/>
      <c r="BT67" s="3"/>
      <c r="BU67" s="3"/>
      <c r="BV67">
        <f>F67-F66</f>
        <v>9</v>
      </c>
      <c r="BW67" s="2" t="str">
        <f>CONCATENATE(
ROUND(BS67*VLOOKUP(I67,'ID Scheme'!$A$2:$E$7,3),0), "x",
ROUND(BT67*VLOOKUP(I67,'ID Scheme'!$A$2:$E$7,5),0), "x",
ROUND(BU67*VLOOKUP(I67,'ID Scheme'!$A$2:$E$7,4),0))</f>
        <v>0x0x0</v>
      </c>
      <c r="BX67" t="s">
        <v>96</v>
      </c>
    </row>
    <row r="68" spans="1:76" x14ac:dyDescent="0.25">
      <c r="A68" t="s">
        <v>6</v>
      </c>
      <c r="B68" t="s">
        <v>212</v>
      </c>
      <c r="C68" t="s">
        <v>369</v>
      </c>
      <c r="D68">
        <f>IF(F68 &gt; 2020, ((F68-2020)*4)+1610+H68,IF(F68 &gt; 1900, ((F68-1900)*10)+400+H68, ((F68-1730)*2)+H68))+VLOOKUP(I68,'ID Scheme'!$A$2:$B$7,2, FALSE)</f>
        <v>3801</v>
      </c>
      <c r="F68">
        <v>1980</v>
      </c>
      <c r="G68">
        <v>1</v>
      </c>
      <c r="H68">
        <v>1</v>
      </c>
      <c r="I68" t="s">
        <v>13</v>
      </c>
      <c r="J68" t="s">
        <v>547</v>
      </c>
      <c r="K68">
        <v>62</v>
      </c>
      <c r="L68">
        <v>20</v>
      </c>
      <c r="M68">
        <v>17</v>
      </c>
      <c r="N68">
        <v>5</v>
      </c>
      <c r="O68">
        <v>11.5</v>
      </c>
      <c r="P68">
        <v>350</v>
      </c>
      <c r="Q68">
        <v>20</v>
      </c>
      <c r="R68">
        <v>1</v>
      </c>
      <c r="S68" t="s">
        <v>311</v>
      </c>
      <c r="T68">
        <v>-3</v>
      </c>
      <c r="U68" s="2" t="s">
        <v>515</v>
      </c>
      <c r="V68" s="2"/>
      <c r="W68" s="2" t="s">
        <v>343</v>
      </c>
      <c r="X68" s="2"/>
      <c r="Y68" s="2" t="s">
        <v>343</v>
      </c>
      <c r="Z68" s="2"/>
      <c r="AA68" s="2"/>
      <c r="AB68" s="2"/>
      <c r="AC68" s="2"/>
      <c r="AD68" s="2" t="s">
        <v>373</v>
      </c>
      <c r="AE68" s="2"/>
      <c r="AH68">
        <v>42</v>
      </c>
      <c r="AI68">
        <v>30</v>
      </c>
      <c r="AJ68" s="6">
        <f t="shared" si="34"/>
        <v>60</v>
      </c>
      <c r="AK68" s="6">
        <f>(AH68*1.5)-MOD((AH68*1.5), BK67)</f>
        <v>62</v>
      </c>
      <c r="AL68" s="6">
        <f t="shared" si="36"/>
        <v>21</v>
      </c>
      <c r="AM68" s="8">
        <f t="shared" si="29"/>
        <v>20</v>
      </c>
      <c r="AN68">
        <v>56</v>
      </c>
      <c r="AO68">
        <v>60</v>
      </c>
      <c r="AQ68">
        <v>1</v>
      </c>
      <c r="AT68" t="s">
        <v>441</v>
      </c>
      <c r="AU68" t="s">
        <v>539</v>
      </c>
      <c r="AV68" t="s">
        <v>360</v>
      </c>
      <c r="BA68" s="2">
        <f>(SQRT(K68*AH68)*POWER((MIN(M68,20)+SQRT(MAX(M68-20,0))),0.9)*Data!$B$1)*(1-(R68-1))</f>
        <v>49.010121885450587</v>
      </c>
      <c r="BB68" s="2">
        <f>(POWER((K68*K68*AH68), 0.33)*LOG10(P68)*10*Data!$B$1)*R68</f>
        <v>99.825332904493919</v>
      </c>
      <c r="BC68" s="2"/>
      <c r="BD68" s="2"/>
      <c r="BE68" s="2">
        <f>IFERROR((SQRT($K68*$AI68)*POWER((MIN($M68,20)+SQRT(MAX($M68-20,0))),0.9)*Data!$B$1)*(1 - (R68-1)),BA68)</f>
        <v>41.421113036251761</v>
      </c>
      <c r="BF68" s="2">
        <f>IFERROR(((POWER(($K68*$K68*$AI68), 0.33)*LOG10($AF68)*10*Data!$B$1)*R68),BB68)</f>
        <v>99.825332904493919</v>
      </c>
      <c r="BG68" s="2">
        <f t="shared" si="21"/>
        <v>50</v>
      </c>
      <c r="BH68" s="2">
        <f t="shared" si="22"/>
        <v>0</v>
      </c>
      <c r="BI68" s="2">
        <f t="shared" si="23"/>
        <v>45.161290322580648</v>
      </c>
      <c r="BJ68" s="2">
        <f t="shared" si="24"/>
        <v>48.387096774193552</v>
      </c>
      <c r="BK68" s="2">
        <v>2</v>
      </c>
      <c r="BL68" s="2">
        <v>3</v>
      </c>
      <c r="BM68" s="2">
        <f t="shared" si="25"/>
        <v>14</v>
      </c>
      <c r="BN68" s="2">
        <f t="shared" si="26"/>
        <v>10</v>
      </c>
      <c r="BO68" s="2">
        <f t="shared" si="6"/>
        <v>62</v>
      </c>
      <c r="BP68" s="2">
        <f t="shared" si="27"/>
        <v>42</v>
      </c>
      <c r="BQ68" s="2">
        <f t="shared" si="8"/>
        <v>60</v>
      </c>
      <c r="BR68" s="2">
        <f t="shared" si="28"/>
        <v>30</v>
      </c>
      <c r="BS68" s="3"/>
      <c r="BT68" s="3"/>
      <c r="BU68" s="3"/>
      <c r="BV68">
        <f>F68-F67</f>
        <v>3</v>
      </c>
      <c r="BW68" s="2" t="str">
        <f>CONCATENATE(
ROUND(BS68*VLOOKUP(I68,'ID Scheme'!$A$2:$E$7,3),0), "x",
ROUND(BT68*VLOOKUP(I68,'ID Scheme'!$A$2:$E$7,5),0), "x",
ROUND(BU68*VLOOKUP(I68,'ID Scheme'!$A$2:$E$7,4),0))</f>
        <v>0x0x0</v>
      </c>
    </row>
    <row r="69" spans="1:76" x14ac:dyDescent="0.25">
      <c r="A69" t="s">
        <v>73</v>
      </c>
      <c r="B69" t="s">
        <v>202</v>
      </c>
      <c r="C69" t="s">
        <v>339</v>
      </c>
      <c r="D69">
        <f>IF(F69 &gt; 2020, ((F69-2020)*4)+1610+H69,IF(F69 &gt; 1900, ((F69-1900)*10)+400+H69, ((F69-1730)*2)+H69))+VLOOKUP(I69,'ID Scheme'!$A$2:$B$7,2, FALSE)</f>
        <v>3811</v>
      </c>
      <c r="F69">
        <v>1981</v>
      </c>
      <c r="G69">
        <v>1</v>
      </c>
      <c r="H69">
        <v>1</v>
      </c>
      <c r="I69" t="s">
        <v>13</v>
      </c>
      <c r="J69" t="s">
        <v>547</v>
      </c>
      <c r="K69">
        <v>68</v>
      </c>
      <c r="L69">
        <v>16</v>
      </c>
      <c r="M69">
        <v>18</v>
      </c>
      <c r="N69">
        <v>5</v>
      </c>
      <c r="O69">
        <v>3</v>
      </c>
      <c r="P69">
        <v>90</v>
      </c>
      <c r="Q69">
        <v>20</v>
      </c>
      <c r="R69">
        <v>1</v>
      </c>
      <c r="S69" t="s">
        <v>299</v>
      </c>
      <c r="T69">
        <v>0</v>
      </c>
      <c r="U69" s="2" t="s">
        <v>516</v>
      </c>
      <c r="V69" s="2" t="s">
        <v>343</v>
      </c>
      <c r="W69" s="2" t="s">
        <v>343</v>
      </c>
      <c r="X69" s="2"/>
      <c r="Y69" s="2" t="s">
        <v>343</v>
      </c>
      <c r="Z69" s="2"/>
      <c r="AA69" s="2"/>
      <c r="AB69" s="2"/>
      <c r="AC69" s="2"/>
      <c r="AD69" s="2"/>
      <c r="AE69" s="2"/>
      <c r="AH69">
        <v>18</v>
      </c>
      <c r="AI69">
        <v>5</v>
      </c>
      <c r="AJ69" s="7">
        <f>AI69*4</f>
        <v>20</v>
      </c>
      <c r="AK69" s="7">
        <f>(AH69*1.75)-MOD((AH69*1.75), BK69)</f>
        <v>31</v>
      </c>
      <c r="AL69" s="7">
        <f>(BM69*1.75)-MOD((BM69*1.75), BL69)</f>
        <v>31</v>
      </c>
      <c r="AM69" s="8">
        <f t="shared" si="29"/>
        <v>20</v>
      </c>
      <c r="AN69">
        <v>56</v>
      </c>
      <c r="AO69">
        <v>60</v>
      </c>
      <c r="AV69" t="s">
        <v>360</v>
      </c>
      <c r="BA69" s="2">
        <f>(SQRT(K69*AH69)*POWER((MIN(M69,20)+SQRT(MAX(M69-20,0))),0.9)*Data!$B$1)*(1-(R69-1))</f>
        <v>35.375063400315305</v>
      </c>
      <c r="BB69" s="2">
        <f>(POWER((K69*K69*AH69), 0.33)*LOG10(P69)*10*Data!$B$1)*R69</f>
        <v>61.621962939651276</v>
      </c>
      <c r="BC69" s="2"/>
      <c r="BD69" s="2"/>
      <c r="BE69" s="2">
        <f>IFERROR((SQRT($K69*$AI69)*POWER((MIN($M69,20)+SQRT(MAX($M69-20,0))),0.9)*Data!$B$1)*(1 - (R69-1)),BA69)</f>
        <v>18.644295452976195</v>
      </c>
      <c r="BF69" s="2">
        <f>IFERROR(((POWER(($K69*$K69*$AI69), 0.33)*LOG10($AF69)*10*Data!$B$1)*R69),BB69)</f>
        <v>61.621962939651276</v>
      </c>
      <c r="BG69" s="2">
        <f t="shared" si="21"/>
        <v>54.838709677419352</v>
      </c>
      <c r="BH69" s="2">
        <f t="shared" si="22"/>
        <v>0</v>
      </c>
      <c r="BI69" s="2">
        <f t="shared" si="23"/>
        <v>45.161290322580648</v>
      </c>
      <c r="BJ69" s="2">
        <f t="shared" si="24"/>
        <v>48.387096774193552</v>
      </c>
      <c r="BK69" s="2">
        <v>1</v>
      </c>
      <c r="BL69" s="2">
        <v>1</v>
      </c>
      <c r="BM69" s="2">
        <f t="shared" si="25"/>
        <v>18</v>
      </c>
      <c r="BN69" s="2">
        <f t="shared" si="26"/>
        <v>5</v>
      </c>
      <c r="BO69" s="2">
        <f t="shared" si="6"/>
        <v>31</v>
      </c>
      <c r="BP69" s="2">
        <f t="shared" si="27"/>
        <v>18</v>
      </c>
      <c r="BQ69" s="2">
        <f t="shared" si="8"/>
        <v>20</v>
      </c>
      <c r="BR69" s="2">
        <f t="shared" si="28"/>
        <v>5</v>
      </c>
      <c r="BS69" s="3">
        <v>6.2</v>
      </c>
      <c r="BT69" s="3">
        <v>2.2000000000000002</v>
      </c>
      <c r="BU69" s="3">
        <v>2.6</v>
      </c>
      <c r="BV69">
        <f>F69-F68</f>
        <v>1</v>
      </c>
      <c r="BW69" s="2" t="str">
        <f>CONCATENATE(
ROUND(BS69*VLOOKUP(I69,'ID Scheme'!$A$2:$E$7,3),0), "x",
ROUND(BT69*VLOOKUP(I69,'ID Scheme'!$A$2:$E$7,5),0), "x",
ROUND(BU69*VLOOKUP(I69,'ID Scheme'!$A$2:$E$7,4),0))</f>
        <v>58x32x25</v>
      </c>
      <c r="BX69" t="s">
        <v>79</v>
      </c>
    </row>
    <row r="70" spans="1:76" x14ac:dyDescent="0.25">
      <c r="A70" t="s">
        <v>30</v>
      </c>
      <c r="B70" t="s">
        <v>196</v>
      </c>
      <c r="C70" t="s">
        <v>339</v>
      </c>
      <c r="D70">
        <f>IF(F70 &gt; 2020, ((F70-2020)*4)+1610+H70,IF(F70 &gt; 1900, ((F70-1900)*10)+400+H70, ((F70-1730)*2)+H70))+VLOOKUP(I70,'ID Scheme'!$A$2:$B$7,2, FALSE)</f>
        <v>3821</v>
      </c>
      <c r="F70">
        <v>1982</v>
      </c>
      <c r="G70">
        <v>1</v>
      </c>
      <c r="H70">
        <v>1</v>
      </c>
      <c r="I70" t="s">
        <v>13</v>
      </c>
      <c r="J70" t="s">
        <v>547</v>
      </c>
      <c r="K70">
        <v>60</v>
      </c>
      <c r="L70">
        <v>20</v>
      </c>
      <c r="M70">
        <v>20</v>
      </c>
      <c r="N70">
        <v>5</v>
      </c>
      <c r="O70">
        <v>9</v>
      </c>
      <c r="P70">
        <v>315</v>
      </c>
      <c r="Q70">
        <v>20</v>
      </c>
      <c r="R70">
        <v>1</v>
      </c>
      <c r="S70" t="s">
        <v>311</v>
      </c>
      <c r="T70">
        <v>3</v>
      </c>
      <c r="U70" s="2" t="s">
        <v>511</v>
      </c>
      <c r="V70" s="2" t="s">
        <v>343</v>
      </c>
      <c r="W70" s="2" t="s">
        <v>343</v>
      </c>
      <c r="X70" s="2"/>
      <c r="Y70" s="2" t="s">
        <v>343</v>
      </c>
      <c r="Z70" s="2"/>
      <c r="AA70" s="2"/>
      <c r="AB70" s="2"/>
      <c r="AC70" s="2"/>
      <c r="AD70" s="2"/>
      <c r="AE70" s="2"/>
      <c r="AH70">
        <v>28</v>
      </c>
      <c r="AI70">
        <v>19</v>
      </c>
      <c r="AJ70" s="6">
        <f t="shared" si="34"/>
        <v>38</v>
      </c>
      <c r="AK70" s="6">
        <f>(AH70*1.5)-MOD((AH70*1.5), BK69)</f>
        <v>42</v>
      </c>
      <c r="AL70" s="6">
        <f>(BM70*1.5)-MOD((BM70*1.5), BL70)</f>
        <v>42</v>
      </c>
      <c r="AM70" s="8">
        <f t="shared" si="29"/>
        <v>38</v>
      </c>
      <c r="AN70">
        <v>56</v>
      </c>
      <c r="AV70" t="s">
        <v>360</v>
      </c>
      <c r="BA70" s="2">
        <f>(SQRT(K70*AH70)*POWER((MIN(M70,20)+SQRT(MAX(M70-20,0))),0.9)*Data!$B$1)*(1-(R70-1))</f>
        <v>45.566209265732887</v>
      </c>
      <c r="BB70" s="2">
        <f>(POWER((K70*K70*AH70), 0.33)*LOG10(P70)*10*Data!$B$1)*R70</f>
        <v>83.916944346608517</v>
      </c>
      <c r="BC70" s="2"/>
      <c r="BD70" s="2"/>
      <c r="BE70" s="2">
        <f>IFERROR((SQRT($K70*$AI70)*POWER((MIN($M70,20)+SQRT(MAX($M70-20,0))),0.9)*Data!$B$1)*(1 - (R70-1)),BA70)</f>
        <v>37.535368611352354</v>
      </c>
      <c r="BF70" s="2">
        <f>IFERROR(((POWER(($K70*$K70*$AI70), 0.33)*LOG10($AF70)*10*Data!$B$1)*R70),BB70)</f>
        <v>83.916944346608517</v>
      </c>
      <c r="BG70" s="2">
        <f t="shared" si="21"/>
        <v>48.387096774193552</v>
      </c>
      <c r="BH70" s="2">
        <f t="shared" si="22"/>
        <v>0</v>
      </c>
      <c r="BI70" s="2">
        <f t="shared" si="23"/>
        <v>45.161290322580648</v>
      </c>
      <c r="BJ70" s="2">
        <f t="shared" si="24"/>
        <v>0</v>
      </c>
      <c r="BK70" s="2">
        <v>1</v>
      </c>
      <c r="BL70" s="2">
        <v>1</v>
      </c>
      <c r="BM70" s="2">
        <f t="shared" si="25"/>
        <v>28</v>
      </c>
      <c r="BN70" s="2">
        <f t="shared" si="26"/>
        <v>19</v>
      </c>
      <c r="BO70" s="2">
        <f t="shared" si="6"/>
        <v>42</v>
      </c>
      <c r="BP70" s="2">
        <f t="shared" si="27"/>
        <v>28</v>
      </c>
      <c r="BQ70" s="2">
        <f t="shared" si="8"/>
        <v>38</v>
      </c>
      <c r="BR70" s="2">
        <f t="shared" si="28"/>
        <v>19</v>
      </c>
      <c r="BS70" s="3"/>
      <c r="BT70" s="3"/>
      <c r="BU70" s="3"/>
      <c r="BV70">
        <f>F70-F69</f>
        <v>1</v>
      </c>
      <c r="BW70" s="2" t="str">
        <f>CONCATENATE(
ROUND(BS70*VLOOKUP(I70,'ID Scheme'!$A$2:$E$7,3),0), "x",
ROUND(BT70*VLOOKUP(I70,'ID Scheme'!$A$2:$E$7,5),0), "x",
ROUND(BU70*VLOOKUP(I70,'ID Scheme'!$A$2:$E$7,4),0))</f>
        <v>0x0x0</v>
      </c>
    </row>
    <row r="71" spans="1:76" x14ac:dyDescent="0.25">
      <c r="A71" t="s">
        <v>88</v>
      </c>
      <c r="B71" t="s">
        <v>214</v>
      </c>
      <c r="C71" t="s">
        <v>339</v>
      </c>
      <c r="D71">
        <f>IF(F71 &gt; 2020, ((F71-2020)*4)+1610+H71,IF(F71 &gt; 1900, ((F71-1900)*10)+400+H71, ((F71-1730)*2)+H71))+VLOOKUP(I71,'ID Scheme'!$A$2:$B$7,2, FALSE)</f>
        <v>3831</v>
      </c>
      <c r="F71">
        <v>1983</v>
      </c>
      <c r="G71">
        <v>1</v>
      </c>
      <c r="H71">
        <v>1</v>
      </c>
      <c r="I71" t="s">
        <v>13</v>
      </c>
      <c r="J71" t="s">
        <v>547</v>
      </c>
      <c r="K71">
        <v>64</v>
      </c>
      <c r="L71">
        <v>18</v>
      </c>
      <c r="M71">
        <v>19</v>
      </c>
      <c r="N71">
        <v>5</v>
      </c>
      <c r="O71">
        <v>9</v>
      </c>
      <c r="P71">
        <v>136</v>
      </c>
      <c r="Q71">
        <v>20</v>
      </c>
      <c r="R71">
        <v>1</v>
      </c>
      <c r="S71" t="s">
        <v>299</v>
      </c>
      <c r="T71">
        <v>0</v>
      </c>
      <c r="U71" s="2" t="s">
        <v>510</v>
      </c>
      <c r="V71" s="2" t="s">
        <v>343</v>
      </c>
      <c r="W71" s="2" t="s">
        <v>343</v>
      </c>
      <c r="X71" s="2"/>
      <c r="Y71" s="2" t="s">
        <v>343</v>
      </c>
      <c r="Z71" s="2"/>
      <c r="AA71" s="2"/>
      <c r="AB71" s="2"/>
      <c r="AC71" s="2"/>
      <c r="AD71" s="2"/>
      <c r="AE71" s="2"/>
      <c r="AH71">
        <v>22</v>
      </c>
      <c r="AI71">
        <v>8</v>
      </c>
      <c r="AJ71" s="7">
        <f>AI71*4</f>
        <v>32</v>
      </c>
      <c r="AK71" s="7">
        <f>(AH71*1.75)-MOD((AH71*1.75), BK71)</f>
        <v>38</v>
      </c>
      <c r="AL71" s="7">
        <f>(BM71*1.75)-MOD((BM71*1.75), BL71)</f>
        <v>38</v>
      </c>
      <c r="AM71" s="8">
        <f t="shared" si="29"/>
        <v>32</v>
      </c>
      <c r="AN71">
        <v>56</v>
      </c>
      <c r="AO71">
        <v>60</v>
      </c>
      <c r="AV71" t="s">
        <v>360</v>
      </c>
      <c r="BA71" s="2">
        <f>(SQRT(K71*AH71)*POWER((MIN(M71,20)+SQRT(MAX(M71-20,0))),0.9)*Data!$B$1)*(1-(R71-1))</f>
        <v>39.832799628379171</v>
      </c>
      <c r="BB71" s="2">
        <f>(POWER((K71*K71*AH71), 0.33)*LOG10(P71)*10*Data!$B$1)*R71</f>
        <v>69.06215060093264</v>
      </c>
      <c r="BC71" s="2"/>
      <c r="BD71" s="2"/>
      <c r="BE71" s="2">
        <f>IFERROR((SQRT($K71*$AI71)*POWER((MIN($M71,20)+SQRT(MAX($M71-20,0))),0.9)*Data!$B$1)*(1 - (R71-1)),BA71)</f>
        <v>24.020081948498497</v>
      </c>
      <c r="BF71" s="2">
        <f>IFERROR(((POWER(($K71*$K71*$AI71), 0.33)*LOG10($AF71)*10*Data!$B$1)*R71),BB71)</f>
        <v>69.06215060093264</v>
      </c>
      <c r="BG71" s="2">
        <f t="shared" si="21"/>
        <v>51.612903225806456</v>
      </c>
      <c r="BH71" s="2">
        <f t="shared" si="22"/>
        <v>0</v>
      </c>
      <c r="BI71" s="2">
        <f t="shared" si="23"/>
        <v>45.161290322580648</v>
      </c>
      <c r="BJ71" s="2">
        <f t="shared" si="24"/>
        <v>48.387096774193552</v>
      </c>
      <c r="BK71" s="2">
        <v>1</v>
      </c>
      <c r="BL71" s="2">
        <v>1</v>
      </c>
      <c r="BM71" s="2">
        <f t="shared" si="25"/>
        <v>22</v>
      </c>
      <c r="BN71" s="2">
        <f t="shared" si="26"/>
        <v>8</v>
      </c>
      <c r="BO71" s="2">
        <f t="shared" si="6"/>
        <v>38</v>
      </c>
      <c r="BP71" s="2">
        <f t="shared" si="27"/>
        <v>22</v>
      </c>
      <c r="BQ71" s="2">
        <f t="shared" si="8"/>
        <v>32</v>
      </c>
      <c r="BR71" s="2">
        <f t="shared" si="28"/>
        <v>8</v>
      </c>
      <c r="BS71" s="3">
        <v>7.7</v>
      </c>
      <c r="BT71" s="3">
        <v>2.2000000000000002</v>
      </c>
      <c r="BU71" s="3">
        <v>2.6</v>
      </c>
      <c r="BV71">
        <f>F71-F70</f>
        <v>1</v>
      </c>
      <c r="BW71" s="2" t="str">
        <f>CONCATENATE(
ROUND(BS71*VLOOKUP(I71,'ID Scheme'!$A$2:$E$7,3),0), "x",
ROUND(BT71*VLOOKUP(I71,'ID Scheme'!$A$2:$E$7,5),0), "x",
ROUND(BU71*VLOOKUP(I71,'ID Scheme'!$A$2:$E$7,4),0))</f>
        <v>72x32x25</v>
      </c>
      <c r="BX71" t="s">
        <v>89</v>
      </c>
    </row>
    <row r="72" spans="1:76" x14ac:dyDescent="0.25">
      <c r="A72" t="s">
        <v>31</v>
      </c>
      <c r="B72" t="s">
        <v>197</v>
      </c>
      <c r="C72" t="s">
        <v>339</v>
      </c>
      <c r="D72">
        <f>IF(F72 &gt; 2020, ((F72-2020)*4)+1610+H72,IF(F72 &gt; 1900, ((F72-1900)*10)+400+H72, ((F72-1730)*2)+H72))+VLOOKUP(I72,'ID Scheme'!$A$2:$B$7,2, FALSE)</f>
        <v>3861</v>
      </c>
      <c r="F72">
        <v>1986</v>
      </c>
      <c r="G72">
        <v>1</v>
      </c>
      <c r="H72">
        <v>1</v>
      </c>
      <c r="I72" t="s">
        <v>13</v>
      </c>
      <c r="J72" t="s">
        <v>547</v>
      </c>
      <c r="K72">
        <v>62</v>
      </c>
      <c r="L72">
        <v>20</v>
      </c>
      <c r="M72">
        <v>20</v>
      </c>
      <c r="N72">
        <v>5</v>
      </c>
      <c r="O72">
        <v>9</v>
      </c>
      <c r="P72">
        <v>315</v>
      </c>
      <c r="Q72">
        <v>20</v>
      </c>
      <c r="R72">
        <v>1</v>
      </c>
      <c r="S72" t="s">
        <v>311</v>
      </c>
      <c r="T72">
        <v>3</v>
      </c>
      <c r="U72" s="2" t="s">
        <v>509</v>
      </c>
      <c r="V72" s="2" t="s">
        <v>343</v>
      </c>
      <c r="W72" s="2" t="s">
        <v>343</v>
      </c>
      <c r="X72" s="2"/>
      <c r="Y72" s="2" t="s">
        <v>343</v>
      </c>
      <c r="Z72" s="2"/>
      <c r="AA72" s="2"/>
      <c r="AB72" s="2"/>
      <c r="AC72" s="2"/>
      <c r="AD72" s="2"/>
      <c r="AE72" s="2"/>
      <c r="AH72">
        <v>30</v>
      </c>
      <c r="AI72">
        <v>20</v>
      </c>
      <c r="AJ72" s="6">
        <f t="shared" si="34"/>
        <v>40</v>
      </c>
      <c r="AK72" s="6">
        <f>(AH72*1.5)-MOD((AH72*1.5), BK71)</f>
        <v>45</v>
      </c>
      <c r="AL72" s="6">
        <f t="shared" ref="AL72:AL73" si="37">(BM72*1.5)-MOD((BM72*1.5), BL72)</f>
        <v>45</v>
      </c>
      <c r="AM72" s="8">
        <f t="shared" si="29"/>
        <v>40</v>
      </c>
      <c r="AN72">
        <v>56</v>
      </c>
      <c r="AO72">
        <v>60</v>
      </c>
      <c r="AV72" t="s">
        <v>360</v>
      </c>
      <c r="BA72" s="2">
        <f>(SQRT(K72*AH72)*POWER((MIN(M72,20)+SQRT(MAX(M72-20,0))),0.9)*Data!$B$1)*(1-(R72-1))</f>
        <v>47.945155509895372</v>
      </c>
      <c r="BB72" s="2">
        <f>(POWER((K72*K72*AH72), 0.33)*LOG10(P72)*10*Data!$B$1)*R72</f>
        <v>87.727593286354292</v>
      </c>
      <c r="BC72" s="2"/>
      <c r="BD72" s="2"/>
      <c r="BE72" s="2">
        <f>IFERROR((SQRT($K72*$AI72)*POWER((MIN($M72,20)+SQRT(MAX($M72-20,0))),0.9)*Data!$B$1)*(1 - (R72-1)),BA72)</f>
        <v>39.147055545877699</v>
      </c>
      <c r="BF72" s="2">
        <f>IFERROR(((POWER(($K72*$K72*$AI72), 0.33)*LOG10($AF72)*10*Data!$B$1)*R72),BB72)</f>
        <v>87.727593286354292</v>
      </c>
      <c r="BG72" s="2">
        <f t="shared" si="21"/>
        <v>50</v>
      </c>
      <c r="BH72" s="2">
        <f t="shared" si="22"/>
        <v>0</v>
      </c>
      <c r="BI72" s="2">
        <f t="shared" si="23"/>
        <v>45.161290322580648</v>
      </c>
      <c r="BJ72" s="2">
        <f t="shared" si="24"/>
        <v>48.387096774193552</v>
      </c>
      <c r="BK72" s="2">
        <v>1</v>
      </c>
      <c r="BL72" s="2">
        <v>1</v>
      </c>
      <c r="BM72" s="2">
        <f t="shared" si="25"/>
        <v>30</v>
      </c>
      <c r="BN72" s="2">
        <f t="shared" si="26"/>
        <v>20</v>
      </c>
      <c r="BO72" s="2">
        <f t="shared" si="6"/>
        <v>45</v>
      </c>
      <c r="BP72" s="2">
        <f t="shared" si="27"/>
        <v>30</v>
      </c>
      <c r="BQ72" s="2">
        <f t="shared" si="8"/>
        <v>40</v>
      </c>
      <c r="BR72" s="2">
        <f t="shared" si="28"/>
        <v>20</v>
      </c>
      <c r="BS72" s="3"/>
      <c r="BT72" s="3"/>
      <c r="BU72" s="3"/>
      <c r="BV72">
        <f>F72-F71</f>
        <v>3</v>
      </c>
      <c r="BW72" s="2" t="str">
        <f>CONCATENATE(
ROUND(BS72*VLOOKUP(I72,'ID Scheme'!$A$2:$E$7,3),0), "x",
ROUND(BT72*VLOOKUP(I72,'ID Scheme'!$A$2:$E$7,5),0), "x",
ROUND(BU72*VLOOKUP(I72,'ID Scheme'!$A$2:$E$7,4),0))</f>
        <v>0x0x0</v>
      </c>
    </row>
    <row r="73" spans="1:76" x14ac:dyDescent="0.25">
      <c r="A73" t="s">
        <v>16</v>
      </c>
      <c r="B73" t="s">
        <v>232</v>
      </c>
      <c r="C73" t="s">
        <v>369</v>
      </c>
      <c r="D73">
        <f>IF(F73 &gt; 2020, ((F73-2020)*4)+1610+H73,IF(F73 &gt; 1900, ((F73-1900)*10)+400+H73, ((F73-1730)*2)+H73))+VLOOKUP(I73,'ID Scheme'!$A$2:$B$7,2, FALSE)</f>
        <v>3871</v>
      </c>
      <c r="F73">
        <v>1987</v>
      </c>
      <c r="G73">
        <v>1</v>
      </c>
      <c r="H73">
        <v>1</v>
      </c>
      <c r="I73" t="s">
        <v>13</v>
      </c>
      <c r="J73" t="s">
        <v>547</v>
      </c>
      <c r="K73">
        <v>65</v>
      </c>
      <c r="L73">
        <v>14</v>
      </c>
      <c r="M73">
        <v>15</v>
      </c>
      <c r="N73">
        <v>5</v>
      </c>
      <c r="O73">
        <v>12</v>
      </c>
      <c r="P73">
        <v>420</v>
      </c>
      <c r="Q73">
        <v>18</v>
      </c>
      <c r="R73">
        <v>1</v>
      </c>
      <c r="S73" t="s">
        <v>311</v>
      </c>
      <c r="T73">
        <v>-3</v>
      </c>
      <c r="U73" s="2" t="s">
        <v>506</v>
      </c>
      <c r="V73" s="2"/>
      <c r="W73" s="2" t="s">
        <v>343</v>
      </c>
      <c r="X73" s="2"/>
      <c r="Y73" s="2" t="s">
        <v>343</v>
      </c>
      <c r="Z73" s="2"/>
      <c r="AA73" s="2"/>
      <c r="AB73" s="2"/>
      <c r="AC73" s="2"/>
      <c r="AD73" s="2" t="s">
        <v>374</v>
      </c>
      <c r="AE73" s="2"/>
      <c r="AH73">
        <v>45</v>
      </c>
      <c r="AI73">
        <v>30</v>
      </c>
      <c r="AJ73" s="6">
        <f t="shared" si="34"/>
        <v>60</v>
      </c>
      <c r="AK73" s="6">
        <f>(AH73*1.5)-MOD((AH73*1.5), BK72)</f>
        <v>67</v>
      </c>
      <c r="AL73" s="6">
        <f t="shared" si="37"/>
        <v>21</v>
      </c>
      <c r="AM73" s="8">
        <f t="shared" si="29"/>
        <v>20</v>
      </c>
      <c r="AN73">
        <v>56</v>
      </c>
      <c r="AO73">
        <v>60</v>
      </c>
      <c r="AQ73">
        <v>1</v>
      </c>
      <c r="AT73" t="s">
        <v>441</v>
      </c>
      <c r="AU73" t="s">
        <v>539</v>
      </c>
      <c r="AV73" t="s">
        <v>360</v>
      </c>
      <c r="BA73" s="2">
        <f>(SQRT(K73*AH73)*POWER((MIN(M73,20)+SQRT(MAX(M73-20,0))),0.9)*Data!$B$1)*(1-(R73-1))</f>
        <v>46.409440397444101</v>
      </c>
      <c r="BB73" s="2">
        <f>(POWER((K73*K73*AH73), 0.33)*LOG10(P73)*10*Data!$B$1)*R73</f>
        <v>108.63850295590133</v>
      </c>
      <c r="BC73" s="2"/>
      <c r="BD73" s="2"/>
      <c r="BE73" s="2">
        <f>IFERROR((SQRT($K73*$AI73)*POWER((MIN($M73,20)+SQRT(MAX($M73-20,0))),0.9)*Data!$B$1)*(1 - (R73-1)),BA73)</f>
        <v>37.893149407282195</v>
      </c>
      <c r="BF73" s="2">
        <f>IFERROR(((POWER(($K73*$K73*$AI73), 0.33)*LOG10($AF73)*10*Data!$B$1)*R73),BB73)</f>
        <v>108.63850295590133</v>
      </c>
      <c r="BG73" s="2">
        <f t="shared" si="21"/>
        <v>52.41935483870968</v>
      </c>
      <c r="BH73" s="2">
        <f t="shared" si="22"/>
        <v>0</v>
      </c>
      <c r="BI73" s="2">
        <f t="shared" si="23"/>
        <v>45.161290322580648</v>
      </c>
      <c r="BJ73" s="2">
        <f t="shared" si="24"/>
        <v>48.387096774193552</v>
      </c>
      <c r="BK73" s="2">
        <v>2</v>
      </c>
      <c r="BL73" s="2">
        <v>3</v>
      </c>
      <c r="BM73" s="2">
        <f t="shared" si="25"/>
        <v>15</v>
      </c>
      <c r="BN73" s="2">
        <f t="shared" si="26"/>
        <v>10</v>
      </c>
      <c r="BO73" s="2">
        <f t="shared" si="6"/>
        <v>67</v>
      </c>
      <c r="BP73" s="2">
        <f t="shared" si="27"/>
        <v>45</v>
      </c>
      <c r="BQ73" s="2">
        <f t="shared" si="8"/>
        <v>60</v>
      </c>
      <c r="BR73" s="2">
        <f t="shared" si="28"/>
        <v>30</v>
      </c>
      <c r="BS73" s="3"/>
      <c r="BT73" s="3"/>
      <c r="BU73" s="3"/>
      <c r="BV73">
        <f>F73-F72</f>
        <v>1</v>
      </c>
      <c r="BW73" s="2" t="str">
        <f>CONCATENATE(
ROUND(BS73*VLOOKUP(I73,'ID Scheme'!$A$2:$E$7,3),0), "x",
ROUND(BT73*VLOOKUP(I73,'ID Scheme'!$A$2:$E$7,5),0), "x",
ROUND(BU73*VLOOKUP(I73,'ID Scheme'!$A$2:$E$7,4),0))</f>
        <v>0x0x0</v>
      </c>
    </row>
    <row r="74" spans="1:76" x14ac:dyDescent="0.25">
      <c r="A74" t="s">
        <v>76</v>
      </c>
      <c r="B74" t="s">
        <v>206</v>
      </c>
      <c r="C74" t="s">
        <v>339</v>
      </c>
      <c r="D74">
        <f>IF(F74 &gt; 2020, ((F74-2020)*4)+1610+H74,IF(F74 &gt; 1900, ((F74-1900)*10)+400+H74, ((F74-1730)*2)+H74))+VLOOKUP(I74,'ID Scheme'!$A$2:$B$7,2, FALSE)</f>
        <v>3931</v>
      </c>
      <c r="F74">
        <v>1993</v>
      </c>
      <c r="G74">
        <v>1</v>
      </c>
      <c r="H74">
        <v>1</v>
      </c>
      <c r="I74" t="s">
        <v>13</v>
      </c>
      <c r="J74" t="s">
        <v>547</v>
      </c>
      <c r="K74">
        <v>72</v>
      </c>
      <c r="L74">
        <v>-1</v>
      </c>
      <c r="M74">
        <v>18</v>
      </c>
      <c r="N74">
        <v>5</v>
      </c>
      <c r="O74">
        <v>3</v>
      </c>
      <c r="P74">
        <v>105</v>
      </c>
      <c r="Q74">
        <v>20</v>
      </c>
      <c r="R74">
        <v>1</v>
      </c>
      <c r="S74" t="s">
        <v>299</v>
      </c>
      <c r="T74">
        <v>0</v>
      </c>
      <c r="U74" s="2" t="s">
        <v>508</v>
      </c>
      <c r="V74" s="2" t="s">
        <v>343</v>
      </c>
      <c r="W74" s="2" t="s">
        <v>343</v>
      </c>
      <c r="X74" s="2"/>
      <c r="Y74" s="2" t="s">
        <v>343</v>
      </c>
      <c r="Z74" s="2"/>
      <c r="AA74" s="2"/>
      <c r="AB74" s="2"/>
      <c r="AC74" s="2"/>
      <c r="AD74" s="2"/>
      <c r="AE74" s="2"/>
      <c r="AH74">
        <v>18</v>
      </c>
      <c r="AI74">
        <v>5</v>
      </c>
      <c r="AJ74" s="7">
        <f>AI74*4</f>
        <v>20</v>
      </c>
      <c r="AK74" s="7">
        <f>(AH74*1.75)-MOD((AH74*1.75), BK74)</f>
        <v>31</v>
      </c>
      <c r="AL74" s="7">
        <f>(BM74*1.75)-MOD((BM74*1.75), BL74)</f>
        <v>31</v>
      </c>
      <c r="AM74" s="8">
        <f t="shared" si="29"/>
        <v>20</v>
      </c>
      <c r="AN74">
        <v>56</v>
      </c>
      <c r="AO74">
        <v>60</v>
      </c>
      <c r="AV74" t="s">
        <v>360</v>
      </c>
      <c r="BA74" s="2">
        <f>(SQRT(K74*AH74)*POWER((MIN(M74,20)+SQRT(MAX(M74-20,0))),0.9)*Data!$B$1)*(1-(R74-1))</f>
        <v>36.400639934883735</v>
      </c>
      <c r="BB74" s="2">
        <f>(POWER((K74*K74*AH74), 0.33)*LOG10(P74)*10*Data!$B$1)*R74</f>
        <v>66.183179614250491</v>
      </c>
      <c r="BC74" s="2"/>
      <c r="BD74" s="2"/>
      <c r="BE74" s="2">
        <f>IFERROR((SQRT($K74*$AI74)*POWER((MIN($M74,20)+SQRT(MAX($M74-20,0))),0.9)*Data!$B$1)*(1 - (R74-1)),BA74)</f>
        <v>19.184821746985971</v>
      </c>
      <c r="BF74" s="2">
        <f>IFERROR(((POWER(($K74*$K74*$AI74), 0.33)*LOG10($AF74)*10*Data!$B$1)*R74),BB74)</f>
        <v>66.183179614250491</v>
      </c>
      <c r="BG74" s="2">
        <f t="shared" si="21"/>
        <v>58.064516129032256</v>
      </c>
      <c r="BH74" s="2">
        <f t="shared" si="22"/>
        <v>0</v>
      </c>
      <c r="BI74" s="2">
        <f t="shared" si="23"/>
        <v>45.161290322580648</v>
      </c>
      <c r="BJ74" s="2">
        <f t="shared" si="24"/>
        <v>48.387096774193552</v>
      </c>
      <c r="BK74" s="2">
        <v>1</v>
      </c>
      <c r="BL74" s="2">
        <v>1</v>
      </c>
      <c r="BM74" s="2">
        <f t="shared" si="25"/>
        <v>18</v>
      </c>
      <c r="BN74" s="2">
        <f t="shared" si="26"/>
        <v>5</v>
      </c>
      <c r="BO74" s="2">
        <f t="shared" si="6"/>
        <v>31</v>
      </c>
      <c r="BP74" s="2">
        <f t="shared" si="27"/>
        <v>18</v>
      </c>
      <c r="BQ74" s="2">
        <f t="shared" si="8"/>
        <v>20</v>
      </c>
      <c r="BR74" s="2">
        <f t="shared" si="28"/>
        <v>5</v>
      </c>
      <c r="BS74" s="3">
        <v>6.2</v>
      </c>
      <c r="BT74" s="3">
        <v>2.2000000000000002</v>
      </c>
      <c r="BU74" s="3">
        <v>2.6</v>
      </c>
      <c r="BV74">
        <f>F74-F73</f>
        <v>6</v>
      </c>
      <c r="BW74" s="2" t="str">
        <f>CONCATENATE(
ROUND(BS74*VLOOKUP(I74,'ID Scheme'!$A$2:$E$7,3),0), "x",
ROUND(BT74*VLOOKUP(I74,'ID Scheme'!$A$2:$E$7,5),0), "x",
ROUND(BU74*VLOOKUP(I74,'ID Scheme'!$A$2:$E$7,4),0))</f>
        <v>58x32x25</v>
      </c>
      <c r="BX74" t="s">
        <v>82</v>
      </c>
    </row>
    <row r="75" spans="1:76" x14ac:dyDescent="0.25">
      <c r="A75" t="s">
        <v>17</v>
      </c>
      <c r="B75" t="s">
        <v>233</v>
      </c>
      <c r="C75" t="s">
        <v>369</v>
      </c>
      <c r="D75">
        <f>IF(F75 &gt; 2020, ((F75-2020)*4)+1610+H75,IF(F75 &gt; 1900, ((F75-1900)*10)+400+H75, ((F75-1730)*2)+H75))+VLOOKUP(I75,'ID Scheme'!$A$2:$B$7,2, FALSE)</f>
        <v>3951</v>
      </c>
      <c r="F75">
        <v>1995</v>
      </c>
      <c r="G75">
        <v>6</v>
      </c>
      <c r="H75">
        <v>1</v>
      </c>
      <c r="I75" t="s">
        <v>13</v>
      </c>
      <c r="J75" t="s">
        <v>547</v>
      </c>
      <c r="K75">
        <v>68</v>
      </c>
      <c r="L75">
        <v>12</v>
      </c>
      <c r="M75">
        <v>15</v>
      </c>
      <c r="N75">
        <v>5</v>
      </c>
      <c r="O75">
        <v>12.5</v>
      </c>
      <c r="P75">
        <v>420</v>
      </c>
      <c r="Q75">
        <v>20</v>
      </c>
      <c r="R75">
        <v>1</v>
      </c>
      <c r="S75" t="s">
        <v>311</v>
      </c>
      <c r="T75">
        <v>-3</v>
      </c>
      <c r="U75" s="2" t="s">
        <v>507</v>
      </c>
      <c r="V75" s="2"/>
      <c r="W75" s="2" t="s">
        <v>343</v>
      </c>
      <c r="X75" s="2"/>
      <c r="Y75" s="2" t="s">
        <v>343</v>
      </c>
      <c r="Z75" s="2"/>
      <c r="AA75" s="2"/>
      <c r="AB75" s="2"/>
      <c r="AC75" s="2"/>
      <c r="AD75" s="2" t="s">
        <v>374</v>
      </c>
      <c r="AE75" s="2"/>
      <c r="AH75">
        <v>48</v>
      </c>
      <c r="AI75">
        <v>30</v>
      </c>
      <c r="AJ75" s="6">
        <f t="shared" si="34"/>
        <v>60</v>
      </c>
      <c r="AK75" s="6">
        <f>(AH75*1.5)-MOD((AH75*1.5), BK74)</f>
        <v>72</v>
      </c>
      <c r="AL75" s="6">
        <f t="shared" ref="AL75:AL77" si="38">(BM75*1.5)-MOD((BM75*1.5), BL75)</f>
        <v>24</v>
      </c>
      <c r="AM75" s="8">
        <f t="shared" si="29"/>
        <v>20</v>
      </c>
      <c r="AN75">
        <v>56</v>
      </c>
      <c r="AO75">
        <v>60</v>
      </c>
      <c r="AQ75">
        <v>1</v>
      </c>
      <c r="AT75" t="s">
        <v>441</v>
      </c>
      <c r="AU75" t="s">
        <v>539</v>
      </c>
      <c r="AV75" t="s">
        <v>360</v>
      </c>
      <c r="BA75" s="2">
        <f>(SQRT(K75*AH75)*POWER((MIN(M75,20)+SQRT(MAX(M75-20,0))),0.9)*Data!$B$1)*(1-(R75-1))</f>
        <v>49.025098123917665</v>
      </c>
      <c r="BB75" s="2">
        <f>(POWER((K75*K75*AH75), 0.33)*LOG10(P75)*10*Data!$B$1)*R75</f>
        <v>114.33160972754995</v>
      </c>
      <c r="BC75" s="2"/>
      <c r="BD75" s="2"/>
      <c r="BE75" s="2">
        <f>IFERROR((SQRT($K75*$AI75)*POWER((MIN($M75,20)+SQRT(MAX($M75-20,0))),0.9)*Data!$B$1)*(1 - (R75-1)),BA75)</f>
        <v>38.757743146206884</v>
      </c>
      <c r="BF75" s="2">
        <f>IFERROR(((POWER(($K75*$K75*$AI75), 0.33)*LOG10($AF75)*10*Data!$B$1)*R75),BB75)</f>
        <v>114.33160972754995</v>
      </c>
      <c r="BG75" s="2">
        <f t="shared" si="21"/>
        <v>54.838709677419352</v>
      </c>
      <c r="BH75" s="2">
        <f t="shared" si="22"/>
        <v>0</v>
      </c>
      <c r="BI75" s="2">
        <f t="shared" si="23"/>
        <v>45.161290322580648</v>
      </c>
      <c r="BJ75" s="2">
        <f t="shared" si="24"/>
        <v>48.387096774193552</v>
      </c>
      <c r="BK75" s="2">
        <v>2</v>
      </c>
      <c r="BL75" s="2">
        <v>3</v>
      </c>
      <c r="BM75" s="2">
        <f t="shared" si="25"/>
        <v>16</v>
      </c>
      <c r="BN75" s="2">
        <f t="shared" si="26"/>
        <v>10</v>
      </c>
      <c r="BO75" s="2">
        <f t="shared" si="6"/>
        <v>72</v>
      </c>
      <c r="BP75" s="2">
        <f t="shared" si="27"/>
        <v>48</v>
      </c>
      <c r="BQ75" s="2">
        <f t="shared" si="8"/>
        <v>60</v>
      </c>
      <c r="BR75" s="2">
        <f t="shared" si="28"/>
        <v>30</v>
      </c>
      <c r="BS75" s="3"/>
      <c r="BT75" s="3"/>
      <c r="BU75" s="3"/>
      <c r="BV75">
        <f>F75-F74</f>
        <v>2</v>
      </c>
      <c r="BW75" s="2" t="str">
        <f>CONCATENATE(
ROUND(BS75*VLOOKUP(I75,'ID Scheme'!$A$2:$E$7,3),0), "x",
ROUND(BT75*VLOOKUP(I75,'ID Scheme'!$A$2:$E$7,5),0), "x",
ROUND(BU75*VLOOKUP(I75,'ID Scheme'!$A$2:$E$7,4),0))</f>
        <v>0x0x0</v>
      </c>
    </row>
    <row r="76" spans="1:76" x14ac:dyDescent="0.25">
      <c r="A76" t="s">
        <v>15</v>
      </c>
      <c r="B76" t="s">
        <v>199</v>
      </c>
      <c r="C76" t="s">
        <v>339</v>
      </c>
      <c r="D76">
        <f>IF(F76 &gt; 2020, ((F76-2020)*4)+1610+H76,IF(F76 &gt; 1900, ((F76-1900)*10)+400+H76, ((F76-1730)*2)+H76))+VLOOKUP(I76,'ID Scheme'!$A$2:$B$7,2, FALSE)</f>
        <v>3971</v>
      </c>
      <c r="F76">
        <v>1997</v>
      </c>
      <c r="G76">
        <v>1</v>
      </c>
      <c r="H76">
        <v>1</v>
      </c>
      <c r="I76" t="s">
        <v>13</v>
      </c>
      <c r="J76" t="s">
        <v>547</v>
      </c>
      <c r="K76">
        <v>70</v>
      </c>
      <c r="L76">
        <v>-1</v>
      </c>
      <c r="M76">
        <v>15</v>
      </c>
      <c r="N76">
        <v>5</v>
      </c>
      <c r="O76">
        <v>9</v>
      </c>
      <c r="P76">
        <v>405</v>
      </c>
      <c r="Q76">
        <v>20</v>
      </c>
      <c r="R76">
        <v>1</v>
      </c>
      <c r="S76" t="s">
        <v>311</v>
      </c>
      <c r="T76">
        <v>3</v>
      </c>
      <c r="U76" s="2" t="s">
        <v>505</v>
      </c>
      <c r="V76" s="2" t="s">
        <v>343</v>
      </c>
      <c r="W76" s="2" t="s">
        <v>343</v>
      </c>
      <c r="X76" s="2"/>
      <c r="Y76" s="2" t="s">
        <v>343</v>
      </c>
      <c r="Z76" s="2"/>
      <c r="AA76" s="2"/>
      <c r="AB76" s="2"/>
      <c r="AC76" s="2"/>
      <c r="AD76" s="2"/>
      <c r="AE76" s="2"/>
      <c r="AH76">
        <v>32</v>
      </c>
      <c r="AI76">
        <v>23</v>
      </c>
      <c r="AJ76" s="6">
        <f t="shared" si="34"/>
        <v>46</v>
      </c>
      <c r="AK76" s="6">
        <f>(AH76*1.5)-MOD((AH76*1.5), BK75)</f>
        <v>48</v>
      </c>
      <c r="AL76" s="6">
        <f t="shared" si="38"/>
        <v>48</v>
      </c>
      <c r="AM76" s="8">
        <f t="shared" si="29"/>
        <v>46</v>
      </c>
      <c r="AN76">
        <v>56</v>
      </c>
      <c r="AO76">
        <v>60</v>
      </c>
      <c r="AV76" t="s">
        <v>360</v>
      </c>
      <c r="BA76" s="2">
        <f>(SQRT(K76*AH76)*POWER((MIN(M76,20)+SQRT(MAX(M76-20,0))),0.9)*Data!$B$1)*(1-(R76-1))</f>
        <v>40.613218318644378</v>
      </c>
      <c r="BB76" s="2">
        <f>(POWER((K76*K76*AH76), 0.33)*LOG10(P76)*10*Data!$B$1)*R76</f>
        <v>101.33099065775636</v>
      </c>
      <c r="BC76" s="2"/>
      <c r="BD76" s="2"/>
      <c r="BE76" s="2">
        <f>IFERROR((SQRT($K76*$AI76)*POWER((MIN($M76,20)+SQRT(MAX($M76-20,0))),0.9)*Data!$B$1)*(1 - (R76-1)),BA76)</f>
        <v>34.431531039219266</v>
      </c>
      <c r="BF76" s="2">
        <f>IFERROR(((POWER(($K76*$K76*$AI76), 0.33)*LOG10($AF76)*10*Data!$B$1)*R76),BB76)</f>
        <v>101.33099065775636</v>
      </c>
      <c r="BG76" s="2">
        <f t="shared" ref="BG76:BG107" si="39">K76/1.24</f>
        <v>56.451612903225808</v>
      </c>
      <c r="BH76" s="2">
        <f t="shared" ref="BH76:BH107" si="40">AG76/1.24</f>
        <v>0</v>
      </c>
      <c r="BI76" s="2">
        <f t="shared" ref="BI76:BI107" si="41">AN76/1.24</f>
        <v>45.161290322580648</v>
      </c>
      <c r="BJ76" s="2">
        <f t="shared" ref="BJ76:BJ107" si="42">AO76/1.24</f>
        <v>48.387096774193552</v>
      </c>
      <c r="BK76" s="2">
        <v>1</v>
      </c>
      <c r="BL76" s="2">
        <v>1</v>
      </c>
      <c r="BM76" s="2">
        <f t="shared" ref="BM76:BM107" si="43">AH76/BL76</f>
        <v>32</v>
      </c>
      <c r="BN76" s="2">
        <f t="shared" ref="BN76:BN107" si="44">AI76/BL76</f>
        <v>23</v>
      </c>
      <c r="BO76" s="2">
        <f t="shared" ref="BO76:BO126" si="45">IF(AK76 &gt; 0, (AK76)/MAX(BK76-1, 1), -1)</f>
        <v>48</v>
      </c>
      <c r="BP76" s="2">
        <f t="shared" ref="BP76:BP107" si="46">(AH76)/MAX(BK76-1, 1)</f>
        <v>32</v>
      </c>
      <c r="BQ76" s="2">
        <f t="shared" ref="BQ76:BQ80" si="47">IF(AJ76 &gt; 0, (AJ76)/MAX(BK76-1, 1), -1)</f>
        <v>46</v>
      </c>
      <c r="BR76" s="2">
        <f t="shared" ref="BR76:BR107" si="48">IF(AI76 &gt; 0, (AI76)/MAX(BK76-1, 1), -1)</f>
        <v>23</v>
      </c>
      <c r="BS76" s="3"/>
      <c r="BT76" s="3"/>
      <c r="BU76" s="3"/>
      <c r="BV76">
        <f>F76-F75</f>
        <v>2</v>
      </c>
      <c r="BW76" s="2" t="str">
        <f>CONCATENATE(
ROUND(BS76*VLOOKUP(I76,'ID Scheme'!$A$2:$E$7,3),0), "x",
ROUND(BT76*VLOOKUP(I76,'ID Scheme'!$A$2:$E$7,5),0), "x",
ROUND(BU76*VLOOKUP(I76,'ID Scheme'!$A$2:$E$7,4),0))</f>
        <v>0x0x0</v>
      </c>
    </row>
    <row r="77" spans="1:76" x14ac:dyDescent="0.25">
      <c r="A77" t="s">
        <v>84</v>
      </c>
      <c r="B77" t="s">
        <v>217</v>
      </c>
      <c r="C77" t="s">
        <v>369</v>
      </c>
      <c r="D77">
        <f>IF(F77 &gt; 2020, ((F77-2020)*4)+1610+H77,IF(F77 &gt; 1900, ((F77-1900)*10)+400+H77, ((F77-1730)*2)+H77))+VLOOKUP(I77,'ID Scheme'!$A$2:$B$7,2, FALSE)</f>
        <v>4011</v>
      </c>
      <c r="F77">
        <v>2001</v>
      </c>
      <c r="G77">
        <v>1</v>
      </c>
      <c r="H77">
        <v>1</v>
      </c>
      <c r="I77" t="s">
        <v>13</v>
      </c>
      <c r="J77" t="s">
        <v>547</v>
      </c>
      <c r="K77">
        <v>70</v>
      </c>
      <c r="L77">
        <v>14</v>
      </c>
      <c r="M77">
        <v>14</v>
      </c>
      <c r="N77">
        <v>5</v>
      </c>
      <c r="O77">
        <v>12.5</v>
      </c>
      <c r="P77">
        <v>440</v>
      </c>
      <c r="Q77">
        <v>20</v>
      </c>
      <c r="R77">
        <v>0.97</v>
      </c>
      <c r="S77" t="s">
        <v>299</v>
      </c>
      <c r="T77">
        <v>-3</v>
      </c>
      <c r="U77" s="2" t="s">
        <v>504</v>
      </c>
      <c r="V77" s="2"/>
      <c r="W77" s="2" t="s">
        <v>343</v>
      </c>
      <c r="X77" s="2"/>
      <c r="Y77" s="2" t="s">
        <v>343</v>
      </c>
      <c r="Z77" s="2"/>
      <c r="AA77" s="2"/>
      <c r="AB77" s="2"/>
      <c r="AC77" s="2"/>
      <c r="AD77" s="2" t="s">
        <v>374</v>
      </c>
      <c r="AE77" s="2"/>
      <c r="AH77">
        <v>51</v>
      </c>
      <c r="AI77">
        <v>30</v>
      </c>
      <c r="AJ77" s="6">
        <f t="shared" si="34"/>
        <v>60</v>
      </c>
      <c r="AK77" s="6">
        <f>(AH77*1.5)-MOD((AH77*1.5), BK76)</f>
        <v>76</v>
      </c>
      <c r="AL77" s="6">
        <f t="shared" si="38"/>
        <v>24</v>
      </c>
      <c r="AM77" s="8">
        <f t="shared" si="29"/>
        <v>20</v>
      </c>
      <c r="AN77">
        <v>56</v>
      </c>
      <c r="AO77">
        <v>60</v>
      </c>
      <c r="AQ77">
        <v>1</v>
      </c>
      <c r="AT77" t="s">
        <v>441</v>
      </c>
      <c r="AU77" t="s">
        <v>539</v>
      </c>
      <c r="AV77" t="s">
        <v>360</v>
      </c>
      <c r="BA77" s="2">
        <f>(SQRT(K77*AH77)*POWER((MIN(M77,20)+SQRT(MAX(M77-20,0))),0.9)*Data!$B$1)*(1-(R77-1))</f>
        <v>49.630406036450424</v>
      </c>
      <c r="BB77" s="2">
        <f>(POWER((K77*K77*AH77), 0.33)*LOG10(P77)*10*Data!$B$1)*R77</f>
        <v>116.21639568567561</v>
      </c>
      <c r="BC77" s="2"/>
      <c r="BD77" s="2"/>
      <c r="BE77" s="2">
        <f>IFERROR((SQRT($K77*$AI77)*POWER((MIN($M77,20)+SQRT(MAX($M77-20,0))),0.9)*Data!$B$1)*(1 - (R77-1)),BA77)</f>
        <v>38.064783812236662</v>
      </c>
      <c r="BF77" s="2">
        <f>IFERROR(((POWER(($K77*$K77*$AI77), 0.33)*LOG10($AF77)*10*Data!$B$1)*R77),BB77)</f>
        <v>116.21639568567561</v>
      </c>
      <c r="BG77" s="2">
        <f t="shared" si="39"/>
        <v>56.451612903225808</v>
      </c>
      <c r="BH77" s="2">
        <f t="shared" si="40"/>
        <v>0</v>
      </c>
      <c r="BI77" s="2">
        <f t="shared" si="41"/>
        <v>45.161290322580648</v>
      </c>
      <c r="BJ77" s="2">
        <f t="shared" si="42"/>
        <v>48.387096774193552</v>
      </c>
      <c r="BK77" s="2">
        <v>2</v>
      </c>
      <c r="BL77" s="2">
        <v>3</v>
      </c>
      <c r="BM77" s="2">
        <f t="shared" si="43"/>
        <v>17</v>
      </c>
      <c r="BN77" s="2">
        <f t="shared" si="44"/>
        <v>10</v>
      </c>
      <c r="BO77" s="2">
        <f t="shared" si="45"/>
        <v>76</v>
      </c>
      <c r="BP77" s="2">
        <f t="shared" si="46"/>
        <v>51</v>
      </c>
      <c r="BQ77" s="2">
        <f t="shared" si="47"/>
        <v>60</v>
      </c>
      <c r="BR77" s="2">
        <f t="shared" si="48"/>
        <v>30</v>
      </c>
      <c r="BS77" s="3"/>
      <c r="BT77" s="3"/>
      <c r="BU77" s="3"/>
      <c r="BV77">
        <f>F77-F76</f>
        <v>4</v>
      </c>
      <c r="BW77" s="2" t="str">
        <f>CONCATENATE(
ROUND(BS77*VLOOKUP(I77,'ID Scheme'!$A$2:$E$7,3),0), "x",
ROUND(BT77*VLOOKUP(I77,'ID Scheme'!$A$2:$E$7,5),0), "x",
ROUND(BU77*VLOOKUP(I77,'ID Scheme'!$A$2:$E$7,4),0))</f>
        <v>0x0x0</v>
      </c>
    </row>
    <row r="78" spans="1:76" x14ac:dyDescent="0.25">
      <c r="A78" t="s">
        <v>90</v>
      </c>
      <c r="B78" t="s">
        <v>194</v>
      </c>
      <c r="C78" t="s">
        <v>339</v>
      </c>
      <c r="D78">
        <f>IF(F78 &gt; 2020, ((F78-2020)*4)+1610+H78,IF(F78 &gt; 1900, ((F78-1900)*10)+400+H78, ((F78-1730)*2)+H78))+VLOOKUP(I78,'ID Scheme'!$A$2:$B$7,2, FALSE)</f>
        <v>4012</v>
      </c>
      <c r="F78">
        <v>2001</v>
      </c>
      <c r="G78">
        <v>1</v>
      </c>
      <c r="H78">
        <v>2</v>
      </c>
      <c r="I78" t="s">
        <v>13</v>
      </c>
      <c r="J78" t="s">
        <v>547</v>
      </c>
      <c r="K78">
        <v>75</v>
      </c>
      <c r="L78">
        <v>-1</v>
      </c>
      <c r="M78">
        <v>18</v>
      </c>
      <c r="N78">
        <v>5</v>
      </c>
      <c r="O78">
        <v>9</v>
      </c>
      <c r="P78">
        <v>207</v>
      </c>
      <c r="Q78">
        <v>20</v>
      </c>
      <c r="R78">
        <v>1</v>
      </c>
      <c r="S78" t="s">
        <v>299</v>
      </c>
      <c r="T78">
        <v>0</v>
      </c>
      <c r="U78" s="2" t="s">
        <v>503</v>
      </c>
      <c r="V78" s="2" t="s">
        <v>343</v>
      </c>
      <c r="W78" s="2" t="s">
        <v>343</v>
      </c>
      <c r="X78" s="2"/>
      <c r="Y78" s="2" t="s">
        <v>343</v>
      </c>
      <c r="Z78" s="2"/>
      <c r="AA78" s="2"/>
      <c r="AB78" s="2"/>
      <c r="AC78" s="2"/>
      <c r="AD78" s="2"/>
      <c r="AE78" s="2"/>
      <c r="AH78">
        <v>24</v>
      </c>
      <c r="AI78">
        <v>8</v>
      </c>
      <c r="AJ78" s="7">
        <f>AI78*4</f>
        <v>32</v>
      </c>
      <c r="AK78" s="7">
        <f>(AH78*1.75)-MOD((AH78*1.75), BK78)</f>
        <v>42</v>
      </c>
      <c r="AL78" s="7">
        <f>(BM78*1.75)-MOD((BM78*1.75), BL78)</f>
        <v>42</v>
      </c>
      <c r="AM78" s="8">
        <f t="shared" si="29"/>
        <v>32</v>
      </c>
      <c r="AN78">
        <v>56</v>
      </c>
      <c r="AO78">
        <v>60</v>
      </c>
      <c r="AV78" t="s">
        <v>360</v>
      </c>
      <c r="BA78" s="2">
        <f>(SQRT(K78*AH78)*POWER((MIN(M78,20)+SQRT(MAX(M78-20,0))),0.9)*Data!$B$1)*(1-(R78-1))</f>
        <v>42.898565562476904</v>
      </c>
      <c r="BB78" s="2">
        <f>(POWER((K78*K78*AH78), 0.33)*LOG10(P78)*10*Data!$B$1)*R78</f>
        <v>85.665193700262009</v>
      </c>
      <c r="BC78" s="2"/>
      <c r="BD78" s="2"/>
      <c r="BE78" s="2">
        <f>IFERROR((SQRT($K78*$AI78)*POWER((MIN($M78,20)+SQRT(MAX($M78-20,0))),0.9)*Data!$B$1)*(1 - (R78-1)),BA78)</f>
        <v>24.767498375344847</v>
      </c>
      <c r="BF78" s="2">
        <f>IFERROR(((POWER(($K78*$K78*$AI78), 0.33)*LOG10($AF78)*10*Data!$B$1)*R78),BB78)</f>
        <v>85.665193700262009</v>
      </c>
      <c r="BG78" s="2">
        <f t="shared" si="39"/>
        <v>60.483870967741936</v>
      </c>
      <c r="BH78" s="2">
        <f t="shared" si="40"/>
        <v>0</v>
      </c>
      <c r="BI78" s="2">
        <f t="shared" si="41"/>
        <v>45.161290322580648</v>
      </c>
      <c r="BJ78" s="2">
        <f t="shared" si="42"/>
        <v>48.387096774193552</v>
      </c>
      <c r="BK78" s="2">
        <v>1</v>
      </c>
      <c r="BL78" s="2">
        <v>1</v>
      </c>
      <c r="BM78" s="2">
        <f t="shared" si="43"/>
        <v>24</v>
      </c>
      <c r="BN78" s="2">
        <f t="shared" si="44"/>
        <v>8</v>
      </c>
      <c r="BO78" s="2">
        <f t="shared" si="45"/>
        <v>42</v>
      </c>
      <c r="BP78" s="2">
        <f t="shared" si="46"/>
        <v>24</v>
      </c>
      <c r="BQ78" s="2">
        <f t="shared" si="47"/>
        <v>32</v>
      </c>
      <c r="BR78" s="2">
        <f t="shared" si="48"/>
        <v>8</v>
      </c>
      <c r="BS78" s="3">
        <v>8.5</v>
      </c>
      <c r="BT78" s="3">
        <v>2.2000000000000002</v>
      </c>
      <c r="BU78" s="3">
        <v>2.6</v>
      </c>
      <c r="BV78">
        <f>F78-F77</f>
        <v>0</v>
      </c>
      <c r="BW78" s="2" t="str">
        <f>CONCATENATE(
ROUND(BS78*VLOOKUP(I78,'ID Scheme'!$A$2:$E$7,3),0), "x",
ROUND(BT78*VLOOKUP(I78,'ID Scheme'!$A$2:$E$7,5),0), "x",
ROUND(BU78*VLOOKUP(I78,'ID Scheme'!$A$2:$E$7,4),0))</f>
        <v>79x32x25</v>
      </c>
      <c r="BX78" t="s">
        <v>91</v>
      </c>
    </row>
    <row r="79" spans="1:76" x14ac:dyDescent="0.25">
      <c r="A79" t="s">
        <v>18</v>
      </c>
      <c r="B79" t="s">
        <v>234</v>
      </c>
      <c r="C79" t="s">
        <v>369</v>
      </c>
      <c r="D79">
        <f>IF(F79 &gt; 2020, ((F79-2020)*4)+1610+H79,IF(F79 &gt; 1900, ((F79-1900)*10)+400+H79, ((F79-1730)*2)+H79))+VLOOKUP(I79,'ID Scheme'!$A$2:$B$7,2, FALSE)</f>
        <v>4041</v>
      </c>
      <c r="F79">
        <v>2004</v>
      </c>
      <c r="G79">
        <v>6</v>
      </c>
      <c r="H79">
        <v>1</v>
      </c>
      <c r="I79" t="s">
        <v>13</v>
      </c>
      <c r="J79" t="s">
        <v>547</v>
      </c>
      <c r="K79">
        <v>72</v>
      </c>
      <c r="L79">
        <v>-1</v>
      </c>
      <c r="M79">
        <v>15</v>
      </c>
      <c r="N79">
        <v>5</v>
      </c>
      <c r="O79">
        <v>12.5</v>
      </c>
      <c r="P79">
        <v>580</v>
      </c>
      <c r="Q79">
        <v>20</v>
      </c>
      <c r="R79">
        <v>1</v>
      </c>
      <c r="S79" t="s">
        <v>311</v>
      </c>
      <c r="T79">
        <v>-3</v>
      </c>
      <c r="U79" s="2" t="s">
        <v>502</v>
      </c>
      <c r="V79" s="2"/>
      <c r="W79" s="2" t="s">
        <v>343</v>
      </c>
      <c r="X79" s="2"/>
      <c r="Y79" s="2" t="s">
        <v>343</v>
      </c>
      <c r="Z79" s="2"/>
      <c r="AA79" s="2"/>
      <c r="AB79" s="2"/>
      <c r="AC79" s="2"/>
      <c r="AD79" s="2" t="s">
        <v>374</v>
      </c>
      <c r="AE79" s="2"/>
      <c r="AH79">
        <v>54</v>
      </c>
      <c r="AI79">
        <v>30</v>
      </c>
      <c r="AJ79" s="6">
        <f t="shared" si="34"/>
        <v>60</v>
      </c>
      <c r="AK79" s="6">
        <f>(AH79*1.5)-MOD((AH79*1.5), BK78)</f>
        <v>81</v>
      </c>
      <c r="AL79" s="6">
        <f>(BM79*1.5)-MOD((BM79*1.5), BL79)</f>
        <v>27</v>
      </c>
      <c r="AM79" s="8">
        <f t="shared" si="29"/>
        <v>20</v>
      </c>
      <c r="AN79">
        <v>56</v>
      </c>
      <c r="AO79">
        <v>60</v>
      </c>
      <c r="AQ79">
        <v>1</v>
      </c>
      <c r="AT79" t="s">
        <v>441</v>
      </c>
      <c r="AU79" t="s">
        <v>539</v>
      </c>
      <c r="AV79" t="s">
        <v>360</v>
      </c>
      <c r="BA79" s="2">
        <f>(SQRT(K79*AH79)*POWER((MIN(M79,20)+SQRT(MAX(M79-20,0))),0.9)*Data!$B$1)*(1-(R79-1))</f>
        <v>53.506497671783663</v>
      </c>
      <c r="BB79" s="2">
        <f>(POWER((K79*K79*AH79), 0.33)*LOG10(P79)*10*Data!$B$1)*R79</f>
        <v>130.02857541304473</v>
      </c>
      <c r="BC79" s="2"/>
      <c r="BD79" s="2"/>
      <c r="BE79" s="2">
        <f>IFERROR((SQRT($K79*$AI79)*POWER((MIN($M79,20)+SQRT(MAX($M79-20,0))),0.9)*Data!$B$1)*(1 - (R79-1)),BA79)</f>
        <v>39.881388677347502</v>
      </c>
      <c r="BF79" s="2">
        <f>IFERROR(((POWER(($K79*$K79*$AI79), 0.33)*LOG10($AF79)*10*Data!$B$1)*R79),BB79)</f>
        <v>130.02857541304473</v>
      </c>
      <c r="BG79" s="2">
        <f t="shared" si="39"/>
        <v>58.064516129032256</v>
      </c>
      <c r="BH79" s="2">
        <f t="shared" si="40"/>
        <v>0</v>
      </c>
      <c r="BI79" s="2">
        <f t="shared" si="41"/>
        <v>45.161290322580648</v>
      </c>
      <c r="BJ79" s="2">
        <f t="shared" si="42"/>
        <v>48.387096774193552</v>
      </c>
      <c r="BK79" s="2">
        <v>2</v>
      </c>
      <c r="BL79" s="2">
        <v>3</v>
      </c>
      <c r="BM79" s="2">
        <f t="shared" si="43"/>
        <v>18</v>
      </c>
      <c r="BN79" s="2">
        <f t="shared" si="44"/>
        <v>10</v>
      </c>
      <c r="BO79" s="2">
        <f t="shared" si="45"/>
        <v>81</v>
      </c>
      <c r="BP79" s="2">
        <f t="shared" si="46"/>
        <v>54</v>
      </c>
      <c r="BQ79" s="2">
        <f t="shared" si="47"/>
        <v>60</v>
      </c>
      <c r="BR79" s="2">
        <f t="shared" si="48"/>
        <v>30</v>
      </c>
      <c r="BS79" s="3"/>
      <c r="BT79" s="3"/>
      <c r="BU79" s="3"/>
      <c r="BV79">
        <f>F79-F78</f>
        <v>3</v>
      </c>
      <c r="BW79" s="2" t="str">
        <f>CONCATENATE(
ROUND(BS79*VLOOKUP(I79,'ID Scheme'!$A$2:$E$7,3),0), "x",
ROUND(BT79*VLOOKUP(I79,'ID Scheme'!$A$2:$E$7,5),0), "x",
ROUND(BU79*VLOOKUP(I79,'ID Scheme'!$A$2:$E$7,4),0))</f>
        <v>0x0x0</v>
      </c>
    </row>
    <row r="80" spans="1:76" x14ac:dyDescent="0.25">
      <c r="A80" t="s">
        <v>77</v>
      </c>
      <c r="B80" t="s">
        <v>216</v>
      </c>
      <c r="C80" t="s">
        <v>339</v>
      </c>
      <c r="D80">
        <f>IF(F80 &gt; 2020, ((F80-2020)*4)+1610+H80,IF(F80 &gt; 1900, ((F80-1900)*10)+400+H80, ((F80-1730)*2)+H80))+VLOOKUP(I80,'ID Scheme'!$A$2:$B$7,2, FALSE)</f>
        <v>4051</v>
      </c>
      <c r="F80">
        <v>2005</v>
      </c>
      <c r="G80">
        <v>1</v>
      </c>
      <c r="H80">
        <v>1</v>
      </c>
      <c r="I80" t="s">
        <v>13</v>
      </c>
      <c r="J80" t="s">
        <v>547</v>
      </c>
      <c r="K80">
        <v>80</v>
      </c>
      <c r="L80">
        <v>-1</v>
      </c>
      <c r="M80">
        <v>19</v>
      </c>
      <c r="N80">
        <v>5</v>
      </c>
      <c r="O80">
        <v>3</v>
      </c>
      <c r="P80">
        <v>175</v>
      </c>
      <c r="Q80">
        <v>20</v>
      </c>
      <c r="R80">
        <v>1</v>
      </c>
      <c r="S80" t="s">
        <v>299</v>
      </c>
      <c r="T80">
        <v>0</v>
      </c>
      <c r="U80" s="2" t="s">
        <v>501</v>
      </c>
      <c r="V80" s="2" t="s">
        <v>343</v>
      </c>
      <c r="W80" s="2" t="s">
        <v>343</v>
      </c>
      <c r="X80" s="2"/>
      <c r="Y80" s="2" t="s">
        <v>343</v>
      </c>
      <c r="Z80" s="2"/>
      <c r="AA80" s="2"/>
      <c r="AB80" s="2"/>
      <c r="AC80" s="2"/>
      <c r="AD80" s="2"/>
      <c r="AE80" s="2"/>
      <c r="AH80">
        <v>18</v>
      </c>
      <c r="AI80">
        <v>4</v>
      </c>
      <c r="AJ80" s="7">
        <f>AI80*4</f>
        <v>16</v>
      </c>
      <c r="AK80" s="7">
        <f>(AH80*1.75)-MOD((AH80*1.75), BK80)</f>
        <v>31</v>
      </c>
      <c r="AL80" s="7">
        <f>(BM80*1.75)-MOD((BM80*1.75), BL80)</f>
        <v>31</v>
      </c>
      <c r="AM80" s="8">
        <f t="shared" si="29"/>
        <v>16</v>
      </c>
      <c r="AO80">
        <v>60</v>
      </c>
      <c r="AV80" t="s">
        <v>360</v>
      </c>
      <c r="BA80" s="2">
        <f>(SQRT(K80*AH80)*POWER((MIN(M80,20)+SQRT(MAX(M80-20,0))),0.9)*Data!$B$1)*(1-(R80-1))</f>
        <v>40.282902046468678</v>
      </c>
      <c r="BB80" s="2">
        <f>(POWER((K80*K80*AH80), 0.33)*LOG10(P80)*10*Data!$B$1)*R80</f>
        <v>78.736702415748411</v>
      </c>
      <c r="BC80" s="2"/>
      <c r="BD80" s="2"/>
      <c r="BE80" s="2">
        <f>IFERROR((SQRT($K80*$AI80)*POWER((MIN($M80,20)+SQRT(MAX($M80-20,0))),0.9)*Data!$B$1)*(1 - (R80-1)),BA80)</f>
        <v>18.989542135287639</v>
      </c>
      <c r="BF80" s="2">
        <f>IFERROR(((POWER(($K80*$K80*$AI80), 0.33)*LOG10($AF80)*10*Data!$B$1)*R80),BB80)</f>
        <v>78.736702415748411</v>
      </c>
      <c r="BG80" s="2">
        <f t="shared" si="39"/>
        <v>64.516129032258064</v>
      </c>
      <c r="BH80" s="2">
        <f t="shared" si="40"/>
        <v>0</v>
      </c>
      <c r="BI80" s="2">
        <f t="shared" si="41"/>
        <v>0</v>
      </c>
      <c r="BJ80" s="2">
        <f t="shared" si="42"/>
        <v>48.387096774193552</v>
      </c>
      <c r="BK80" s="2">
        <v>1</v>
      </c>
      <c r="BL80" s="2">
        <v>1</v>
      </c>
      <c r="BM80" s="2">
        <f t="shared" si="43"/>
        <v>18</v>
      </c>
      <c r="BN80" s="2">
        <f t="shared" si="44"/>
        <v>4</v>
      </c>
      <c r="BO80" s="2">
        <f t="shared" si="45"/>
        <v>31</v>
      </c>
      <c r="BP80" s="2">
        <f t="shared" si="46"/>
        <v>18</v>
      </c>
      <c r="BQ80" s="2">
        <f t="shared" si="47"/>
        <v>16</v>
      </c>
      <c r="BR80" s="2">
        <f t="shared" si="48"/>
        <v>4</v>
      </c>
      <c r="BS80" s="3">
        <v>6.2</v>
      </c>
      <c r="BT80" s="3">
        <v>2.2000000000000002</v>
      </c>
      <c r="BU80" s="3">
        <v>2.6</v>
      </c>
      <c r="BV80">
        <f>F80-F79</f>
        <v>1</v>
      </c>
      <c r="BW80" s="2" t="str">
        <f>CONCATENATE(
ROUND(BS80*VLOOKUP(I80,'ID Scheme'!$A$2:$E$7,3),0), "x",
ROUND(BT80*VLOOKUP(I80,'ID Scheme'!$A$2:$E$7,5),0), "x",
ROUND(BU80*VLOOKUP(I80,'ID Scheme'!$A$2:$E$7,4),0))</f>
        <v>58x32x25</v>
      </c>
      <c r="BX80" t="s">
        <v>78</v>
      </c>
    </row>
    <row r="81" spans="1:76" x14ac:dyDescent="0.25">
      <c r="A81" t="s">
        <v>102</v>
      </c>
      <c r="B81" t="s">
        <v>225</v>
      </c>
      <c r="C81" t="s">
        <v>369</v>
      </c>
      <c r="D81">
        <f>IF(F81 &gt; 2020, ((F81-2020)*4)+1610+H81,IF(F81 &gt; 1900, ((F81-1900)*10)+400+H81, ((F81-1730)*2)+H81))+VLOOKUP(I81,'ID Scheme'!$A$2:$B$7,2, FALSE)</f>
        <v>4052</v>
      </c>
      <c r="F81">
        <v>2005</v>
      </c>
      <c r="G81">
        <v>6</v>
      </c>
      <c r="H81">
        <v>2</v>
      </c>
      <c r="I81" t="s">
        <v>13</v>
      </c>
      <c r="J81" t="s">
        <v>547</v>
      </c>
      <c r="K81">
        <v>70</v>
      </c>
      <c r="L81">
        <v>-1</v>
      </c>
      <c r="M81">
        <v>18</v>
      </c>
      <c r="N81">
        <v>5</v>
      </c>
      <c r="O81">
        <v>12</v>
      </c>
      <c r="P81">
        <v>380</v>
      </c>
      <c r="Q81">
        <v>20</v>
      </c>
      <c r="R81">
        <v>1</v>
      </c>
      <c r="S81" t="s">
        <v>305</v>
      </c>
      <c r="T81">
        <v>-3</v>
      </c>
      <c r="U81" s="2" t="s">
        <v>500</v>
      </c>
      <c r="V81" s="2"/>
      <c r="W81" s="2" t="s">
        <v>343</v>
      </c>
      <c r="X81" s="2"/>
      <c r="Y81" s="2" t="s">
        <v>343</v>
      </c>
      <c r="Z81" s="2"/>
      <c r="AA81" s="2"/>
      <c r="AB81" s="2"/>
      <c r="AC81" s="2"/>
      <c r="AD81" s="2" t="s">
        <v>374</v>
      </c>
      <c r="AE81" s="2"/>
      <c r="AH81">
        <v>54</v>
      </c>
      <c r="AI81">
        <v>30</v>
      </c>
      <c r="AJ81" s="6">
        <f t="shared" si="34"/>
        <v>60</v>
      </c>
      <c r="AK81" s="6">
        <f>(AH81*1.5)-MOD((AH81*1.5), BK80)</f>
        <v>81</v>
      </c>
      <c r="AL81" s="6">
        <f>(BM81*1.5)-MOD((BM81*1.5), BL81)</f>
        <v>27</v>
      </c>
      <c r="AM81" s="8">
        <f t="shared" si="29"/>
        <v>20</v>
      </c>
      <c r="AN81">
        <v>56</v>
      </c>
      <c r="AO81">
        <v>60</v>
      </c>
      <c r="AQ81">
        <v>1</v>
      </c>
      <c r="AT81" t="s">
        <v>441</v>
      </c>
      <c r="AU81" t="s">
        <v>539</v>
      </c>
      <c r="AV81" t="s">
        <v>360</v>
      </c>
      <c r="BA81" s="2">
        <f>(SQRT(K81*AH81)*POWER((MIN(M81,20)+SQRT(MAX(M81-20,0))),0.9)*Data!$B$1)*(1-(R81-1))</f>
        <v>62.165927543696078</v>
      </c>
      <c r="BB81" s="2">
        <f>(POWER((K81*K81*AH81), 0.33)*LOG10(P81)*10*Data!$B$1)*R81</f>
        <v>119.15141041758832</v>
      </c>
      <c r="BC81" s="2"/>
      <c r="BD81" s="2"/>
      <c r="BE81" s="2">
        <f>IFERROR((SQRT($K81*$AI81)*POWER((MIN($M81,20)+SQRT(MAX($M81-20,0))),0.9)*Data!$B$1)*(1 - (R81-1)),BA81)</f>
        <v>46.335746624010312</v>
      </c>
      <c r="BF81" s="2">
        <f>IFERROR(((POWER(($K81*$K81*$AI81), 0.33)*LOG10($AF81)*10*Data!$B$1)*R81),BB81)</f>
        <v>119.15141041758832</v>
      </c>
      <c r="BG81" s="2">
        <f t="shared" si="39"/>
        <v>56.451612903225808</v>
      </c>
      <c r="BH81" s="2">
        <f t="shared" si="40"/>
        <v>0</v>
      </c>
      <c r="BI81" s="2">
        <f t="shared" si="41"/>
        <v>45.161290322580648</v>
      </c>
      <c r="BJ81" s="2">
        <f t="shared" si="42"/>
        <v>48.387096774193552</v>
      </c>
      <c r="BK81" s="2">
        <v>2</v>
      </c>
      <c r="BL81" s="2">
        <v>3</v>
      </c>
      <c r="BM81" s="2">
        <f t="shared" si="43"/>
        <v>18</v>
      </c>
      <c r="BN81" s="2">
        <f t="shared" si="44"/>
        <v>10</v>
      </c>
      <c r="BO81" s="2">
        <f t="shared" si="45"/>
        <v>81</v>
      </c>
      <c r="BP81" s="2">
        <f t="shared" si="46"/>
        <v>54</v>
      </c>
      <c r="BQ81" s="2">
        <f>IF(AJ81 &gt; 0, (AJ81)/MAX(BK81-1, 1), -1)</f>
        <v>60</v>
      </c>
      <c r="BR81" s="2">
        <f t="shared" si="48"/>
        <v>30</v>
      </c>
      <c r="BU81" s="3"/>
      <c r="BV81">
        <f>F81-F80</f>
        <v>0</v>
      </c>
      <c r="BW81" s="2" t="str">
        <f>CONCATENATE(
ROUND(BS81*VLOOKUP(I81,'ID Scheme'!$A$2:$E$7,3),0), "x",
ROUND(BT81*VLOOKUP(I81,'ID Scheme'!$A$2:$E$7,5),0), "x",
ROUND(BU81*VLOOKUP(I81,'ID Scheme'!$A$2:$E$7,4),0))</f>
        <v>0x0x0</v>
      </c>
      <c r="BX81" t="s">
        <v>103</v>
      </c>
    </row>
    <row r="82" spans="1:76" x14ac:dyDescent="0.25">
      <c r="A82" t="s">
        <v>57</v>
      </c>
      <c r="B82" t="s">
        <v>264</v>
      </c>
      <c r="C82" t="s">
        <v>382</v>
      </c>
      <c r="D82">
        <f>IF(F82 &gt; 2020, ((F82-2020)*4)+1610+H82,IF(F82 &gt; 1900, ((F82-1900)*10)+400+H82, ((F82-1730)*2)+H82))+VLOOKUP(I82,'ID Scheme'!$A$2:$B$7,2, FALSE)</f>
        <v>5121</v>
      </c>
      <c r="F82">
        <v>1912</v>
      </c>
      <c r="G82">
        <v>1</v>
      </c>
      <c r="H82">
        <v>1</v>
      </c>
      <c r="I82" t="s">
        <v>14</v>
      </c>
      <c r="J82" t="s">
        <v>554</v>
      </c>
      <c r="K82">
        <v>40</v>
      </c>
      <c r="L82">
        <v>28</v>
      </c>
      <c r="M82">
        <v>12</v>
      </c>
      <c r="N82">
        <v>5</v>
      </c>
      <c r="O82">
        <v>1</v>
      </c>
      <c r="P82">
        <v>20</v>
      </c>
      <c r="Q82">
        <v>20</v>
      </c>
      <c r="R82">
        <v>1</v>
      </c>
      <c r="S82" t="s">
        <v>377</v>
      </c>
      <c r="T82">
        <v>-3</v>
      </c>
      <c r="U82" s="2" t="s">
        <v>499</v>
      </c>
      <c r="V82" s="2"/>
      <c r="W82" s="2"/>
      <c r="X82" s="2"/>
      <c r="Y82" s="2"/>
      <c r="Z82" s="2"/>
      <c r="AA82" s="2"/>
      <c r="AB82" s="2"/>
      <c r="AC82" s="2"/>
      <c r="AD82" s="2"/>
      <c r="AE82" s="2"/>
      <c r="AH82">
        <v>4</v>
      </c>
      <c r="AI82">
        <v>1</v>
      </c>
      <c r="AJ82">
        <v>3</v>
      </c>
      <c r="AM82" s="8">
        <f t="shared" si="29"/>
        <v>3</v>
      </c>
      <c r="AV82" t="s">
        <v>361</v>
      </c>
      <c r="BA82" s="2">
        <f>(SQRT(K82*AH82)*POWER((MIN(M82,20)+SQRT(MAX(M82-20,0))),0.9)*Data!$B$1)*(1-(R82-1))</f>
        <v>8.8794154486294588</v>
      </c>
      <c r="BB82" s="2">
        <f>(POWER((K82*K82*AH82), 0.33)*LOG10(P82)*10*Data!$B$1)*R82</f>
        <v>17.594947052790868</v>
      </c>
      <c r="BC82" s="2"/>
      <c r="BD82" s="2"/>
      <c r="BE82" s="2">
        <f>IFERROR((SQRT($K82*$AI82)*POWER((MIN($M82,20)+SQRT(MAX($M82-20,0))),0.9)*Data!$B$1)*(1 - (R82-1)),BA82)</f>
        <v>4.4397077243147294</v>
      </c>
      <c r="BF82" s="2">
        <f>IFERROR(((POWER(($K82*$K82*$AI82), 0.33)*LOG10($AF82)*10*Data!$B$1)*R82),BB82)</f>
        <v>17.594947052790868</v>
      </c>
      <c r="BG82" s="2">
        <f t="shared" si="39"/>
        <v>32.258064516129032</v>
      </c>
      <c r="BH82" s="2">
        <f t="shared" si="40"/>
        <v>0</v>
      </c>
      <c r="BI82" s="2">
        <f t="shared" si="41"/>
        <v>0</v>
      </c>
      <c r="BJ82" s="2">
        <f t="shared" si="42"/>
        <v>0</v>
      </c>
      <c r="BK82" s="2">
        <v>1</v>
      </c>
      <c r="BL82" s="2">
        <v>1</v>
      </c>
      <c r="BM82" s="2">
        <f t="shared" si="43"/>
        <v>4</v>
      </c>
      <c r="BN82" s="2">
        <f t="shared" si="44"/>
        <v>1</v>
      </c>
      <c r="BO82" s="2">
        <f t="shared" si="45"/>
        <v>-1</v>
      </c>
      <c r="BP82" s="2">
        <f t="shared" si="46"/>
        <v>4</v>
      </c>
      <c r="BQ82" s="2">
        <f t="shared" ref="BQ82:BQ126" si="49">IF(AJ82 &gt; 0, (AJ82)/MAX(BK82-1, 1), -1)</f>
        <v>3</v>
      </c>
      <c r="BR82" s="2">
        <f t="shared" si="48"/>
        <v>1</v>
      </c>
      <c r="BS82" s="3"/>
      <c r="BT82" s="3"/>
      <c r="BU82" s="3"/>
      <c r="BV82">
        <f>F82-F81</f>
        <v>-93</v>
      </c>
      <c r="BW82" s="2" t="str">
        <f>CONCATENATE(
ROUND(BS82*VLOOKUP(I82,'ID Scheme'!$A$2:$E$7,3),0), "x",
ROUND(BT82*VLOOKUP(I82,'ID Scheme'!$A$2:$E$7,5),0), "x",
ROUND(BU82*VLOOKUP(I82,'ID Scheme'!$A$2:$E$7,4),0))</f>
        <v>0x0x0</v>
      </c>
    </row>
    <row r="83" spans="1:76" x14ac:dyDescent="0.25">
      <c r="A83" t="s">
        <v>63</v>
      </c>
      <c r="B83" t="s">
        <v>259</v>
      </c>
      <c r="C83" t="s">
        <v>382</v>
      </c>
      <c r="D83">
        <f>IF(F83 &gt; 2020, ((F83-2020)*4)+1610+H83,IF(F83 &gt; 1900, ((F83-1900)*10)+400+H83, ((F83-1730)*2)+H83))+VLOOKUP(I83,'ID Scheme'!$A$2:$B$7,2, FALSE)</f>
        <v>5381</v>
      </c>
      <c r="F83">
        <v>1938</v>
      </c>
      <c r="G83">
        <v>6</v>
      </c>
      <c r="H83">
        <v>1</v>
      </c>
      <c r="I83" t="s">
        <v>14</v>
      </c>
      <c r="J83" t="s">
        <v>547</v>
      </c>
      <c r="K83">
        <v>45</v>
      </c>
      <c r="L83">
        <v>20</v>
      </c>
      <c r="M83">
        <v>14</v>
      </c>
      <c r="N83">
        <v>5</v>
      </c>
      <c r="O83">
        <v>1</v>
      </c>
      <c r="P83">
        <v>32</v>
      </c>
      <c r="Q83">
        <v>20</v>
      </c>
      <c r="R83">
        <v>1</v>
      </c>
      <c r="S83" t="s">
        <v>377</v>
      </c>
      <c r="T83">
        <v>-3</v>
      </c>
      <c r="U83" s="2" t="s">
        <v>498</v>
      </c>
      <c r="V83" s="2"/>
      <c r="W83" s="2"/>
      <c r="X83" s="2"/>
      <c r="Y83" s="2"/>
      <c r="Z83" s="2"/>
      <c r="AA83" s="2"/>
      <c r="AB83" s="2"/>
      <c r="AC83" s="2"/>
      <c r="AD83" s="2"/>
      <c r="AE83" s="2"/>
      <c r="AH83">
        <v>5</v>
      </c>
      <c r="AI83">
        <v>1</v>
      </c>
      <c r="AJ83">
        <v>3</v>
      </c>
      <c r="AM83" s="8">
        <f t="shared" si="29"/>
        <v>3</v>
      </c>
      <c r="AV83" t="s">
        <v>361</v>
      </c>
      <c r="BA83" s="2">
        <f>(SQRT(K83*AH83)*POWER((MIN(M83,20)+SQRT(MAX(M83-20,0))),0.9)*Data!$B$1)*(1-(R83-1))</f>
        <v>12.0967235181487</v>
      </c>
      <c r="BB83" s="2">
        <f>(POWER((K83*K83*AH83), 0.33)*LOG10(P83)*10*Data!$B$1)*R83</f>
        <v>23.682164888763008</v>
      </c>
      <c r="BC83" s="2"/>
      <c r="BD83" s="2"/>
      <c r="BE83" s="2">
        <f>IFERROR((SQRT($K83*$AI83)*POWER((MIN($M83,20)+SQRT(MAX($M83-20,0))),0.9)*Data!$B$1)*(1 - (R83-1)),BA83)</f>
        <v>5.4098192183201812</v>
      </c>
      <c r="BF83" s="2">
        <f>IFERROR(((POWER(($K83*$K83*$AI83), 0.33)*LOG10($AF83)*10*Data!$B$1)*R83),BB83)</f>
        <v>23.682164888763008</v>
      </c>
      <c r="BG83" s="2">
        <f t="shared" si="39"/>
        <v>36.29032258064516</v>
      </c>
      <c r="BH83" s="2">
        <f t="shared" si="40"/>
        <v>0</v>
      </c>
      <c r="BI83" s="2">
        <f t="shared" si="41"/>
        <v>0</v>
      </c>
      <c r="BJ83" s="2">
        <f t="shared" si="42"/>
        <v>0</v>
      </c>
      <c r="BK83" s="2">
        <v>1</v>
      </c>
      <c r="BL83" s="2">
        <v>1</v>
      </c>
      <c r="BM83" s="2">
        <f t="shared" si="43"/>
        <v>5</v>
      </c>
      <c r="BN83" s="2">
        <f t="shared" si="44"/>
        <v>1</v>
      </c>
      <c r="BO83" s="2">
        <f t="shared" si="45"/>
        <v>-1</v>
      </c>
      <c r="BP83" s="2">
        <f t="shared" si="46"/>
        <v>5</v>
      </c>
      <c r="BQ83" s="2">
        <f t="shared" si="49"/>
        <v>3</v>
      </c>
      <c r="BR83" s="2">
        <f t="shared" si="48"/>
        <v>1</v>
      </c>
      <c r="BS83" s="3"/>
      <c r="BT83" s="3"/>
      <c r="BU83" s="3"/>
      <c r="BV83">
        <f>F83-F82</f>
        <v>26</v>
      </c>
      <c r="BW83" s="2" t="str">
        <f>CONCATENATE(
ROUND(BS83*VLOOKUP(I83,'ID Scheme'!$A$2:$E$7,3),0), "x",
ROUND(BT83*VLOOKUP(I83,'ID Scheme'!$A$2:$E$7,5),0), "x",
ROUND(BU83*VLOOKUP(I83,'ID Scheme'!$A$2:$E$7,4),0))</f>
        <v>0x0x0</v>
      </c>
    </row>
    <row r="84" spans="1:76" x14ac:dyDescent="0.25">
      <c r="A84" t="s">
        <v>266</v>
      </c>
      <c r="B84" t="s">
        <v>265</v>
      </c>
      <c r="C84" t="s">
        <v>382</v>
      </c>
      <c r="D84">
        <f>IF(F84 &gt; 2020, ((F84-2020)*4)+1610+H84,IF(F84 &gt; 1900, ((F84-1900)*10)+400+H84, ((F84-1730)*2)+H84))+VLOOKUP(I84,'ID Scheme'!$A$2:$B$7,2, FALSE)</f>
        <v>5571</v>
      </c>
      <c r="F84">
        <v>1957</v>
      </c>
      <c r="G84">
        <v>1</v>
      </c>
      <c r="H84">
        <v>1</v>
      </c>
      <c r="I84" t="s">
        <v>14</v>
      </c>
      <c r="J84" t="s">
        <v>547</v>
      </c>
      <c r="K84">
        <v>60</v>
      </c>
      <c r="L84">
        <v>16</v>
      </c>
      <c r="M84">
        <v>12</v>
      </c>
      <c r="N84">
        <v>5</v>
      </c>
      <c r="O84">
        <v>1</v>
      </c>
      <c r="P84">
        <v>53</v>
      </c>
      <c r="Q84">
        <v>20</v>
      </c>
      <c r="R84">
        <v>1</v>
      </c>
      <c r="S84" t="s">
        <v>377</v>
      </c>
      <c r="T84">
        <v>-3</v>
      </c>
      <c r="U84" s="2" t="s">
        <v>497</v>
      </c>
      <c r="V84" s="2"/>
      <c r="W84" s="2"/>
      <c r="X84" s="2"/>
      <c r="Y84" s="2"/>
      <c r="Z84" s="2"/>
      <c r="AA84" s="2"/>
      <c r="AB84" s="2"/>
      <c r="AC84" s="2"/>
      <c r="AD84" s="2"/>
      <c r="AE84" s="2"/>
      <c r="AH84">
        <v>6</v>
      </c>
      <c r="AI84">
        <v>1</v>
      </c>
      <c r="AJ84">
        <v>4</v>
      </c>
      <c r="AM84" s="8">
        <f t="shared" si="29"/>
        <v>4</v>
      </c>
      <c r="AV84" t="s">
        <v>361</v>
      </c>
      <c r="BA84" s="2">
        <f>(SQRT(K84*AH84)*POWER((MIN(M84,20)+SQRT(MAX(M84-20,0))),0.9)*Data!$B$1)*(1-(R84-1))</f>
        <v>13.319123172944188</v>
      </c>
      <c r="BB84" s="2">
        <f>(POWER((K84*K84*AH84), 0.33)*LOG10(P84)*10*Data!$B$1)*R84</f>
        <v>34.83675961560575</v>
      </c>
      <c r="BC84" s="2"/>
      <c r="BD84" s="2"/>
      <c r="BE84" s="2">
        <f>IFERROR((SQRT($K84*$AI84)*POWER((MIN($M84,20)+SQRT(MAX($M84-20,0))),0.9)*Data!$B$1)*(1 - (R84-1)),BA84)</f>
        <v>5.4375092658320874</v>
      </c>
      <c r="BF84" s="2">
        <f>IFERROR(((POWER(($K84*$K84*$AI84), 0.33)*LOG10($AF84)*10*Data!$B$1)*R84),BB84)</f>
        <v>34.83675961560575</v>
      </c>
      <c r="BG84" s="2">
        <f t="shared" si="39"/>
        <v>48.387096774193552</v>
      </c>
      <c r="BH84" s="2">
        <f t="shared" si="40"/>
        <v>0</v>
      </c>
      <c r="BI84" s="2">
        <f t="shared" si="41"/>
        <v>0</v>
      </c>
      <c r="BJ84" s="2">
        <f t="shared" si="42"/>
        <v>0</v>
      </c>
      <c r="BK84" s="2">
        <v>1</v>
      </c>
      <c r="BL84" s="2">
        <v>1</v>
      </c>
      <c r="BM84" s="2">
        <f t="shared" si="43"/>
        <v>6</v>
      </c>
      <c r="BN84" s="2">
        <f t="shared" si="44"/>
        <v>1</v>
      </c>
      <c r="BO84" s="2">
        <f t="shared" si="45"/>
        <v>-1</v>
      </c>
      <c r="BP84" s="2">
        <f t="shared" si="46"/>
        <v>6</v>
      </c>
      <c r="BQ84" s="2">
        <f t="shared" si="49"/>
        <v>4</v>
      </c>
      <c r="BR84" s="2">
        <f t="shared" si="48"/>
        <v>1</v>
      </c>
      <c r="BS84" s="3"/>
      <c r="BT84" s="3"/>
      <c r="BU84" s="3"/>
      <c r="BV84">
        <f>F84-F83</f>
        <v>19</v>
      </c>
      <c r="BW84" s="2" t="str">
        <f>CONCATENATE(
ROUND(BS84*VLOOKUP(I84,'ID Scheme'!$A$2:$E$7,3),0), "x",
ROUND(BT84*VLOOKUP(I84,'ID Scheme'!$A$2:$E$7,5),0), "x",
ROUND(BU84*VLOOKUP(I84,'ID Scheme'!$A$2:$E$7,4),0))</f>
        <v>0x0x0</v>
      </c>
    </row>
    <row r="85" spans="1:76" x14ac:dyDescent="0.25">
      <c r="A85" t="s">
        <v>62</v>
      </c>
      <c r="B85" t="s">
        <v>263</v>
      </c>
      <c r="C85" t="s">
        <v>382</v>
      </c>
      <c r="D85">
        <f>IF(F85 &gt; 2020, ((F85-2020)*4)+1610+H85,IF(F85 &gt; 1900, ((F85-1900)*10)+400+H85, ((F85-1730)*2)+H85))+VLOOKUP(I85,'ID Scheme'!$A$2:$B$7,2, FALSE)</f>
        <v>5601</v>
      </c>
      <c r="F85">
        <v>1960</v>
      </c>
      <c r="G85">
        <v>1</v>
      </c>
      <c r="H85">
        <v>1</v>
      </c>
      <c r="I85" t="s">
        <v>14</v>
      </c>
      <c r="J85" t="s">
        <v>547</v>
      </c>
      <c r="K85">
        <v>60</v>
      </c>
      <c r="L85">
        <v>22</v>
      </c>
      <c r="M85">
        <v>15</v>
      </c>
      <c r="N85">
        <v>5</v>
      </c>
      <c r="O85">
        <v>1</v>
      </c>
      <c r="P85">
        <v>58</v>
      </c>
      <c r="Q85">
        <v>20</v>
      </c>
      <c r="R85">
        <v>1.1000000000000001</v>
      </c>
      <c r="S85" t="s">
        <v>377</v>
      </c>
      <c r="T85">
        <v>-3</v>
      </c>
      <c r="U85" s="2" t="s">
        <v>519</v>
      </c>
      <c r="V85" s="2"/>
      <c r="W85" s="2"/>
      <c r="X85" s="2"/>
      <c r="Y85" s="2"/>
      <c r="Z85" s="2"/>
      <c r="AA85" s="2"/>
      <c r="AB85" s="2"/>
      <c r="AC85" s="2"/>
      <c r="AD85" s="2"/>
      <c r="AE85" s="2"/>
      <c r="AH85">
        <v>8</v>
      </c>
      <c r="AI85">
        <v>1</v>
      </c>
      <c r="AJ85">
        <v>4</v>
      </c>
      <c r="AM85" s="8">
        <f t="shared" si="29"/>
        <v>4</v>
      </c>
      <c r="AV85" t="s">
        <v>361</v>
      </c>
      <c r="BA85" s="2">
        <f>(SQRT(K85*AH85)*POWER((MIN(M85,20)+SQRT(MAX(M85-20,0))),0.9)*Data!$B$1)*(1-(R85-1))</f>
        <v>16.920240226133288</v>
      </c>
      <c r="BB85" s="2">
        <f>(POWER((K85*K85*AH85), 0.33)*LOG10(P85)*10*Data!$B$1)*R85</f>
        <v>43.093443625686163</v>
      </c>
      <c r="BC85" s="2"/>
      <c r="BD85" s="2"/>
      <c r="BE85" s="2">
        <f>IFERROR((SQRT($K85*$AI85)*POWER((MIN($M85,20)+SQRT(MAX($M85-20,0))),0.9)*Data!$B$1)*(1 - (R85-1)),BA85)</f>
        <v>5.9822083016021255</v>
      </c>
      <c r="BF85" s="2">
        <f>IFERROR(((POWER(($K85*$K85*$AI85), 0.33)*LOG10($AF85)*10*Data!$B$1)*R85),BB85)</f>
        <v>43.093443625686163</v>
      </c>
      <c r="BG85" s="2">
        <f t="shared" si="39"/>
        <v>48.387096774193552</v>
      </c>
      <c r="BH85" s="2">
        <f t="shared" si="40"/>
        <v>0</v>
      </c>
      <c r="BI85" s="2">
        <f t="shared" si="41"/>
        <v>0</v>
      </c>
      <c r="BJ85" s="2">
        <f t="shared" si="42"/>
        <v>0</v>
      </c>
      <c r="BK85" s="2">
        <v>1</v>
      </c>
      <c r="BL85" s="2">
        <v>1</v>
      </c>
      <c r="BM85" s="2">
        <f t="shared" si="43"/>
        <v>8</v>
      </c>
      <c r="BN85" s="2">
        <f t="shared" si="44"/>
        <v>1</v>
      </c>
      <c r="BO85" s="2">
        <f t="shared" si="45"/>
        <v>-1</v>
      </c>
      <c r="BP85" s="2">
        <f t="shared" si="46"/>
        <v>8</v>
      </c>
      <c r="BQ85" s="2">
        <f t="shared" si="49"/>
        <v>4</v>
      </c>
      <c r="BR85" s="2">
        <f t="shared" si="48"/>
        <v>1</v>
      </c>
      <c r="BS85" s="3"/>
      <c r="BT85" s="3"/>
      <c r="BU85" s="3"/>
      <c r="BV85">
        <f>F85-F84</f>
        <v>3</v>
      </c>
      <c r="BW85" s="2" t="str">
        <f>CONCATENATE(
ROUND(BS85*VLOOKUP(I85,'ID Scheme'!$A$2:$E$7,3),0), "x",
ROUND(BT85*VLOOKUP(I85,'ID Scheme'!$A$2:$E$7,5),0), "x",
ROUND(BU85*VLOOKUP(I85,'ID Scheme'!$A$2:$E$7,4),0))</f>
        <v>0x0x0</v>
      </c>
    </row>
    <row r="86" spans="1:76" x14ac:dyDescent="0.25">
      <c r="A86" t="s">
        <v>37</v>
      </c>
      <c r="B86" t="s">
        <v>268</v>
      </c>
      <c r="C86" t="s">
        <v>382</v>
      </c>
      <c r="D86">
        <f>IF(F86 &gt; 2020, ((F86-2020)*4)+1610+H86,IF(F86 &gt; 1900, ((F86-1900)*10)+400+H86, ((F86-1730)*2)+H86))+VLOOKUP(I86,'ID Scheme'!$A$2:$B$7,2, FALSE)</f>
        <v>5651</v>
      </c>
      <c r="F86">
        <v>1965</v>
      </c>
      <c r="G86">
        <v>10</v>
      </c>
      <c r="H86">
        <v>1</v>
      </c>
      <c r="I86" t="s">
        <v>14</v>
      </c>
      <c r="J86" t="s">
        <v>547</v>
      </c>
      <c r="K86">
        <v>65</v>
      </c>
      <c r="L86">
        <v>18</v>
      </c>
      <c r="M86">
        <v>14</v>
      </c>
      <c r="N86">
        <v>5</v>
      </c>
      <c r="O86">
        <v>1.5</v>
      </c>
      <c r="P86">
        <v>90</v>
      </c>
      <c r="Q86">
        <v>20</v>
      </c>
      <c r="R86">
        <v>1</v>
      </c>
      <c r="S86" t="s">
        <v>377</v>
      </c>
      <c r="T86">
        <v>-3</v>
      </c>
      <c r="U86" s="2" t="s">
        <v>496</v>
      </c>
      <c r="V86" s="2"/>
      <c r="W86" s="2"/>
      <c r="X86" s="2"/>
      <c r="Y86" s="2"/>
      <c r="Z86" s="2"/>
      <c r="AA86" s="2"/>
      <c r="AB86" s="2"/>
      <c r="AC86" s="2"/>
      <c r="AD86" s="2"/>
      <c r="AE86" s="2"/>
      <c r="AH86">
        <v>8</v>
      </c>
      <c r="AI86">
        <v>2</v>
      </c>
      <c r="AJ86">
        <v>6</v>
      </c>
      <c r="AM86" s="8">
        <f t="shared" si="29"/>
        <v>6</v>
      </c>
      <c r="AV86" t="s">
        <v>361</v>
      </c>
      <c r="BA86" s="2">
        <f>(SQRT(K86*AH86)*POWER((MIN(M86,20)+SQRT(MAX(M86-20,0))),0.9)*Data!$B$1)*(1-(R86-1))</f>
        <v>18.389849172815911</v>
      </c>
      <c r="BB86" s="2">
        <f>(POWER((K86*K86*AH86), 0.33)*LOG10(P86)*10*Data!$B$1)*R86</f>
        <v>45.77013890849053</v>
      </c>
      <c r="BC86" s="2"/>
      <c r="BD86" s="2"/>
      <c r="BE86" s="2">
        <f>IFERROR((SQRT($K86*$AI86)*POWER((MIN($M86,20)+SQRT(MAX($M86-20,0))),0.9)*Data!$B$1)*(1 - (R86-1)),BA86)</f>
        <v>9.1949245864079554</v>
      </c>
      <c r="BF86" s="2">
        <f>IFERROR(((POWER(($K86*$K86*$AI86), 0.33)*LOG10($AF86)*10*Data!$B$1)*R86),BB86)</f>
        <v>45.77013890849053</v>
      </c>
      <c r="BG86" s="2">
        <f t="shared" si="39"/>
        <v>52.41935483870968</v>
      </c>
      <c r="BH86" s="2">
        <f t="shared" si="40"/>
        <v>0</v>
      </c>
      <c r="BI86" s="2">
        <f t="shared" si="41"/>
        <v>0</v>
      </c>
      <c r="BJ86" s="2">
        <f t="shared" si="42"/>
        <v>0</v>
      </c>
      <c r="BK86" s="2">
        <v>1</v>
      </c>
      <c r="BL86" s="2">
        <v>1</v>
      </c>
      <c r="BM86" s="2">
        <f t="shared" si="43"/>
        <v>8</v>
      </c>
      <c r="BN86" s="2">
        <f t="shared" si="44"/>
        <v>2</v>
      </c>
      <c r="BO86" s="2">
        <f t="shared" si="45"/>
        <v>-1</v>
      </c>
      <c r="BP86" s="2">
        <f t="shared" si="46"/>
        <v>8</v>
      </c>
      <c r="BQ86" s="2">
        <f t="shared" si="49"/>
        <v>6</v>
      </c>
      <c r="BR86" s="2">
        <f t="shared" si="48"/>
        <v>2</v>
      </c>
      <c r="BS86" s="3"/>
      <c r="BT86" s="3"/>
      <c r="BU86" s="3"/>
      <c r="BV86">
        <f>F86-F85</f>
        <v>5</v>
      </c>
      <c r="BW86" s="2" t="str">
        <f>CONCATENATE(
ROUND(BS86*VLOOKUP(I86,'ID Scheme'!$A$2:$E$7,3),0), "x",
ROUND(BT86*VLOOKUP(I86,'ID Scheme'!$A$2:$E$7,5),0), "x",
ROUND(BU86*VLOOKUP(I86,'ID Scheme'!$A$2:$E$7,4),0))</f>
        <v>0x0x0</v>
      </c>
    </row>
    <row r="87" spans="1:76" x14ac:dyDescent="0.25">
      <c r="A87" t="s">
        <v>38</v>
      </c>
      <c r="B87" t="s">
        <v>269</v>
      </c>
      <c r="C87" t="s">
        <v>382</v>
      </c>
      <c r="D87">
        <f>IF(F87 &gt; 2020, ((F87-2020)*4)+1610+H87,IF(F87 &gt; 1900, ((F87-1900)*10)+400+H87, ((F87-1730)*2)+H87))+VLOOKUP(I87,'ID Scheme'!$A$2:$B$7,2, FALSE)</f>
        <v>5861</v>
      </c>
      <c r="F87">
        <v>1986</v>
      </c>
      <c r="G87">
        <v>1</v>
      </c>
      <c r="H87">
        <v>1</v>
      </c>
      <c r="I87" t="s">
        <v>14</v>
      </c>
      <c r="J87" t="s">
        <v>547</v>
      </c>
      <c r="K87">
        <v>80</v>
      </c>
      <c r="L87">
        <v>20</v>
      </c>
      <c r="M87">
        <v>14</v>
      </c>
      <c r="N87">
        <v>5</v>
      </c>
      <c r="O87">
        <v>1.5</v>
      </c>
      <c r="P87">
        <v>100</v>
      </c>
      <c r="Q87">
        <v>20</v>
      </c>
      <c r="R87">
        <v>1</v>
      </c>
      <c r="S87" t="s">
        <v>377</v>
      </c>
      <c r="T87">
        <v>-3</v>
      </c>
      <c r="U87" s="2" t="s">
        <v>488</v>
      </c>
      <c r="V87" s="2"/>
      <c r="W87" s="2"/>
      <c r="X87" s="2"/>
      <c r="Y87" s="2"/>
      <c r="Z87" s="2"/>
      <c r="AA87" s="2"/>
      <c r="AB87" s="2"/>
      <c r="AC87" s="2"/>
      <c r="AD87" s="2"/>
      <c r="AE87" s="2"/>
      <c r="AH87">
        <v>10</v>
      </c>
      <c r="AI87">
        <v>3</v>
      </c>
      <c r="AJ87">
        <v>7</v>
      </c>
      <c r="AM87" s="8">
        <f t="shared" si="29"/>
        <v>7</v>
      </c>
      <c r="AO87">
        <v>70</v>
      </c>
      <c r="AV87" t="s">
        <v>361</v>
      </c>
      <c r="BA87" s="2">
        <f>(SQRT(K87*AH87)*POWER((MIN(M87,20)+SQRT(MAX(M87-20,0))),0.9)*Data!$B$1)*(1-(R87-1))</f>
        <v>22.809800612857963</v>
      </c>
      <c r="BB87" s="2">
        <f>(POWER((K87*K87*AH87), 0.33)*LOG10(P87)*10*Data!$B$1)*R87</f>
        <v>57.826998441289433</v>
      </c>
      <c r="BC87" s="2"/>
      <c r="BD87" s="2"/>
      <c r="BE87" s="2">
        <f>IFERROR((SQRT($K87*$AI87)*POWER((MIN($M87,20)+SQRT(MAX($M87-20,0))),0.9)*Data!$B$1)*(1 - (R87-1)),BA87)</f>
        <v>12.493442327857467</v>
      </c>
      <c r="BF87" s="2">
        <f>IFERROR(((POWER(($K87*$K87*$AI87), 0.33)*LOG10($AF87)*10*Data!$B$1)*R87),BB87)</f>
        <v>57.826998441289433</v>
      </c>
      <c r="BG87" s="2">
        <f t="shared" si="39"/>
        <v>64.516129032258064</v>
      </c>
      <c r="BH87" s="2">
        <f t="shared" si="40"/>
        <v>0</v>
      </c>
      <c r="BI87" s="2">
        <f t="shared" si="41"/>
        <v>0</v>
      </c>
      <c r="BJ87" s="2">
        <f t="shared" si="42"/>
        <v>56.451612903225808</v>
      </c>
      <c r="BK87" s="2">
        <v>1</v>
      </c>
      <c r="BL87" s="2">
        <v>1</v>
      </c>
      <c r="BM87" s="2">
        <f t="shared" si="43"/>
        <v>10</v>
      </c>
      <c r="BN87" s="2">
        <f t="shared" si="44"/>
        <v>3</v>
      </c>
      <c r="BO87" s="2">
        <f t="shared" si="45"/>
        <v>-1</v>
      </c>
      <c r="BP87" s="2">
        <f t="shared" si="46"/>
        <v>10</v>
      </c>
      <c r="BQ87" s="2">
        <f t="shared" si="49"/>
        <v>7</v>
      </c>
      <c r="BR87" s="2">
        <f t="shared" si="48"/>
        <v>3</v>
      </c>
      <c r="BS87" s="3"/>
      <c r="BT87" s="3"/>
      <c r="BU87" s="3"/>
      <c r="BV87">
        <f>F87-F86</f>
        <v>21</v>
      </c>
      <c r="BW87" s="2" t="str">
        <f>CONCATENATE(
ROUND(BS87*VLOOKUP(I87,'ID Scheme'!$A$2:$E$7,3),0), "x",
ROUND(BT87*VLOOKUP(I87,'ID Scheme'!$A$2:$E$7,5),0), "x",
ROUND(BU87*VLOOKUP(I87,'ID Scheme'!$A$2:$E$7,4),0))</f>
        <v>0x0x0</v>
      </c>
    </row>
    <row r="88" spans="1:76" x14ac:dyDescent="0.25">
      <c r="A88" t="s">
        <v>40</v>
      </c>
      <c r="B88" t="s">
        <v>261</v>
      </c>
      <c r="C88" t="s">
        <v>382</v>
      </c>
      <c r="D88">
        <f>IF(F88 &gt; 2020, ((F88-2020)*4)+1610+H88,IF(F88 &gt; 1900, ((F88-1900)*10)+400+H88, ((F88-1730)*2)+H88))+VLOOKUP(I88,'ID Scheme'!$A$2:$B$7,2, FALSE)</f>
        <v>5862</v>
      </c>
      <c r="F88">
        <v>1986</v>
      </c>
      <c r="G88">
        <v>1</v>
      </c>
      <c r="H88">
        <v>2</v>
      </c>
      <c r="I88" t="s">
        <v>14</v>
      </c>
      <c r="J88" t="s">
        <v>547</v>
      </c>
      <c r="K88">
        <v>65</v>
      </c>
      <c r="L88">
        <v>20</v>
      </c>
      <c r="M88">
        <v>14</v>
      </c>
      <c r="N88">
        <v>5</v>
      </c>
      <c r="O88">
        <v>1</v>
      </c>
      <c r="P88">
        <v>44</v>
      </c>
      <c r="Q88">
        <v>20</v>
      </c>
      <c r="R88">
        <v>1</v>
      </c>
      <c r="S88" t="s">
        <v>377</v>
      </c>
      <c r="T88">
        <v>-4</v>
      </c>
      <c r="U88" s="2" t="s">
        <v>494</v>
      </c>
      <c r="V88" s="2"/>
      <c r="W88" s="2"/>
      <c r="X88" s="2"/>
      <c r="Y88" s="2"/>
      <c r="Z88" s="2"/>
      <c r="AA88" s="2"/>
      <c r="AB88" s="2"/>
      <c r="AC88" s="2"/>
      <c r="AD88" s="2"/>
      <c r="AE88" s="2"/>
      <c r="AH88">
        <v>4</v>
      </c>
      <c r="AI88">
        <v>1</v>
      </c>
      <c r="AJ88">
        <v>3</v>
      </c>
      <c r="AM88" s="8">
        <f t="shared" si="29"/>
        <v>3</v>
      </c>
      <c r="AV88" t="s">
        <v>361</v>
      </c>
      <c r="BA88" s="2">
        <f>(SQRT(K88*AH88)*POWER((MIN(M88,20)+SQRT(MAX(M88-20,0))),0.9)*Data!$B$1)*(1-(R88-1))</f>
        <v>13.003587055095952</v>
      </c>
      <c r="BB88" s="2">
        <f>(POWER((K88*K88*AH88), 0.33)*LOG10(P88)*10*Data!$B$1)*R88</f>
        <v>30.621120528083672</v>
      </c>
      <c r="BC88" s="2"/>
      <c r="BD88" s="2"/>
      <c r="BE88" s="2">
        <f>IFERROR((SQRT($K88*$AI88)*POWER((MIN($M88,20)+SQRT(MAX($M88-20,0))),0.9)*Data!$B$1)*(1 - (R88-1)),BA88)</f>
        <v>6.5017935275479761</v>
      </c>
      <c r="BF88" s="2">
        <f>IFERROR(((POWER(($K88*$K88*$AI88), 0.33)*LOG10($AF88)*10*Data!$B$1)*R88),BB88)</f>
        <v>30.621120528083672</v>
      </c>
      <c r="BG88" s="2">
        <f t="shared" si="39"/>
        <v>52.41935483870968</v>
      </c>
      <c r="BH88" s="2">
        <f t="shared" si="40"/>
        <v>0</v>
      </c>
      <c r="BI88" s="2">
        <f t="shared" si="41"/>
        <v>0</v>
      </c>
      <c r="BJ88" s="2">
        <f t="shared" si="42"/>
        <v>0</v>
      </c>
      <c r="BK88" s="2">
        <v>1</v>
      </c>
      <c r="BL88" s="2">
        <v>1</v>
      </c>
      <c r="BM88" s="2">
        <f t="shared" si="43"/>
        <v>4</v>
      </c>
      <c r="BN88" s="2">
        <f t="shared" si="44"/>
        <v>1</v>
      </c>
      <c r="BO88" s="2">
        <f t="shared" si="45"/>
        <v>-1</v>
      </c>
      <c r="BP88" s="2">
        <f t="shared" si="46"/>
        <v>4</v>
      </c>
      <c r="BQ88" s="2">
        <f t="shared" si="49"/>
        <v>3</v>
      </c>
      <c r="BR88" s="2">
        <f t="shared" si="48"/>
        <v>1</v>
      </c>
      <c r="BS88" s="3"/>
      <c r="BT88" s="3"/>
      <c r="BU88" s="3"/>
      <c r="BV88">
        <f>F88-F87</f>
        <v>0</v>
      </c>
      <c r="BW88" s="2" t="str">
        <f>CONCATENATE(
ROUND(BS88*VLOOKUP(I88,'ID Scheme'!$A$2:$E$7,3),0), "x",
ROUND(BT88*VLOOKUP(I88,'ID Scheme'!$A$2:$E$7,5),0), "x",
ROUND(BU88*VLOOKUP(I88,'ID Scheme'!$A$2:$E$7,4),0))</f>
        <v>0x0x0</v>
      </c>
    </row>
    <row r="89" spans="1:76" x14ac:dyDescent="0.25">
      <c r="A89" t="s">
        <v>42</v>
      </c>
      <c r="B89" t="s">
        <v>215</v>
      </c>
      <c r="C89" t="s">
        <v>382</v>
      </c>
      <c r="D89">
        <f>IF(F89 &gt; 2020, ((F89-2020)*4)+1610+H89,IF(F89 &gt; 1900, ((F89-1900)*10)+400+H89, ((F89-1730)*2)+H89))+VLOOKUP(I89,'ID Scheme'!$A$2:$B$7,2, FALSE)</f>
        <v>6061</v>
      </c>
      <c r="F89">
        <v>2006</v>
      </c>
      <c r="G89">
        <v>1</v>
      </c>
      <c r="H89">
        <v>1</v>
      </c>
      <c r="I89" t="s">
        <v>14</v>
      </c>
      <c r="J89" t="s">
        <v>547</v>
      </c>
      <c r="K89">
        <v>85</v>
      </c>
      <c r="L89">
        <v>-1</v>
      </c>
      <c r="M89">
        <v>15</v>
      </c>
      <c r="N89">
        <v>5</v>
      </c>
      <c r="O89">
        <v>2</v>
      </c>
      <c r="P89">
        <v>160</v>
      </c>
      <c r="Q89">
        <v>20</v>
      </c>
      <c r="R89">
        <v>1</v>
      </c>
      <c r="S89" t="s">
        <v>377</v>
      </c>
      <c r="T89">
        <v>-4</v>
      </c>
      <c r="U89" s="2" t="s">
        <v>493</v>
      </c>
      <c r="V89" s="2"/>
      <c r="W89" s="2"/>
      <c r="X89" s="2"/>
      <c r="Y89" s="2"/>
      <c r="Z89" s="2"/>
      <c r="AA89" s="2"/>
      <c r="AB89" s="2"/>
      <c r="AC89" s="2"/>
      <c r="AD89" s="2"/>
      <c r="AE89" s="2"/>
      <c r="AH89">
        <v>12</v>
      </c>
      <c r="AI89">
        <v>3</v>
      </c>
      <c r="AJ89">
        <v>9</v>
      </c>
      <c r="AM89" s="8">
        <f t="shared" si="29"/>
        <v>9</v>
      </c>
      <c r="AO89">
        <v>70</v>
      </c>
      <c r="AV89" t="s">
        <v>361</v>
      </c>
      <c r="BA89" s="2">
        <f>(SQRT(K89*AH89)*POWER((MIN(M89,20)+SQRT(MAX(M89-20,0))),0.9)*Data!$B$1)*(1-(R89-1))</f>
        <v>27.405863002169326</v>
      </c>
      <c r="BB89" s="2">
        <f>(POWER((K89*K89*AH89), 0.33)*LOG10(P89)*10*Data!$B$1)*R89</f>
        <v>70.44380358335296</v>
      </c>
      <c r="BC89" s="2"/>
      <c r="BD89" s="2"/>
      <c r="BE89" s="2">
        <f>IFERROR((SQRT($K89*$AI89)*POWER((MIN($M89,20)+SQRT(MAX($M89-20,0))),0.9)*Data!$B$1)*(1 - (R89-1)),BA89)</f>
        <v>13.702931501084663</v>
      </c>
      <c r="BF89" s="2">
        <f>IFERROR(((POWER(($K89*$K89*$AI89), 0.33)*LOG10($AF89)*10*Data!$B$1)*R89),BB89)</f>
        <v>70.44380358335296</v>
      </c>
      <c r="BG89" s="2">
        <f t="shared" si="39"/>
        <v>68.548387096774192</v>
      </c>
      <c r="BH89" s="2">
        <f t="shared" si="40"/>
        <v>0</v>
      </c>
      <c r="BI89" s="2">
        <f t="shared" si="41"/>
        <v>0</v>
      </c>
      <c r="BJ89" s="2">
        <f t="shared" si="42"/>
        <v>56.451612903225808</v>
      </c>
      <c r="BK89" s="2">
        <v>1</v>
      </c>
      <c r="BL89" s="2">
        <v>1</v>
      </c>
      <c r="BM89" s="2">
        <f t="shared" si="43"/>
        <v>12</v>
      </c>
      <c r="BN89" s="2">
        <f t="shared" si="44"/>
        <v>3</v>
      </c>
      <c r="BO89" s="2">
        <f t="shared" si="45"/>
        <v>-1</v>
      </c>
      <c r="BP89" s="2">
        <f t="shared" si="46"/>
        <v>12</v>
      </c>
      <c r="BQ89" s="2">
        <f t="shared" si="49"/>
        <v>9</v>
      </c>
      <c r="BR89" s="2">
        <f t="shared" si="48"/>
        <v>3</v>
      </c>
      <c r="BS89" s="3"/>
      <c r="BT89" s="3"/>
      <c r="BU89" s="3"/>
      <c r="BV89">
        <f>F89-F88</f>
        <v>20</v>
      </c>
      <c r="BW89" s="2" t="str">
        <f>CONCATENATE(
ROUND(BS89*VLOOKUP(I89,'ID Scheme'!$A$2:$E$7,3),0), "x",
ROUND(BT89*VLOOKUP(I89,'ID Scheme'!$A$2:$E$7,5),0), "x",
ROUND(BU89*VLOOKUP(I89,'ID Scheme'!$A$2:$E$7,4),0))</f>
        <v>0x0x0</v>
      </c>
    </row>
    <row r="90" spans="1:76" x14ac:dyDescent="0.25">
      <c r="A90" t="s">
        <v>41</v>
      </c>
      <c r="B90" t="s">
        <v>267</v>
      </c>
      <c r="C90" t="s">
        <v>382</v>
      </c>
      <c r="D90">
        <f>IF(F90 &gt; 2020, ((F90-2020)*4)+1610+H90,IF(F90 &gt; 1900, ((F90-1900)*10)+400+H90, ((F90-1730)*2)+H90))+VLOOKUP(I90,'ID Scheme'!$A$2:$B$7,2, FALSE)</f>
        <v>6121</v>
      </c>
      <c r="F90">
        <v>2012</v>
      </c>
      <c r="G90">
        <v>1</v>
      </c>
      <c r="H90">
        <v>1</v>
      </c>
      <c r="I90" t="s">
        <v>14</v>
      </c>
      <c r="J90" t="s">
        <v>547</v>
      </c>
      <c r="K90">
        <v>92</v>
      </c>
      <c r="L90">
        <v>-1</v>
      </c>
      <c r="M90">
        <v>14</v>
      </c>
      <c r="N90">
        <v>5</v>
      </c>
      <c r="O90">
        <v>1.5</v>
      </c>
      <c r="P90">
        <v>125</v>
      </c>
      <c r="Q90">
        <v>20</v>
      </c>
      <c r="R90">
        <v>1</v>
      </c>
      <c r="S90" t="s">
        <v>377</v>
      </c>
      <c r="T90">
        <v>-4</v>
      </c>
      <c r="U90" s="2" t="s">
        <v>492</v>
      </c>
      <c r="V90" s="2"/>
      <c r="W90" s="2"/>
      <c r="X90" s="2"/>
      <c r="Y90" s="2"/>
      <c r="Z90" s="2"/>
      <c r="AA90" s="2"/>
      <c r="AB90" s="2"/>
      <c r="AC90" s="2"/>
      <c r="AD90" s="2"/>
      <c r="AE90" s="2"/>
      <c r="AH90">
        <v>10</v>
      </c>
      <c r="AI90">
        <v>3</v>
      </c>
      <c r="AJ90">
        <v>8</v>
      </c>
      <c r="AM90" s="8">
        <f t="shared" si="29"/>
        <v>8</v>
      </c>
      <c r="AO90">
        <v>70</v>
      </c>
      <c r="AV90" t="s">
        <v>361</v>
      </c>
      <c r="BA90" s="2">
        <f>(SQRT(K90*AH90)*POWER((MIN(M90,20)+SQRT(MAX(M90-20,0))),0.9)*Data!$B$1)*(1-(R90-1))</f>
        <v>24.460786058466841</v>
      </c>
      <c r="BB90" s="2">
        <f>(POWER((K90*K90*AH90), 0.33)*LOG10(P90)*10*Data!$B$1)*R90</f>
        <v>66.487656097371513</v>
      </c>
      <c r="BC90" s="2"/>
      <c r="BD90" s="2"/>
      <c r="BE90" s="2">
        <f>IFERROR((SQRT($K90*$AI90)*POWER((MIN($M90,20)+SQRT(MAX($M90-20,0))),0.9)*Data!$B$1)*(1 - (R90-1)),BA90)</f>
        <v>13.39772429853017</v>
      </c>
      <c r="BF90" s="2">
        <f>IFERROR(((POWER(($K90*$K90*$AI90), 0.33)*LOG10($AF90)*10*Data!$B$1)*R90),BB90)</f>
        <v>66.487656097371513</v>
      </c>
      <c r="BG90" s="2">
        <f t="shared" si="39"/>
        <v>74.193548387096769</v>
      </c>
      <c r="BH90" s="2">
        <f t="shared" si="40"/>
        <v>0</v>
      </c>
      <c r="BI90" s="2">
        <f t="shared" si="41"/>
        <v>0</v>
      </c>
      <c r="BJ90" s="2">
        <f t="shared" si="42"/>
        <v>56.451612903225808</v>
      </c>
      <c r="BK90" s="2">
        <v>1</v>
      </c>
      <c r="BL90" s="2">
        <v>1</v>
      </c>
      <c r="BM90" s="2">
        <f t="shared" si="43"/>
        <v>10</v>
      </c>
      <c r="BN90" s="2">
        <f t="shared" si="44"/>
        <v>3</v>
      </c>
      <c r="BO90" s="2">
        <f t="shared" si="45"/>
        <v>-1</v>
      </c>
      <c r="BP90" s="2">
        <f t="shared" si="46"/>
        <v>10</v>
      </c>
      <c r="BQ90" s="2">
        <f t="shared" si="49"/>
        <v>8</v>
      </c>
      <c r="BR90" s="2">
        <f t="shared" si="48"/>
        <v>3</v>
      </c>
      <c r="BS90" s="3"/>
      <c r="BT90" s="3"/>
      <c r="BU90" s="3"/>
      <c r="BV90">
        <f>F90-F89</f>
        <v>6</v>
      </c>
      <c r="BW90" s="2" t="str">
        <f>CONCATENATE(
ROUND(BS90*VLOOKUP(I90,'ID Scheme'!$A$2:$E$7,3),0), "x",
ROUND(BT90*VLOOKUP(I90,'ID Scheme'!$A$2:$E$7,5),0), "x",
ROUND(BU90*VLOOKUP(I90,'ID Scheme'!$A$2:$E$7,4),0))</f>
        <v>0x0x0</v>
      </c>
    </row>
    <row r="91" spans="1:76" x14ac:dyDescent="0.25">
      <c r="A91" t="s">
        <v>49</v>
      </c>
      <c r="B91" t="s">
        <v>260</v>
      </c>
      <c r="C91" t="s">
        <v>383</v>
      </c>
      <c r="D91">
        <f>IF(F91 &gt; 2020, ((F91-2020)*4)+1610+H91,IF(F91 &gt; 1900, ((F91-1900)*10)+400+H91, ((F91-1730)*2)+H91))+VLOOKUP(I91,'ID Scheme'!$A$2:$B$7,2, FALSE)</f>
        <v>7581</v>
      </c>
      <c r="F91">
        <v>1958</v>
      </c>
      <c r="G91">
        <v>1</v>
      </c>
      <c r="H91">
        <v>1</v>
      </c>
      <c r="I91" t="s">
        <v>48</v>
      </c>
      <c r="J91" t="s">
        <v>547</v>
      </c>
      <c r="K91">
        <v>75</v>
      </c>
      <c r="L91">
        <v>50</v>
      </c>
      <c r="M91">
        <v>15</v>
      </c>
      <c r="N91">
        <v>5</v>
      </c>
      <c r="O91">
        <v>1.6</v>
      </c>
      <c r="P91">
        <v>68</v>
      </c>
      <c r="Q91">
        <v>10</v>
      </c>
      <c r="R91">
        <v>0.95</v>
      </c>
      <c r="S91" t="s">
        <v>377</v>
      </c>
      <c r="T91">
        <v>-4</v>
      </c>
      <c r="U91" s="2" t="s">
        <v>491</v>
      </c>
      <c r="V91" s="2"/>
      <c r="W91" s="2"/>
      <c r="X91" s="2"/>
      <c r="Y91" s="2"/>
      <c r="Z91" s="2"/>
      <c r="AA91" s="2"/>
      <c r="AB91" s="2"/>
      <c r="AC91" s="2"/>
      <c r="AD91" s="2"/>
      <c r="AE91" s="2">
        <v>230</v>
      </c>
      <c r="AH91">
        <v>4</v>
      </c>
      <c r="AM91" s="8">
        <f t="shared" si="29"/>
        <v>0</v>
      </c>
      <c r="AO91">
        <v>70</v>
      </c>
      <c r="AV91" t="s">
        <v>362</v>
      </c>
      <c r="BA91" s="2">
        <f>(SQRT(K91*AH91)*POWER((MIN(M91,20)+SQRT(MAX(M91-20,0))),0.9)*Data!$B$1)*(1-(R91-1))</f>
        <v>15.606061820936905</v>
      </c>
      <c r="BB91" s="2">
        <f>(POWER((K91*K91*AH91), 0.33)*LOG10(P91)*10*Data!$B$1)*R91</f>
        <v>35.649315485846252</v>
      </c>
      <c r="BC91" s="2"/>
      <c r="BD91" s="2"/>
      <c r="BE91" s="2">
        <f>IFERROR((SQRT($K91*$AI91)*POWER((MIN($M91,20)+SQRT(MAX($M91-20,0))),0.9)*Data!$B$1)*(1 - (R91-1)),BA91)</f>
        <v>0</v>
      </c>
      <c r="BF91" s="2">
        <f>IFERROR(((POWER(($K91*$K91*$AI91), 0.33)*LOG10($AF91)*10*Data!$B$1)*R91),BB91)</f>
        <v>35.649315485846252</v>
      </c>
      <c r="BG91" s="2">
        <f t="shared" si="39"/>
        <v>60.483870967741936</v>
      </c>
      <c r="BH91" s="2">
        <f t="shared" si="40"/>
        <v>0</v>
      </c>
      <c r="BI91" s="2">
        <f t="shared" si="41"/>
        <v>0</v>
      </c>
      <c r="BJ91" s="2">
        <f t="shared" si="42"/>
        <v>56.451612903225808</v>
      </c>
      <c r="BK91" s="2">
        <v>1</v>
      </c>
      <c r="BL91" s="2">
        <v>1</v>
      </c>
      <c r="BM91" s="2">
        <f t="shared" si="43"/>
        <v>4</v>
      </c>
      <c r="BN91" s="2">
        <f t="shared" si="44"/>
        <v>0</v>
      </c>
      <c r="BO91" s="2">
        <f t="shared" si="45"/>
        <v>-1</v>
      </c>
      <c r="BP91" s="2">
        <f t="shared" si="46"/>
        <v>4</v>
      </c>
      <c r="BQ91" s="2">
        <f t="shared" si="49"/>
        <v>-1</v>
      </c>
      <c r="BR91" s="2">
        <f t="shared" si="48"/>
        <v>-1</v>
      </c>
      <c r="BS91" s="3"/>
      <c r="BT91" s="3"/>
      <c r="BU91" s="3"/>
      <c r="BV91">
        <f>F91-F90</f>
        <v>-54</v>
      </c>
      <c r="BW91" s="2" t="str">
        <f>CONCATENATE(
ROUND(BS91*VLOOKUP(I91,'ID Scheme'!$A$2:$E$7,3),0), "x",
ROUND(BT91*VLOOKUP(I91,'ID Scheme'!$A$2:$E$7,5),0), "x",
ROUND(BU91*VLOOKUP(I91,'ID Scheme'!$A$2:$E$7,4),0))</f>
        <v>0x0x0</v>
      </c>
      <c r="BX91" t="s">
        <v>55</v>
      </c>
    </row>
    <row r="92" spans="1:76" x14ac:dyDescent="0.25">
      <c r="A92" t="s">
        <v>71</v>
      </c>
      <c r="B92" t="s">
        <v>211</v>
      </c>
      <c r="C92" t="s">
        <v>295</v>
      </c>
      <c r="D92">
        <f>IF(F92 &gt; 2020, ((F92-2020)*4)+1610+H92,IF(F92 &gt; 1900, ((F92-1900)*10)+400+H92, ((F92-1730)*2)+H92))+VLOOKUP(I92,'ID Scheme'!$A$2:$B$7,2, FALSE)</f>
        <v>7741</v>
      </c>
      <c r="F92">
        <v>1974</v>
      </c>
      <c r="G92">
        <v>6</v>
      </c>
      <c r="H92">
        <v>1</v>
      </c>
      <c r="I92" t="s">
        <v>48</v>
      </c>
      <c r="J92" t="s">
        <v>547</v>
      </c>
      <c r="K92">
        <v>63</v>
      </c>
      <c r="L92">
        <v>22</v>
      </c>
      <c r="M92">
        <v>12</v>
      </c>
      <c r="N92">
        <v>5</v>
      </c>
      <c r="O92">
        <v>1.5</v>
      </c>
      <c r="P92">
        <v>55</v>
      </c>
      <c r="Q92">
        <v>20</v>
      </c>
      <c r="R92">
        <v>1</v>
      </c>
      <c r="S92" t="s">
        <v>377</v>
      </c>
      <c r="T92">
        <v>-4</v>
      </c>
      <c r="U92" s="2" t="s">
        <v>490</v>
      </c>
      <c r="V92" s="2"/>
      <c r="W92" s="2"/>
      <c r="X92" s="2"/>
      <c r="Y92" s="2"/>
      <c r="Z92" s="2"/>
      <c r="AA92" s="2"/>
      <c r="AB92" s="2"/>
      <c r="AC92" s="2"/>
      <c r="AD92" s="2"/>
      <c r="AE92" s="2"/>
      <c r="AH92">
        <v>8</v>
      </c>
      <c r="AM92" s="8">
        <f t="shared" si="29"/>
        <v>0</v>
      </c>
      <c r="AV92" t="s">
        <v>361</v>
      </c>
      <c r="BA92" s="2">
        <f>(SQRT(K92*AH92)*POWER((MIN(M92,20)+SQRT(MAX(M92-20,0))),0.9)*Data!$B$1)*(1-(R92-1))</f>
        <v>15.759399066413742</v>
      </c>
      <c r="BB92" s="2">
        <f>(POWER((K92*K92*AH92), 0.33)*LOG10(P92)*10*Data!$B$1)*R92</f>
        <v>39.928728984013709</v>
      </c>
      <c r="BC92" s="2"/>
      <c r="BD92" s="2"/>
      <c r="BE92" s="2">
        <f>IFERROR((SQRT($K92*$AI92)*POWER((MIN($M92,20)+SQRT(MAX($M92-20,0))),0.9)*Data!$B$1)*(1 - (R92-1)),BA92)</f>
        <v>0</v>
      </c>
      <c r="BF92" s="2">
        <f>IFERROR(((POWER(($K92*$K92*$AI92), 0.33)*LOG10($AF92)*10*Data!$B$1)*R92),BB92)</f>
        <v>39.928728984013709</v>
      </c>
      <c r="BG92" s="2">
        <f t="shared" si="39"/>
        <v>50.806451612903224</v>
      </c>
      <c r="BH92" s="2">
        <f t="shared" si="40"/>
        <v>0</v>
      </c>
      <c r="BI92" s="2">
        <f t="shared" si="41"/>
        <v>0</v>
      </c>
      <c r="BJ92" s="2">
        <f t="shared" si="42"/>
        <v>0</v>
      </c>
      <c r="BK92" s="2">
        <v>1</v>
      </c>
      <c r="BL92" s="2">
        <v>1</v>
      </c>
      <c r="BM92" s="2">
        <f t="shared" si="43"/>
        <v>8</v>
      </c>
      <c r="BN92" s="2">
        <f t="shared" si="44"/>
        <v>0</v>
      </c>
      <c r="BO92" s="2">
        <f t="shared" si="45"/>
        <v>-1</v>
      </c>
      <c r="BP92" s="2">
        <f t="shared" si="46"/>
        <v>8</v>
      </c>
      <c r="BQ92" s="2">
        <f t="shared" si="49"/>
        <v>-1</v>
      </c>
      <c r="BR92" s="2">
        <f t="shared" si="48"/>
        <v>-1</v>
      </c>
      <c r="BU92" s="3"/>
      <c r="BV92">
        <f>F92-F91</f>
        <v>16</v>
      </c>
      <c r="BW92" s="2" t="str">
        <f>CONCATENATE(
ROUND(BS92*VLOOKUP(I92,'ID Scheme'!$A$2:$E$7,3),0), "x",
ROUND(BT92*VLOOKUP(I92,'ID Scheme'!$A$2:$E$7,5),0), "x",
ROUND(BU92*VLOOKUP(I92,'ID Scheme'!$A$2:$E$7,4),0))</f>
        <v>0x0x0</v>
      </c>
    </row>
    <row r="93" spans="1:76" x14ac:dyDescent="0.25">
      <c r="A93" t="s">
        <v>51</v>
      </c>
      <c r="B93" t="s">
        <v>203</v>
      </c>
      <c r="C93" t="s">
        <v>295</v>
      </c>
      <c r="D93">
        <f>IF(F93 &gt; 2020, ((F93-2020)*4)+1610+H93,IF(F93 &gt; 1900, ((F93-1900)*10)+400+H93, ((F93-1730)*2)+H93))+VLOOKUP(I93,'ID Scheme'!$A$2:$B$7,2, FALSE)</f>
        <v>7761</v>
      </c>
      <c r="F93">
        <v>1976</v>
      </c>
      <c r="G93">
        <v>9</v>
      </c>
      <c r="H93">
        <v>1</v>
      </c>
      <c r="I93" t="s">
        <v>48</v>
      </c>
      <c r="J93" t="s">
        <v>547</v>
      </c>
      <c r="K93">
        <v>90</v>
      </c>
      <c r="L93">
        <v>18</v>
      </c>
      <c r="M93">
        <v>10</v>
      </c>
      <c r="N93">
        <v>4</v>
      </c>
      <c r="O93">
        <v>1.2</v>
      </c>
      <c r="P93">
        <v>73</v>
      </c>
      <c r="Q93">
        <v>20</v>
      </c>
      <c r="R93">
        <v>1</v>
      </c>
      <c r="S93" t="s">
        <v>378</v>
      </c>
      <c r="T93">
        <v>-4</v>
      </c>
      <c r="U93" s="2" t="s">
        <v>489</v>
      </c>
      <c r="V93" s="2"/>
      <c r="W93" s="2"/>
      <c r="X93" s="2"/>
      <c r="Y93" s="2"/>
      <c r="Z93" s="2"/>
      <c r="AA93" s="2"/>
      <c r="AB93" s="2"/>
      <c r="AC93" s="2"/>
      <c r="AD93" s="2"/>
      <c r="AE93" s="2">
        <v>275</v>
      </c>
      <c r="AH93">
        <v>4</v>
      </c>
      <c r="AM93" s="8">
        <f t="shared" si="29"/>
        <v>0</v>
      </c>
      <c r="AO93">
        <v>70</v>
      </c>
      <c r="AV93" t="s">
        <v>362</v>
      </c>
      <c r="BA93" s="2">
        <f>(SQRT(K93*AH93)*POWER((MIN(M93,20)+SQRT(MAX(M93-20,0))),0.9)*Data!$B$1)*(1-(R93-1))</f>
        <v>11.303488941793114</v>
      </c>
      <c r="BB93" s="2">
        <f>(POWER((K93*K93*AH93), 0.33)*LOG10(P93)*10*Data!$B$1)*R93</f>
        <v>43.035735424114051</v>
      </c>
      <c r="BC93" s="2"/>
      <c r="BD93" s="2"/>
      <c r="BE93" s="2">
        <f>IFERROR((SQRT($K93*$AI93)*POWER((MIN($M93,20)+SQRT(MAX($M93-20,0))),0.9)*Data!$B$1)*(1 - (R93-1)),BA93)</f>
        <v>0</v>
      </c>
      <c r="BF93" s="2">
        <f>IFERROR(((POWER(($K93*$K93*$AI93), 0.33)*LOG10($AF93)*10*Data!$B$1)*R93),BB93)</f>
        <v>43.035735424114051</v>
      </c>
      <c r="BG93" s="2">
        <f t="shared" si="39"/>
        <v>72.58064516129032</v>
      </c>
      <c r="BH93" s="2">
        <f t="shared" si="40"/>
        <v>0</v>
      </c>
      <c r="BI93" s="2">
        <f t="shared" si="41"/>
        <v>0</v>
      </c>
      <c r="BJ93" s="2">
        <f t="shared" si="42"/>
        <v>56.451612903225808</v>
      </c>
      <c r="BK93" s="2">
        <v>1</v>
      </c>
      <c r="BL93" s="2">
        <v>1</v>
      </c>
      <c r="BM93" s="2">
        <f t="shared" si="43"/>
        <v>4</v>
      </c>
      <c r="BN93" s="2">
        <f t="shared" si="44"/>
        <v>0</v>
      </c>
      <c r="BO93" s="2">
        <f t="shared" si="45"/>
        <v>-1</v>
      </c>
      <c r="BP93" s="2">
        <f t="shared" si="46"/>
        <v>4</v>
      </c>
      <c r="BQ93" s="2">
        <f t="shared" si="49"/>
        <v>-1</v>
      </c>
      <c r="BR93" s="2">
        <f t="shared" si="48"/>
        <v>-1</v>
      </c>
      <c r="BS93" s="3">
        <v>4.4000000000000004</v>
      </c>
      <c r="BT93" s="3">
        <v>1.8</v>
      </c>
      <c r="BU93" s="3">
        <v>1.5</v>
      </c>
      <c r="BV93">
        <f>F93-F92</f>
        <v>2</v>
      </c>
      <c r="BW93" s="2" t="str">
        <f>CONCATENATE(
ROUND(BS93*VLOOKUP(I93,'ID Scheme'!$A$2:$E$7,3),0), "x",
ROUND(BT93*VLOOKUP(I93,'ID Scheme'!$A$2:$E$7,5),0), "x",
ROUND(BU93*VLOOKUP(I93,'ID Scheme'!$A$2:$E$7,4),0))</f>
        <v>41x26x15</v>
      </c>
    </row>
    <row r="94" spans="1:76" x14ac:dyDescent="0.25">
      <c r="A94" t="s">
        <v>99</v>
      </c>
      <c r="B94" t="s">
        <v>270</v>
      </c>
      <c r="C94" t="s">
        <v>295</v>
      </c>
      <c r="D94">
        <f>IF(F94 &gt; 2020, ((F94-2020)*4)+1610+H94,IF(F94 &gt; 1900, ((F94-1900)*10)+400+H94, ((F94-1730)*2)+H94))+VLOOKUP(I94,'ID Scheme'!$A$2:$B$7,2, FALSE)</f>
        <v>7861</v>
      </c>
      <c r="F94">
        <v>1986</v>
      </c>
      <c r="G94">
        <v>2</v>
      </c>
      <c r="H94">
        <v>1</v>
      </c>
      <c r="I94" t="s">
        <v>48</v>
      </c>
      <c r="J94" t="s">
        <v>547</v>
      </c>
      <c r="K94">
        <v>80</v>
      </c>
      <c r="L94">
        <v>26</v>
      </c>
      <c r="M94">
        <v>14</v>
      </c>
      <c r="N94">
        <v>5</v>
      </c>
      <c r="O94">
        <v>1.5</v>
      </c>
      <c r="P94">
        <v>100</v>
      </c>
      <c r="Q94">
        <v>20</v>
      </c>
      <c r="R94">
        <v>1</v>
      </c>
      <c r="S94" t="s">
        <v>377</v>
      </c>
      <c r="T94">
        <v>-4</v>
      </c>
      <c r="U94" s="2" t="s">
        <v>495</v>
      </c>
      <c r="V94" s="2"/>
      <c r="W94" s="2"/>
      <c r="X94" s="2"/>
      <c r="Y94" s="2"/>
      <c r="Z94" s="2"/>
      <c r="AA94" s="2"/>
      <c r="AB94" s="2"/>
      <c r="AC94" s="2"/>
      <c r="AD94" s="2"/>
      <c r="AE94" s="2"/>
      <c r="AH94">
        <v>9</v>
      </c>
      <c r="AM94" s="8">
        <f t="shared" si="29"/>
        <v>0</v>
      </c>
      <c r="AO94">
        <v>70</v>
      </c>
      <c r="AV94" t="s">
        <v>361</v>
      </c>
      <c r="BA94" s="2">
        <f>(SQRT(K94*AH94)*POWER((MIN(M94,20)+SQRT(MAX(M94-20,0))),0.9)*Data!$B$1)*(1-(R94-1))</f>
        <v>21.639276873280725</v>
      </c>
      <c r="BB94" s="2">
        <f>(POWER((K94*K94*AH94), 0.33)*LOG10(P94)*10*Data!$B$1)*R94</f>
        <v>55.850964649456358</v>
      </c>
      <c r="BC94" s="2"/>
      <c r="BD94" s="2"/>
      <c r="BE94" s="2">
        <f>IFERROR((SQRT($K94*$AI94)*POWER((MIN($M94,20)+SQRT(MAX($M94-20,0))),0.9)*Data!$B$1)*(1 - (R94-1)),BA94)</f>
        <v>0</v>
      </c>
      <c r="BF94" s="2">
        <f>IFERROR(((POWER(($K94*$K94*$AI94), 0.33)*LOG10($AF94)*10*Data!$B$1)*R94),BB94)</f>
        <v>55.850964649456358</v>
      </c>
      <c r="BG94" s="2">
        <f t="shared" si="39"/>
        <v>64.516129032258064</v>
      </c>
      <c r="BH94" s="2">
        <f t="shared" si="40"/>
        <v>0</v>
      </c>
      <c r="BI94" s="2">
        <f t="shared" si="41"/>
        <v>0</v>
      </c>
      <c r="BJ94" s="2">
        <f t="shared" si="42"/>
        <v>56.451612903225808</v>
      </c>
      <c r="BK94" s="2">
        <v>1</v>
      </c>
      <c r="BL94" s="2">
        <v>1</v>
      </c>
      <c r="BM94" s="2">
        <f t="shared" si="43"/>
        <v>9</v>
      </c>
      <c r="BN94" s="2">
        <f t="shared" si="44"/>
        <v>0</v>
      </c>
      <c r="BO94" s="2">
        <f t="shared" si="45"/>
        <v>-1</v>
      </c>
      <c r="BP94" s="2">
        <f t="shared" si="46"/>
        <v>9</v>
      </c>
      <c r="BQ94" s="2">
        <f t="shared" si="49"/>
        <v>-1</v>
      </c>
      <c r="BR94" s="2">
        <f t="shared" si="48"/>
        <v>-1</v>
      </c>
      <c r="BU94" s="3"/>
      <c r="BV94">
        <f>F94-F93</f>
        <v>10</v>
      </c>
      <c r="BW94" s="2" t="str">
        <f>CONCATENATE(
ROUND(BS94*VLOOKUP(I94,'ID Scheme'!$A$2:$E$7,3),0), "x",
ROUND(BT94*VLOOKUP(I94,'ID Scheme'!$A$2:$E$7,5),0), "x",
ROUND(BU94*VLOOKUP(I94,'ID Scheme'!$A$2:$E$7,4),0))</f>
        <v>0x0x0</v>
      </c>
    </row>
    <row r="95" spans="1:76" x14ac:dyDescent="0.25">
      <c r="A95" t="s">
        <v>52</v>
      </c>
      <c r="B95" t="s">
        <v>223</v>
      </c>
      <c r="C95" t="s">
        <v>295</v>
      </c>
      <c r="D95">
        <f>IF(F95 &gt; 2020, ((F95-2020)*4)+1610+H95,IF(F95 &gt; 1900, ((F95-1900)*10)+400+H95, ((F95-1730)*2)+H95))+VLOOKUP(I95,'ID Scheme'!$A$2:$B$7,2, FALSE)</f>
        <v>7941</v>
      </c>
      <c r="F95">
        <v>1994</v>
      </c>
      <c r="G95">
        <v>4</v>
      </c>
      <c r="H95">
        <v>1</v>
      </c>
      <c r="I95" t="s">
        <v>48</v>
      </c>
      <c r="J95" t="s">
        <v>547</v>
      </c>
      <c r="K95">
        <v>120</v>
      </c>
      <c r="L95">
        <v>15</v>
      </c>
      <c r="M95">
        <v>12</v>
      </c>
      <c r="N95">
        <v>4</v>
      </c>
      <c r="O95">
        <v>1.7</v>
      </c>
      <c r="P95">
        <v>168</v>
      </c>
      <c r="Q95">
        <v>20</v>
      </c>
      <c r="R95">
        <v>1.05</v>
      </c>
      <c r="S95" t="s">
        <v>378</v>
      </c>
      <c r="T95">
        <v>-4</v>
      </c>
      <c r="U95" s="2" t="s">
        <v>487</v>
      </c>
      <c r="V95" s="2"/>
      <c r="W95" s="2"/>
      <c r="X95" s="2"/>
      <c r="Y95" s="2"/>
      <c r="Z95" s="2"/>
      <c r="AA95" s="2"/>
      <c r="AB95" s="2"/>
      <c r="AC95" s="2"/>
      <c r="AD95" s="2"/>
      <c r="AE95" s="2">
        <v>275</v>
      </c>
      <c r="AH95">
        <v>4</v>
      </c>
      <c r="AM95" s="8">
        <f t="shared" si="29"/>
        <v>0</v>
      </c>
      <c r="AO95">
        <v>70</v>
      </c>
      <c r="AV95" t="s">
        <v>362</v>
      </c>
      <c r="BA95" s="2">
        <f>(SQRT(K95*AH95)*POWER((MIN(M95,20)+SQRT(MAX(M95-20,0))),0.9)*Data!$B$1)*(1-(R95-1))</f>
        <v>14.610618763611306</v>
      </c>
      <c r="BB95" s="2">
        <f>(POWER((K95*K95*AH95), 0.33)*LOG10(P95)*10*Data!$B$1)*R95</f>
        <v>65.249976764583593</v>
      </c>
      <c r="BC95" s="2"/>
      <c r="BD95" s="2"/>
      <c r="BE95" s="2">
        <f>IFERROR((SQRT($K95*$AI95)*POWER((MIN($M95,20)+SQRT(MAX($M95-20,0))),0.9)*Data!$B$1)*(1 - (R95-1)),BA95)</f>
        <v>0</v>
      </c>
      <c r="BF95" s="2">
        <f>IFERROR(((POWER(($K95*$K95*$AI95), 0.33)*LOG10($AF95)*10*Data!$B$1)*R95),BB95)</f>
        <v>65.249976764583593</v>
      </c>
      <c r="BG95" s="2">
        <f t="shared" si="39"/>
        <v>96.774193548387103</v>
      </c>
      <c r="BH95" s="2">
        <f t="shared" si="40"/>
        <v>0</v>
      </c>
      <c r="BI95" s="2">
        <f t="shared" si="41"/>
        <v>0</v>
      </c>
      <c r="BJ95" s="2">
        <f t="shared" si="42"/>
        <v>56.451612903225808</v>
      </c>
      <c r="BK95" s="2">
        <v>1</v>
      </c>
      <c r="BL95" s="2">
        <v>1</v>
      </c>
      <c r="BM95" s="2">
        <f t="shared" si="43"/>
        <v>4</v>
      </c>
      <c r="BN95" s="2">
        <f t="shared" si="44"/>
        <v>0</v>
      </c>
      <c r="BO95" s="2">
        <f t="shared" si="45"/>
        <v>-1</v>
      </c>
      <c r="BP95" s="2">
        <f t="shared" si="46"/>
        <v>4</v>
      </c>
      <c r="BQ95" s="2">
        <f t="shared" si="49"/>
        <v>-1</v>
      </c>
      <c r="BR95" s="2">
        <f t="shared" si="48"/>
        <v>-1</v>
      </c>
      <c r="BS95" s="3">
        <v>5</v>
      </c>
      <c r="BT95" s="3">
        <v>2</v>
      </c>
      <c r="BU95" s="3">
        <v>1.5</v>
      </c>
      <c r="BV95">
        <f>F95-F94</f>
        <v>8</v>
      </c>
      <c r="BW95" s="2" t="str">
        <f>CONCATENATE(
ROUND(BS95*VLOOKUP(I95,'ID Scheme'!$A$2:$E$7,3),0), "x",
ROUND(BT95*VLOOKUP(I95,'ID Scheme'!$A$2:$E$7,5),0), "x",
ROUND(BU95*VLOOKUP(I95,'ID Scheme'!$A$2:$E$7,4),0))</f>
        <v>47x29x15</v>
      </c>
    </row>
    <row r="96" spans="1:76" x14ac:dyDescent="0.25">
      <c r="A96" t="s">
        <v>50</v>
      </c>
      <c r="B96" t="s">
        <v>213</v>
      </c>
      <c r="C96" t="s">
        <v>383</v>
      </c>
      <c r="D96">
        <f>IF(F96 &gt; 2020, ((F96-2020)*4)+1610+H96,IF(F96 &gt; 1900, ((F96-1900)*10)+400+H96, ((F96-1730)*2)+H96))+VLOOKUP(I96,'ID Scheme'!$A$2:$B$7,2, FALSE)</f>
        <v>7971</v>
      </c>
      <c r="F96">
        <v>1997</v>
      </c>
      <c r="G96">
        <v>1</v>
      </c>
      <c r="H96">
        <v>1</v>
      </c>
      <c r="I96" t="s">
        <v>48</v>
      </c>
      <c r="J96" t="s">
        <v>547</v>
      </c>
      <c r="K96">
        <v>81</v>
      </c>
      <c r="L96">
        <v>-1</v>
      </c>
      <c r="M96">
        <v>15</v>
      </c>
      <c r="N96">
        <v>5</v>
      </c>
      <c r="O96">
        <v>1.8</v>
      </c>
      <c r="P96">
        <v>88</v>
      </c>
      <c r="Q96">
        <v>12</v>
      </c>
      <c r="R96">
        <v>0.95</v>
      </c>
      <c r="S96" t="s">
        <v>377</v>
      </c>
      <c r="T96">
        <v>-4</v>
      </c>
      <c r="U96" s="2" t="s">
        <v>486</v>
      </c>
      <c r="V96" s="2"/>
      <c r="W96" s="2"/>
      <c r="X96" s="2"/>
      <c r="Y96" s="2"/>
      <c r="Z96" s="2"/>
      <c r="AA96" s="2"/>
      <c r="AB96" s="2"/>
      <c r="AC96" s="2"/>
      <c r="AD96" s="2"/>
      <c r="AE96" s="2">
        <v>230</v>
      </c>
      <c r="AH96">
        <v>5</v>
      </c>
      <c r="AM96" s="8">
        <f t="shared" si="29"/>
        <v>0</v>
      </c>
      <c r="AO96">
        <v>70</v>
      </c>
      <c r="AV96" t="s">
        <v>362</v>
      </c>
      <c r="BA96" s="2">
        <f>(SQRT(K96*AH96)*POWER((MIN(M96,20)+SQRT(MAX(M96-20,0))),0.9)*Data!$B$1)*(1-(R96-1))</f>
        <v>18.132605259711607</v>
      </c>
      <c r="BB96" s="2">
        <f>(POWER((K96*K96*AH96), 0.33)*LOG10(P96)*10*Data!$B$1)*R96</f>
        <v>42.839970188987628</v>
      </c>
      <c r="BC96" s="2"/>
      <c r="BD96" s="2"/>
      <c r="BE96" s="2">
        <f>IFERROR((SQRT($K96*$AI96)*POWER((MIN($M96,20)+SQRT(MAX($M96-20,0))),0.9)*Data!$B$1)*(1 - (R96-1)),BA96)</f>
        <v>0</v>
      </c>
      <c r="BF96" s="2">
        <f>IFERROR(((POWER(($K96*$K96*$AI96), 0.33)*LOG10($AF96)*10*Data!$B$1)*R96),BB96)</f>
        <v>42.839970188987628</v>
      </c>
      <c r="BG96" s="2">
        <f t="shared" si="39"/>
        <v>65.322580645161295</v>
      </c>
      <c r="BH96" s="2">
        <f t="shared" si="40"/>
        <v>0</v>
      </c>
      <c r="BI96" s="2">
        <f t="shared" si="41"/>
        <v>0</v>
      </c>
      <c r="BJ96" s="2">
        <f t="shared" si="42"/>
        <v>56.451612903225808</v>
      </c>
      <c r="BK96" s="2">
        <v>1</v>
      </c>
      <c r="BL96" s="2">
        <v>1</v>
      </c>
      <c r="BM96" s="2">
        <f t="shared" si="43"/>
        <v>5</v>
      </c>
      <c r="BN96" s="2">
        <f t="shared" si="44"/>
        <v>0</v>
      </c>
      <c r="BO96" s="2">
        <f t="shared" si="45"/>
        <v>-1</v>
      </c>
      <c r="BP96" s="2">
        <f t="shared" si="46"/>
        <v>5</v>
      </c>
      <c r="BQ96" s="2">
        <f t="shared" si="49"/>
        <v>-1</v>
      </c>
      <c r="BR96" s="2">
        <f t="shared" si="48"/>
        <v>-1</v>
      </c>
      <c r="BS96" s="3"/>
      <c r="BT96" s="3"/>
      <c r="BU96" s="3"/>
      <c r="BV96">
        <f>F96-F95</f>
        <v>3</v>
      </c>
      <c r="BW96" s="2" t="str">
        <f>CONCATENATE(
ROUND(BS96*VLOOKUP(I96,'ID Scheme'!$A$2:$E$7,3),0), "x",
ROUND(BT96*VLOOKUP(I96,'ID Scheme'!$A$2:$E$7,5),0), "x",
ROUND(BU96*VLOOKUP(I96,'ID Scheme'!$A$2:$E$7,4),0))</f>
        <v>0x0x0</v>
      </c>
      <c r="BX96" t="s">
        <v>56</v>
      </c>
    </row>
    <row r="97" spans="1:76" x14ac:dyDescent="0.25">
      <c r="A97" t="s">
        <v>54</v>
      </c>
      <c r="B97" t="s">
        <v>272</v>
      </c>
      <c r="C97" t="s">
        <v>295</v>
      </c>
      <c r="D97">
        <f>IF(F97 &gt; 2020, ((F97-2020)*4)+1610+H97,IF(F97 &gt; 1900, ((F97-1900)*10)+400+H97, ((F97-1730)*2)+H97))+VLOOKUP(I97,'ID Scheme'!$A$2:$B$7,2, FALSE)</f>
        <v>8041</v>
      </c>
      <c r="F97">
        <v>2004</v>
      </c>
      <c r="G97">
        <v>2</v>
      </c>
      <c r="H97">
        <v>1</v>
      </c>
      <c r="I97" t="s">
        <v>48</v>
      </c>
      <c r="J97" t="s">
        <v>547</v>
      </c>
      <c r="K97">
        <v>145</v>
      </c>
      <c r="L97">
        <v>10</v>
      </c>
      <c r="M97">
        <v>14</v>
      </c>
      <c r="N97">
        <v>4</v>
      </c>
      <c r="O97">
        <v>1.5</v>
      </c>
      <c r="P97">
        <v>217</v>
      </c>
      <c r="Q97">
        <v>16</v>
      </c>
      <c r="R97">
        <v>1</v>
      </c>
      <c r="S97" t="s">
        <v>379</v>
      </c>
      <c r="T97">
        <v>-4</v>
      </c>
      <c r="U97" s="2" t="s">
        <v>484</v>
      </c>
      <c r="V97" s="2"/>
      <c r="W97" s="2"/>
      <c r="X97" s="2"/>
      <c r="Y97" s="2"/>
      <c r="Z97" s="2"/>
      <c r="AA97" s="2"/>
      <c r="AB97" s="2"/>
      <c r="AC97" s="2"/>
      <c r="AD97" s="2"/>
      <c r="AE97" s="2">
        <v>295</v>
      </c>
      <c r="AH97">
        <v>4</v>
      </c>
      <c r="AM97" s="8">
        <f t="shared" si="29"/>
        <v>0</v>
      </c>
      <c r="AO97">
        <v>70</v>
      </c>
      <c r="AV97" t="s">
        <v>363</v>
      </c>
      <c r="BA97" s="2">
        <f>(SQRT(K97*AH97)*POWER((MIN(M97,20)+SQRT(MAX(M97-20,0))),0.9)*Data!$B$1)*(1-(R97-1))</f>
        <v>19.421845378305154</v>
      </c>
      <c r="BB97" s="2">
        <f>(POWER((K97*K97*AH97), 0.33)*LOG10(P97)*10*Data!$B$1)*R97</f>
        <v>73.926857052811044</v>
      </c>
      <c r="BC97" s="2"/>
      <c r="BD97" s="2"/>
      <c r="BE97" s="2">
        <f>IFERROR((SQRT($K97*$AI97)*POWER((MIN($M97,20)+SQRT(MAX($M97-20,0))),0.9)*Data!$B$1)*(1 - (R97-1)),BA97)</f>
        <v>0</v>
      </c>
      <c r="BF97" s="2">
        <f>IFERROR(((POWER(($K97*$K97*$AI97), 0.33)*LOG10($AF97)*10*Data!$B$1)*R97),BB97)</f>
        <v>73.926857052811044</v>
      </c>
      <c r="BG97" s="2">
        <f t="shared" si="39"/>
        <v>116.93548387096774</v>
      </c>
      <c r="BH97" s="2">
        <f t="shared" si="40"/>
        <v>0</v>
      </c>
      <c r="BI97" s="2">
        <f t="shared" si="41"/>
        <v>0</v>
      </c>
      <c r="BJ97" s="2">
        <f t="shared" si="42"/>
        <v>56.451612903225808</v>
      </c>
      <c r="BK97" s="2">
        <v>1</v>
      </c>
      <c r="BL97" s="2">
        <v>1</v>
      </c>
      <c r="BM97" s="2">
        <f t="shared" si="43"/>
        <v>4</v>
      </c>
      <c r="BN97" s="2">
        <f t="shared" si="44"/>
        <v>0</v>
      </c>
      <c r="BO97" s="2">
        <f t="shared" si="45"/>
        <v>-1</v>
      </c>
      <c r="BP97" s="2">
        <f t="shared" si="46"/>
        <v>4</v>
      </c>
      <c r="BQ97" s="2">
        <f t="shared" si="49"/>
        <v>-1</v>
      </c>
      <c r="BR97" s="2">
        <f t="shared" si="48"/>
        <v>-1</v>
      </c>
      <c r="BS97" s="3"/>
      <c r="BT97" s="3"/>
      <c r="BU97" s="3"/>
      <c r="BV97">
        <f>F97-F96</f>
        <v>7</v>
      </c>
      <c r="BW97" s="2" t="str">
        <f>CONCATENATE(
ROUND(BS97*VLOOKUP(I97,'ID Scheme'!$A$2:$E$7,3),0), "x",
ROUND(BT97*VLOOKUP(I97,'ID Scheme'!$A$2:$E$7,5),0), "x",
ROUND(BU97*VLOOKUP(I97,'ID Scheme'!$A$2:$E$7,4),0))</f>
        <v>0x0x0</v>
      </c>
    </row>
    <row r="98" spans="1:76" x14ac:dyDescent="0.25">
      <c r="A98" t="s">
        <v>53</v>
      </c>
      <c r="B98" t="s">
        <v>222</v>
      </c>
      <c r="C98" t="s">
        <v>295</v>
      </c>
      <c r="D98">
        <f>IF(F98 &gt; 2020, ((F98-2020)*4)+1610+H98,IF(F98 &gt; 1900, ((F98-1900)*10)+400+H98, ((F98-1730)*2)+H98))+VLOOKUP(I98,'ID Scheme'!$A$2:$B$7,2, FALSE)</f>
        <v>8091</v>
      </c>
      <c r="F98">
        <v>2009</v>
      </c>
      <c r="G98">
        <v>1</v>
      </c>
      <c r="H98">
        <v>1</v>
      </c>
      <c r="I98" t="s">
        <v>48</v>
      </c>
      <c r="J98" t="s">
        <v>547</v>
      </c>
      <c r="K98">
        <v>105</v>
      </c>
      <c r="L98">
        <v>-1</v>
      </c>
      <c r="M98">
        <v>12</v>
      </c>
      <c r="N98">
        <v>4</v>
      </c>
      <c r="O98">
        <v>1.5</v>
      </c>
      <c r="P98">
        <v>134</v>
      </c>
      <c r="Q98">
        <v>20</v>
      </c>
      <c r="R98">
        <v>0.85</v>
      </c>
      <c r="S98" t="s">
        <v>378</v>
      </c>
      <c r="T98">
        <v>-4</v>
      </c>
      <c r="U98" s="2" t="s">
        <v>483</v>
      </c>
      <c r="V98" s="2"/>
      <c r="W98" s="2"/>
      <c r="X98" s="2"/>
      <c r="Y98" s="2"/>
      <c r="Z98" s="2"/>
      <c r="AA98" s="2"/>
      <c r="AB98" s="2"/>
      <c r="AC98" s="2"/>
      <c r="AD98" s="2"/>
      <c r="AE98" s="2">
        <v>275</v>
      </c>
      <c r="AH98">
        <v>4</v>
      </c>
      <c r="AM98" s="8">
        <f t="shared" si="29"/>
        <v>0</v>
      </c>
      <c r="AO98">
        <v>70</v>
      </c>
      <c r="AV98" t="s">
        <v>362</v>
      </c>
      <c r="BA98" s="2">
        <f>(SQRT(K98*AH98)*POWER((MIN(M98,20)+SQRT(MAX(M98-20,0))),0.9)*Data!$B$1)*(1-(R98-1))</f>
        <v>16.544241859351267</v>
      </c>
      <c r="BB98" s="2">
        <f>(POWER((K98*K98*AH98), 0.33)*LOG10(P98)*10*Data!$B$1)*R98</f>
        <v>46.231055712636888</v>
      </c>
      <c r="BC98" s="2"/>
      <c r="BD98" s="2"/>
      <c r="BE98" s="2">
        <f>IFERROR((SQRT($K98*$AI98)*POWER((MIN($M98,20)+SQRT(MAX($M98-20,0))),0.9)*Data!$B$1)*(1 - (R98-1)),BA98)</f>
        <v>0</v>
      </c>
      <c r="BF98" s="2">
        <f>IFERROR(((POWER(($K98*$K98*$AI98), 0.33)*LOG10($AF98)*10*Data!$B$1)*R98),BB98)</f>
        <v>46.231055712636888</v>
      </c>
      <c r="BG98" s="2">
        <f t="shared" si="39"/>
        <v>84.677419354838705</v>
      </c>
      <c r="BH98" s="2">
        <f t="shared" si="40"/>
        <v>0</v>
      </c>
      <c r="BI98" s="2">
        <f t="shared" si="41"/>
        <v>0</v>
      </c>
      <c r="BJ98" s="2">
        <f t="shared" si="42"/>
        <v>56.451612903225808</v>
      </c>
      <c r="BK98" s="2">
        <v>1</v>
      </c>
      <c r="BL98" s="2">
        <v>1</v>
      </c>
      <c r="BM98" s="2">
        <f t="shared" si="43"/>
        <v>4</v>
      </c>
      <c r="BN98" s="2">
        <f t="shared" si="44"/>
        <v>0</v>
      </c>
      <c r="BO98" s="2">
        <f t="shared" si="45"/>
        <v>-1</v>
      </c>
      <c r="BP98" s="2">
        <f t="shared" si="46"/>
        <v>4</v>
      </c>
      <c r="BQ98" s="2">
        <f t="shared" si="49"/>
        <v>-1</v>
      </c>
      <c r="BR98" s="2">
        <f t="shared" si="48"/>
        <v>-1</v>
      </c>
      <c r="BS98" s="3"/>
      <c r="BT98" s="3"/>
      <c r="BU98" s="3"/>
      <c r="BV98">
        <f>F98-F97</f>
        <v>5</v>
      </c>
      <c r="BW98" s="2" t="str">
        <f>CONCATENATE(
ROUND(BS98*VLOOKUP(I98,'ID Scheme'!$A$2:$E$7,3),0), "x",
ROUND(BT98*VLOOKUP(I98,'ID Scheme'!$A$2:$E$7,5),0), "x",
ROUND(BU98*VLOOKUP(I98,'ID Scheme'!$A$2:$E$7,4),0))</f>
        <v>0x0x0</v>
      </c>
    </row>
    <row r="99" spans="1:76" x14ac:dyDescent="0.25">
      <c r="A99" t="s">
        <v>100</v>
      </c>
      <c r="B99" t="s">
        <v>271</v>
      </c>
      <c r="C99" t="s">
        <v>295</v>
      </c>
      <c r="D99">
        <f>IF(F99 &gt; 2020, ((F99-2020)*4)+1610+H99,IF(F99 &gt; 1900, ((F99-1900)*10)+400+H99, ((F99-1730)*2)+H99))+VLOOKUP(I99,'ID Scheme'!$A$2:$B$7,2, FALSE)</f>
        <v>8141</v>
      </c>
      <c r="F99">
        <v>2014</v>
      </c>
      <c r="G99">
        <v>1</v>
      </c>
      <c r="H99">
        <v>1</v>
      </c>
      <c r="I99" t="s">
        <v>48</v>
      </c>
      <c r="J99" t="s">
        <v>547</v>
      </c>
      <c r="K99">
        <v>95</v>
      </c>
      <c r="L99">
        <v>-1</v>
      </c>
      <c r="M99">
        <v>12</v>
      </c>
      <c r="N99">
        <v>5</v>
      </c>
      <c r="O99">
        <v>1.5</v>
      </c>
      <c r="P99">
        <v>120</v>
      </c>
      <c r="Q99">
        <v>20</v>
      </c>
      <c r="R99">
        <v>1</v>
      </c>
      <c r="S99" t="s">
        <v>378</v>
      </c>
      <c r="T99">
        <v>-4</v>
      </c>
      <c r="U99" s="2" t="s">
        <v>482</v>
      </c>
      <c r="V99" s="2"/>
      <c r="W99" s="2"/>
      <c r="X99" s="2"/>
      <c r="Y99" s="2"/>
      <c r="Z99" s="2"/>
      <c r="AA99" s="2"/>
      <c r="AB99" s="2"/>
      <c r="AC99" s="2"/>
      <c r="AD99" s="2"/>
      <c r="AE99" s="2"/>
      <c r="AH99">
        <v>9</v>
      </c>
      <c r="AM99" s="8">
        <f t="shared" si="29"/>
        <v>0</v>
      </c>
      <c r="AO99">
        <v>70</v>
      </c>
      <c r="AV99" t="s">
        <v>361</v>
      </c>
      <c r="BA99" s="2">
        <f>(SQRT(K99*AH99)*POWER((MIN(M99,20)+SQRT(MAX(M99-20,0))),0.9)*Data!$B$1)*(1-(R99-1))</f>
        <v>20.52614734864143</v>
      </c>
      <c r="BB99" s="2">
        <f>(POWER((K99*K99*AH99), 0.33)*LOG10(P99)*10*Data!$B$1)*R99</f>
        <v>65.035610325244349</v>
      </c>
      <c r="BC99" s="2"/>
      <c r="BD99" s="2"/>
      <c r="BE99" s="2">
        <f>IFERROR((SQRT($K99*$AI99)*POWER((MIN($M99,20)+SQRT(MAX($M99-20,0))),0.9)*Data!$B$1)*(1 - (R99-1)),BA99)</f>
        <v>0</v>
      </c>
      <c r="BF99" s="2">
        <f>IFERROR(((POWER(($K99*$K99*$AI99), 0.33)*LOG10($AF99)*10*Data!$B$1)*R99),BB99)</f>
        <v>65.035610325244349</v>
      </c>
      <c r="BG99" s="2">
        <f t="shared" si="39"/>
        <v>76.612903225806448</v>
      </c>
      <c r="BH99" s="2">
        <f t="shared" si="40"/>
        <v>0</v>
      </c>
      <c r="BI99" s="2">
        <f t="shared" si="41"/>
        <v>0</v>
      </c>
      <c r="BJ99" s="2">
        <f t="shared" si="42"/>
        <v>56.451612903225808</v>
      </c>
      <c r="BK99" s="2">
        <v>1</v>
      </c>
      <c r="BL99" s="2">
        <v>1</v>
      </c>
      <c r="BM99" s="2">
        <f t="shared" si="43"/>
        <v>9</v>
      </c>
      <c r="BN99" s="2">
        <f t="shared" si="44"/>
        <v>0</v>
      </c>
      <c r="BO99" s="2">
        <f t="shared" si="45"/>
        <v>-1</v>
      </c>
      <c r="BP99" s="2">
        <f t="shared" si="46"/>
        <v>9</v>
      </c>
      <c r="BQ99" s="2">
        <f t="shared" si="49"/>
        <v>-1</v>
      </c>
      <c r="BR99" s="2">
        <f t="shared" si="48"/>
        <v>-1</v>
      </c>
      <c r="BU99" s="3"/>
      <c r="BV99">
        <f>F99-F98</f>
        <v>5</v>
      </c>
      <c r="BW99" s="2" t="str">
        <f>CONCATENATE(
ROUND(BS99*VLOOKUP(I99,'ID Scheme'!$A$2:$E$7,3),0), "x",
ROUND(BT99*VLOOKUP(I99,'ID Scheme'!$A$2:$E$7,5),0), "x",
ROUND(BU99*VLOOKUP(I99,'ID Scheme'!$A$2:$E$7,4),0))</f>
        <v>0x0x0</v>
      </c>
    </row>
    <row r="100" spans="1:76" x14ac:dyDescent="0.25">
      <c r="A100" t="s">
        <v>262</v>
      </c>
      <c r="B100" t="s">
        <v>385</v>
      </c>
      <c r="C100" t="s">
        <v>394</v>
      </c>
      <c r="D100">
        <f>IF(F100 &gt; 2020, ((F100-2020)*4)+1610+H100,IF(F100 &gt; 1900, ((F100-1900)*10)+400+H100, ((F100-1730)*2)+H100))+VLOOKUP(I100,'ID Scheme'!$A$2:$B$7,2, FALSE)</f>
        <v>8161</v>
      </c>
      <c r="F100">
        <v>2016</v>
      </c>
      <c r="G100">
        <v>1</v>
      </c>
      <c r="H100">
        <v>1</v>
      </c>
      <c r="I100" t="s">
        <v>48</v>
      </c>
      <c r="J100" t="s">
        <v>547</v>
      </c>
      <c r="K100">
        <v>155</v>
      </c>
      <c r="L100">
        <v>-1</v>
      </c>
      <c r="M100">
        <v>10</v>
      </c>
      <c r="N100">
        <v>4</v>
      </c>
      <c r="O100">
        <v>1.7</v>
      </c>
      <c r="P100">
        <v>310</v>
      </c>
      <c r="Q100">
        <v>22</v>
      </c>
      <c r="R100">
        <v>1</v>
      </c>
      <c r="S100" t="s">
        <v>380</v>
      </c>
      <c r="T100">
        <v>-4</v>
      </c>
      <c r="U100" s="2" t="s">
        <v>485</v>
      </c>
      <c r="V100" s="2"/>
      <c r="W100" s="2"/>
      <c r="X100" s="2"/>
      <c r="Y100" s="2"/>
      <c r="Z100" s="2"/>
      <c r="AA100" s="2"/>
      <c r="AB100" s="2"/>
      <c r="AC100" s="2"/>
      <c r="AD100" s="2"/>
      <c r="AE100" s="2">
        <v>335</v>
      </c>
      <c r="AH100">
        <v>4</v>
      </c>
      <c r="AI100">
        <v>2</v>
      </c>
      <c r="AJ100">
        <v>3</v>
      </c>
      <c r="AM100" s="8">
        <f t="shared" si="29"/>
        <v>3</v>
      </c>
      <c r="AO100">
        <v>70</v>
      </c>
      <c r="AV100" t="s">
        <v>363</v>
      </c>
      <c r="BA100" s="2">
        <f>(SQRT(K100*AH100)*POWER((MIN(M100,20)+SQRT(MAX(M100-20,0))),0.9)*Data!$B$1)*(1-(R100-1))</f>
        <v>14.833960155247404</v>
      </c>
      <c r="BB100" s="2">
        <f>(POWER((K100*K100*AH100), 0.33)*LOG10(P100)*10*Data!$B$1)*R100</f>
        <v>82.375253472873595</v>
      </c>
      <c r="BC100" s="2"/>
      <c r="BD100" s="2"/>
      <c r="BE100" s="2">
        <f>IFERROR((SQRT($K100*$AI100)*POWER((MIN($M100,20)+SQRT(MAX($M100-20,0))),0.9)*Data!$B$1)*(1 - (R100-1)),BA100)</f>
        <v>10.489193817626489</v>
      </c>
      <c r="BF100" s="2">
        <f>IFERROR(((POWER(($K100*$K100*$AI100), 0.33)*LOG10($AF100)*10*Data!$B$1)*R100),BB100)</f>
        <v>82.375253472873595</v>
      </c>
      <c r="BG100" s="2">
        <f t="shared" si="39"/>
        <v>125</v>
      </c>
      <c r="BH100" s="2">
        <f t="shared" si="40"/>
        <v>0</v>
      </c>
      <c r="BI100" s="2">
        <f t="shared" si="41"/>
        <v>0</v>
      </c>
      <c r="BJ100" s="2">
        <f t="shared" si="42"/>
        <v>56.451612903225808</v>
      </c>
      <c r="BK100" s="2">
        <v>1</v>
      </c>
      <c r="BL100" s="2">
        <v>1</v>
      </c>
      <c r="BM100" s="2">
        <f t="shared" si="43"/>
        <v>4</v>
      </c>
      <c r="BN100" s="2">
        <f t="shared" si="44"/>
        <v>2</v>
      </c>
      <c r="BO100" s="2">
        <f t="shared" si="45"/>
        <v>-1</v>
      </c>
      <c r="BP100" s="2">
        <f t="shared" si="46"/>
        <v>4</v>
      </c>
      <c r="BQ100" s="2">
        <f t="shared" si="49"/>
        <v>3</v>
      </c>
      <c r="BR100" s="2">
        <f t="shared" si="48"/>
        <v>2</v>
      </c>
      <c r="BS100" s="3">
        <v>4.5999999999999996</v>
      </c>
      <c r="BT100" s="3">
        <v>1.8</v>
      </c>
      <c r="BU100" s="3">
        <v>1.4</v>
      </c>
      <c r="BV100">
        <f>F100-F99</f>
        <v>2</v>
      </c>
      <c r="BW100" s="2" t="str">
        <f>CONCATENATE(
ROUND(BS100*VLOOKUP(I100,'ID Scheme'!$A$2:$E$7,3),0), "x",
ROUND(BT100*VLOOKUP(I100,'ID Scheme'!$A$2:$E$7,5),0), "x",
ROUND(BU100*VLOOKUP(I100,'ID Scheme'!$A$2:$E$7,4),0))</f>
        <v>43x26x14</v>
      </c>
    </row>
    <row r="101" spans="1:76" x14ac:dyDescent="0.25">
      <c r="A101" t="s">
        <v>105</v>
      </c>
      <c r="B101" t="s">
        <v>204</v>
      </c>
      <c r="C101" t="s">
        <v>336</v>
      </c>
      <c r="D101">
        <f>IF(F101 &gt; 2020, ((F101-2020)*4)+1610+H101,IF(F101 &gt; 1900, ((F101-1900)*10)+400+H101, ((F101-1730)*2)+H101))+VLOOKUP(I101,'ID Scheme'!$A$2:$B$7,2, FALSE)</f>
        <v>8861</v>
      </c>
      <c r="F101">
        <v>1860</v>
      </c>
      <c r="G101">
        <v>1</v>
      </c>
      <c r="H101">
        <v>1</v>
      </c>
      <c r="I101" t="s">
        <v>104</v>
      </c>
      <c r="J101" t="s">
        <v>548</v>
      </c>
      <c r="K101">
        <v>18</v>
      </c>
      <c r="L101">
        <v>50</v>
      </c>
      <c r="M101">
        <v>35</v>
      </c>
      <c r="N101">
        <v>9</v>
      </c>
      <c r="O101">
        <v>8</v>
      </c>
      <c r="P101">
        <v>15</v>
      </c>
      <c r="Q101">
        <v>20</v>
      </c>
      <c r="R101">
        <v>1</v>
      </c>
      <c r="S101" t="s">
        <v>297</v>
      </c>
      <c r="T101">
        <v>0</v>
      </c>
      <c r="U101" s="2" t="s">
        <v>475</v>
      </c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H101">
        <v>24</v>
      </c>
      <c r="AM101" s="8">
        <f t="shared" si="29"/>
        <v>0</v>
      </c>
      <c r="AP101" t="s">
        <v>439</v>
      </c>
      <c r="AR101" t="s">
        <v>528</v>
      </c>
      <c r="AS101" t="s">
        <v>528</v>
      </c>
      <c r="AT101" t="s">
        <v>439</v>
      </c>
      <c r="AU101" t="s">
        <v>440</v>
      </c>
      <c r="AV101" t="s">
        <v>364</v>
      </c>
      <c r="AW101">
        <v>1</v>
      </c>
      <c r="AZ101" t="s">
        <v>389</v>
      </c>
      <c r="BA101" s="2">
        <f>(SQRT(K101*AH101)*POWER((MIN(M101,20)+SQRT(MAX(M101-20,0))),0.9)*Data!$B$1)*(1-(R101-1))</f>
        <v>27.096872159029786</v>
      </c>
      <c r="BB101" s="2">
        <f>(POWER((K101*K101*AH101), 0.33)*LOG10(P101)*10*Data!$B$1)*R101</f>
        <v>16.961015410572251</v>
      </c>
      <c r="BC101" s="2"/>
      <c r="BD101" s="2"/>
      <c r="BE101" s="2">
        <f>IFERROR((SQRT($K101*$AI101)*POWER((MIN($M101,20)+SQRT(MAX($M101-20,0))),0.9)*Data!$B$1)*(1 - (R101-1)),BA101)</f>
        <v>0</v>
      </c>
      <c r="BF101" s="2">
        <f>IFERROR(((POWER(($K101*$K101*$AI101), 0.33)*LOG10($AF101)*10*Data!$B$1)*R101),BB101)</f>
        <v>16.961015410572251</v>
      </c>
      <c r="BG101" s="2">
        <f t="shared" si="39"/>
        <v>14.516129032258064</v>
      </c>
      <c r="BH101" s="2">
        <f t="shared" si="40"/>
        <v>0</v>
      </c>
      <c r="BI101" s="2">
        <f t="shared" si="41"/>
        <v>0</v>
      </c>
      <c r="BJ101" s="2">
        <f t="shared" si="42"/>
        <v>0</v>
      </c>
      <c r="BK101" s="2">
        <v>1</v>
      </c>
      <c r="BL101" s="2">
        <v>1</v>
      </c>
      <c r="BM101" s="2">
        <f t="shared" si="43"/>
        <v>24</v>
      </c>
      <c r="BN101" s="2">
        <f t="shared" si="44"/>
        <v>0</v>
      </c>
      <c r="BO101" s="2">
        <f t="shared" si="45"/>
        <v>-1</v>
      </c>
      <c r="BP101" s="2">
        <f t="shared" si="46"/>
        <v>24</v>
      </c>
      <c r="BQ101" s="2">
        <f t="shared" si="49"/>
        <v>-1</v>
      </c>
      <c r="BR101" s="2">
        <f t="shared" si="48"/>
        <v>-1</v>
      </c>
      <c r="BU101" s="3"/>
      <c r="BV101">
        <f>F101-F100</f>
        <v>-156</v>
      </c>
      <c r="BW101" s="2" t="str">
        <f>CONCATENATE(
ROUND(BS101*VLOOKUP(I101,'ID Scheme'!$A$2:$E$7,3),0), "x",
ROUND(BT101*VLOOKUP(I101,'ID Scheme'!$A$2:$E$7,5),0), "x",
ROUND(BU101*VLOOKUP(I101,'ID Scheme'!$A$2:$E$7,4),0))</f>
        <v>0x0x0</v>
      </c>
    </row>
    <row r="102" spans="1:76" x14ac:dyDescent="0.25">
      <c r="A102" t="s">
        <v>106</v>
      </c>
      <c r="B102" t="s">
        <v>252</v>
      </c>
      <c r="C102" t="s">
        <v>301</v>
      </c>
      <c r="D102">
        <f>IF(F102 &gt; 2020, ((F102-2020)*4)+1610+H102,IF(F102 &gt; 1900, ((F102-1900)*10)+400+H102, ((F102-1730)*2)+H102))+VLOOKUP(I102,'ID Scheme'!$A$2:$B$7,2, FALSE)</f>
        <v>8887</v>
      </c>
      <c r="F102">
        <v>1873</v>
      </c>
      <c r="G102">
        <v>1</v>
      </c>
      <c r="H102">
        <v>1</v>
      </c>
      <c r="I102" t="s">
        <v>104</v>
      </c>
      <c r="J102" t="s">
        <v>548</v>
      </c>
      <c r="K102">
        <v>20</v>
      </c>
      <c r="L102">
        <v>30</v>
      </c>
      <c r="M102">
        <v>30</v>
      </c>
      <c r="N102">
        <v>9</v>
      </c>
      <c r="O102">
        <v>9</v>
      </c>
      <c r="P102">
        <v>30</v>
      </c>
      <c r="Q102">
        <v>18</v>
      </c>
      <c r="R102">
        <v>1</v>
      </c>
      <c r="S102" t="s">
        <v>298</v>
      </c>
      <c r="T102">
        <v>0</v>
      </c>
      <c r="U102" s="2" t="s">
        <v>462</v>
      </c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H102">
        <v>50</v>
      </c>
      <c r="AM102" s="8">
        <f t="shared" si="29"/>
        <v>0</v>
      </c>
      <c r="AV102" t="s">
        <v>364</v>
      </c>
      <c r="AW102">
        <v>1</v>
      </c>
      <c r="BA102" s="2">
        <f>(SQRT(K102*AH102)*POWER((MIN(M102,20)+SQRT(MAX(M102-20,0))),0.9)*Data!$B$1)*(1-(R102-1))</f>
        <v>40.120321127543804</v>
      </c>
      <c r="BB102" s="2">
        <f>(POWER((K102*K102*AH102), 0.33)*LOG10(P102)*10*Data!$B$1)*R102</f>
        <v>29.094929509594969</v>
      </c>
      <c r="BC102" s="2"/>
      <c r="BD102" s="2"/>
      <c r="BE102" s="2">
        <f>IFERROR((SQRT($K102*$AI102)*POWER((MIN($M102,20)+SQRT(MAX($M102-20,0))),0.9)*Data!$B$1)*(1 - (R102-1)),BA102)</f>
        <v>0</v>
      </c>
      <c r="BF102" s="2">
        <f>IFERROR(((POWER(($K102*$K102*$AI102), 0.33)*LOG10($AF102)*10*Data!$B$1)*R102),BB102)</f>
        <v>29.094929509594969</v>
      </c>
      <c r="BG102" s="2">
        <f t="shared" si="39"/>
        <v>16.129032258064516</v>
      </c>
      <c r="BH102" s="2">
        <f t="shared" si="40"/>
        <v>0</v>
      </c>
      <c r="BI102" s="2">
        <f t="shared" si="41"/>
        <v>0</v>
      </c>
      <c r="BJ102" s="2">
        <f t="shared" si="42"/>
        <v>0</v>
      </c>
      <c r="BK102" s="2">
        <v>1</v>
      </c>
      <c r="BL102" s="2">
        <v>1</v>
      </c>
      <c r="BM102" s="2">
        <f t="shared" si="43"/>
        <v>50</v>
      </c>
      <c r="BN102" s="2">
        <f t="shared" si="44"/>
        <v>0</v>
      </c>
      <c r="BO102" s="2">
        <f t="shared" si="45"/>
        <v>-1</v>
      </c>
      <c r="BP102" s="2">
        <f t="shared" si="46"/>
        <v>50</v>
      </c>
      <c r="BQ102" s="2">
        <f t="shared" si="49"/>
        <v>-1</v>
      </c>
      <c r="BR102" s="2">
        <f t="shared" si="48"/>
        <v>-1</v>
      </c>
      <c r="BU102" s="3"/>
      <c r="BV102">
        <f>F102-F101</f>
        <v>13</v>
      </c>
      <c r="BW102" s="2" t="str">
        <f>CONCATENATE(
ROUND(BS102*VLOOKUP(I102,'ID Scheme'!$A$2:$E$7,3),0), "x",
ROUND(BT102*VLOOKUP(I102,'ID Scheme'!$A$2:$E$7,5),0), "x",
ROUND(BU102*VLOOKUP(I102,'ID Scheme'!$A$2:$E$7,4),0))</f>
        <v>0x0x0</v>
      </c>
    </row>
    <row r="103" spans="1:76" x14ac:dyDescent="0.25">
      <c r="A103" t="s">
        <v>108</v>
      </c>
      <c r="B103" t="s">
        <v>245</v>
      </c>
      <c r="C103" t="s">
        <v>301</v>
      </c>
      <c r="D103">
        <f>IF(F103 &gt; 2020, ((F103-2020)*4)+1610+H103,IF(F103 &gt; 1900, ((F103-1900)*10)+400+H103, ((F103-1730)*2)+H103))+VLOOKUP(I103,'ID Scheme'!$A$2:$B$7,2, FALSE)</f>
        <v>8911</v>
      </c>
      <c r="F103">
        <v>1885</v>
      </c>
      <c r="G103">
        <v>1</v>
      </c>
      <c r="H103">
        <v>1</v>
      </c>
      <c r="I103" t="s">
        <v>104</v>
      </c>
      <c r="J103" t="s">
        <v>549</v>
      </c>
      <c r="K103">
        <v>21</v>
      </c>
      <c r="L103">
        <v>35</v>
      </c>
      <c r="M103">
        <v>30</v>
      </c>
      <c r="N103">
        <v>8</v>
      </c>
      <c r="O103">
        <v>7</v>
      </c>
      <c r="P103">
        <v>20</v>
      </c>
      <c r="Q103">
        <v>20</v>
      </c>
      <c r="R103">
        <v>1</v>
      </c>
      <c r="S103" t="s">
        <v>387</v>
      </c>
      <c r="T103">
        <v>0</v>
      </c>
      <c r="U103" s="2" t="s">
        <v>474</v>
      </c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H103">
        <v>32</v>
      </c>
      <c r="AM103" s="8">
        <f t="shared" si="29"/>
        <v>0</v>
      </c>
      <c r="AV103" t="s">
        <v>364</v>
      </c>
      <c r="AW103">
        <v>1</v>
      </c>
      <c r="BA103" s="2">
        <f>(SQRT(K103*AH103)*POWER((MIN(M103,20)+SQRT(MAX(M103-20,0))),0.9)*Data!$B$1)*(1-(R103-1))</f>
        <v>32.8888764246744</v>
      </c>
      <c r="BB103" s="2">
        <f>(POWER((K103*K103*AH103), 0.33)*LOG10(P103)*10*Data!$B$1)*R103</f>
        <v>22.84087832220764</v>
      </c>
      <c r="BC103" s="2"/>
      <c r="BD103" s="2"/>
      <c r="BE103" s="2">
        <f>IFERROR((SQRT($K103*$AI103)*POWER((MIN($M103,20)+SQRT(MAX($M103-20,0))),0.9)*Data!$B$1)*(1 - (R103-1)),BA103)</f>
        <v>0</v>
      </c>
      <c r="BF103" s="2">
        <f>IFERROR(((POWER(($K103*$K103*$AI103), 0.33)*LOG10($AF103)*10*Data!$B$1)*R103),BB103)</f>
        <v>22.84087832220764</v>
      </c>
      <c r="BG103" s="2">
        <f t="shared" si="39"/>
        <v>16.935483870967744</v>
      </c>
      <c r="BH103" s="2">
        <f t="shared" si="40"/>
        <v>0</v>
      </c>
      <c r="BI103" s="2">
        <f t="shared" si="41"/>
        <v>0</v>
      </c>
      <c r="BJ103" s="2">
        <f t="shared" si="42"/>
        <v>0</v>
      </c>
      <c r="BK103" s="2">
        <v>1</v>
      </c>
      <c r="BL103" s="2">
        <v>1</v>
      </c>
      <c r="BM103" s="2">
        <f t="shared" si="43"/>
        <v>32</v>
      </c>
      <c r="BN103" s="2">
        <f t="shared" si="44"/>
        <v>0</v>
      </c>
      <c r="BO103" s="2">
        <f t="shared" si="45"/>
        <v>-1</v>
      </c>
      <c r="BP103" s="2">
        <f t="shared" si="46"/>
        <v>32</v>
      </c>
      <c r="BQ103" s="2">
        <f t="shared" si="49"/>
        <v>-1</v>
      </c>
      <c r="BR103" s="2">
        <f t="shared" si="48"/>
        <v>-1</v>
      </c>
      <c r="BU103" s="3"/>
      <c r="BV103">
        <f>F103-F102</f>
        <v>12</v>
      </c>
      <c r="BW103" s="2" t="str">
        <f>CONCATENATE(
ROUND(BS103*VLOOKUP(I103,'ID Scheme'!$A$2:$E$7,3),0), "x",
ROUND(BT103*VLOOKUP(I103,'ID Scheme'!$A$2:$E$7,5),0), "x",
ROUND(BU103*VLOOKUP(I103,'ID Scheme'!$A$2:$E$7,4),0))</f>
        <v>0x0x0</v>
      </c>
      <c r="BX103" t="s">
        <v>124</v>
      </c>
    </row>
    <row r="104" spans="1:76" x14ac:dyDescent="0.25">
      <c r="A104" t="s">
        <v>131</v>
      </c>
      <c r="B104" t="s">
        <v>251</v>
      </c>
      <c r="C104" t="s">
        <v>295</v>
      </c>
      <c r="D104">
        <f>IF(F104 &gt; 2020, ((F104-2020)*4)+1610+H104,IF(F104 &gt; 1900, ((F104-1900)*10)+400+H104, ((F104-1730)*2)+H104))+VLOOKUP(I104,'ID Scheme'!$A$2:$B$7,2, FALSE)</f>
        <v>8927</v>
      </c>
      <c r="F104">
        <v>1893</v>
      </c>
      <c r="G104">
        <v>3</v>
      </c>
      <c r="H104">
        <v>1</v>
      </c>
      <c r="I104" t="s">
        <v>104</v>
      </c>
      <c r="J104" t="s">
        <v>549</v>
      </c>
      <c r="K104">
        <v>22</v>
      </c>
      <c r="L104">
        <v>35</v>
      </c>
      <c r="M104">
        <v>75</v>
      </c>
      <c r="N104">
        <v>9</v>
      </c>
      <c r="O104">
        <v>7.5</v>
      </c>
      <c r="P104">
        <v>50</v>
      </c>
      <c r="Q104">
        <v>20</v>
      </c>
      <c r="R104">
        <v>1</v>
      </c>
      <c r="S104" t="s">
        <v>387</v>
      </c>
      <c r="T104">
        <v>0</v>
      </c>
      <c r="U104" s="2" t="s">
        <v>450</v>
      </c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H104">
        <v>42</v>
      </c>
      <c r="AM104" s="8">
        <f t="shared" si="29"/>
        <v>0</v>
      </c>
      <c r="AV104" t="s">
        <v>364</v>
      </c>
      <c r="AW104">
        <v>1</v>
      </c>
      <c r="BA104" s="2">
        <f>(SQRT(K104*AH104)*POWER((MIN(M104,20)+SQRT(MAX(M104-20,0))),0.9)*Data!$B$1)*(1-(R104-1))</f>
        <v>44.885261640010725</v>
      </c>
      <c r="BB104" s="2">
        <f>(POWER((K104*K104*AH104), 0.33)*LOG10(P104)*10*Data!$B$1)*R104</f>
        <v>33.644820060239276</v>
      </c>
      <c r="BC104" s="2"/>
      <c r="BD104" s="2"/>
      <c r="BE104" s="2">
        <f>IFERROR((SQRT($K104*$AI104)*POWER((MIN($M104,20)+SQRT(MAX($M104-20,0))),0.9)*Data!$B$1)*(1 - (R104-1)),BA104)</f>
        <v>0</v>
      </c>
      <c r="BF104" s="2">
        <f>IFERROR(((POWER(($K104*$K104*$AI104), 0.33)*LOG10($AF104)*10*Data!$B$1)*R104),BB104)</f>
        <v>33.644820060239276</v>
      </c>
      <c r="BG104" s="2">
        <f t="shared" si="39"/>
        <v>17.741935483870968</v>
      </c>
      <c r="BH104" s="2">
        <f t="shared" si="40"/>
        <v>0</v>
      </c>
      <c r="BI104" s="2">
        <f t="shared" si="41"/>
        <v>0</v>
      </c>
      <c r="BJ104" s="2">
        <f t="shared" si="42"/>
        <v>0</v>
      </c>
      <c r="BK104" s="2">
        <v>1</v>
      </c>
      <c r="BL104" s="2">
        <v>1</v>
      </c>
      <c r="BM104" s="2">
        <f t="shared" si="43"/>
        <v>42</v>
      </c>
      <c r="BN104" s="2">
        <f t="shared" si="44"/>
        <v>0</v>
      </c>
      <c r="BO104" s="2">
        <f t="shared" si="45"/>
        <v>-1</v>
      </c>
      <c r="BP104" s="2">
        <f t="shared" si="46"/>
        <v>42</v>
      </c>
      <c r="BQ104" s="2">
        <f t="shared" si="49"/>
        <v>-1</v>
      </c>
      <c r="BR104" s="2">
        <f t="shared" si="48"/>
        <v>-1</v>
      </c>
      <c r="BU104" s="3"/>
      <c r="BV104">
        <f>F104-F103</f>
        <v>8</v>
      </c>
      <c r="BW104" s="2" t="str">
        <f>CONCATENATE(
ROUND(BS104*VLOOKUP(I104,'ID Scheme'!$A$2:$E$7,3),0), "x",
ROUND(BT104*VLOOKUP(I104,'ID Scheme'!$A$2:$E$7,5),0), "x",
ROUND(BU104*VLOOKUP(I104,'ID Scheme'!$A$2:$E$7,4),0))</f>
        <v>0x0x0</v>
      </c>
      <c r="BX104" t="s">
        <v>130</v>
      </c>
    </row>
    <row r="105" spans="1:76" x14ac:dyDescent="0.25">
      <c r="A105" t="s">
        <v>116</v>
      </c>
      <c r="B105" t="s">
        <v>254</v>
      </c>
      <c r="C105" t="s">
        <v>295</v>
      </c>
      <c r="D105">
        <f>IF(F105 &gt; 2020, ((F105-2020)*4)+1610+H105,IF(F105 &gt; 1900, ((F105-1900)*10)+400+H105, ((F105-1730)*2)+H105))+VLOOKUP(I105,'ID Scheme'!$A$2:$B$7,2, FALSE)</f>
        <v>8929</v>
      </c>
      <c r="F105">
        <v>1894</v>
      </c>
      <c r="G105">
        <v>6</v>
      </c>
      <c r="H105">
        <v>1</v>
      </c>
      <c r="I105" t="s">
        <v>104</v>
      </c>
      <c r="J105" t="s">
        <v>549</v>
      </c>
      <c r="K105">
        <v>22</v>
      </c>
      <c r="L105">
        <v>35</v>
      </c>
      <c r="M105">
        <v>75</v>
      </c>
      <c r="N105">
        <v>9</v>
      </c>
      <c r="O105">
        <v>7</v>
      </c>
      <c r="P105">
        <v>80</v>
      </c>
      <c r="Q105">
        <v>20</v>
      </c>
      <c r="R105">
        <v>1</v>
      </c>
      <c r="S105" t="s">
        <v>387</v>
      </c>
      <c r="T105">
        <v>0</v>
      </c>
      <c r="U105" s="2" t="s">
        <v>451</v>
      </c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H105">
        <v>36</v>
      </c>
      <c r="AM105" s="8">
        <f t="shared" si="29"/>
        <v>0</v>
      </c>
      <c r="AV105" t="s">
        <v>364</v>
      </c>
      <c r="AW105">
        <v>1</v>
      </c>
      <c r="BA105" s="2">
        <f>(SQRT(K105*AH105)*POWER((MIN(M105,20)+SQRT(MAX(M105-20,0))),0.9)*Data!$B$1)*(1-(R105-1))</f>
        <v>41.555677409871805</v>
      </c>
      <c r="BB105" s="2">
        <f>(POWER((K105*K105*AH105), 0.33)*LOG10(P105)*10*Data!$B$1)*R105</f>
        <v>35.817839185344354</v>
      </c>
      <c r="BC105" s="2"/>
      <c r="BD105" s="2"/>
      <c r="BE105" s="2">
        <f>IFERROR((SQRT($K105*$AI105)*POWER((MIN($M105,20)+SQRT(MAX($M105-20,0))),0.9)*Data!$B$1)*(1 - (R105-1)),BA105)</f>
        <v>0</v>
      </c>
      <c r="BF105" s="2">
        <f>IFERROR(((POWER(($K105*$K105*$AI105), 0.33)*LOG10($AF105)*10*Data!$B$1)*R105),BB105)</f>
        <v>35.817839185344354</v>
      </c>
      <c r="BG105" s="2">
        <f t="shared" si="39"/>
        <v>17.741935483870968</v>
      </c>
      <c r="BH105" s="2">
        <f t="shared" si="40"/>
        <v>0</v>
      </c>
      <c r="BI105" s="2">
        <f t="shared" si="41"/>
        <v>0</v>
      </c>
      <c r="BJ105" s="2">
        <f t="shared" si="42"/>
        <v>0</v>
      </c>
      <c r="BK105" s="2">
        <v>1</v>
      </c>
      <c r="BL105" s="2">
        <v>1</v>
      </c>
      <c r="BM105" s="2">
        <f t="shared" si="43"/>
        <v>36</v>
      </c>
      <c r="BN105" s="2">
        <f t="shared" si="44"/>
        <v>0</v>
      </c>
      <c r="BO105" s="2">
        <f t="shared" si="45"/>
        <v>-1</v>
      </c>
      <c r="BP105" s="2">
        <f t="shared" si="46"/>
        <v>36</v>
      </c>
      <c r="BQ105" s="2">
        <f t="shared" si="49"/>
        <v>-1</v>
      </c>
      <c r="BR105" s="2">
        <f t="shared" si="48"/>
        <v>-1</v>
      </c>
      <c r="BU105" s="3"/>
      <c r="BV105">
        <f>F105-F104</f>
        <v>1</v>
      </c>
      <c r="BW105" s="2" t="str">
        <f>CONCATENATE(
ROUND(BS105*VLOOKUP(I105,'ID Scheme'!$A$2:$E$7,3),0), "x",
ROUND(BT105*VLOOKUP(I105,'ID Scheme'!$A$2:$E$7,5),0), "x",
ROUND(BU105*VLOOKUP(I105,'ID Scheme'!$A$2:$E$7,4),0))</f>
        <v>0x0x0</v>
      </c>
      <c r="BX105" t="s">
        <v>118</v>
      </c>
    </row>
    <row r="106" spans="1:76" x14ac:dyDescent="0.25">
      <c r="A106" t="s">
        <v>111</v>
      </c>
      <c r="B106" t="s">
        <v>249</v>
      </c>
      <c r="C106" t="s">
        <v>295</v>
      </c>
      <c r="D106">
        <f>IF(F106 &gt; 2020, ((F106-2020)*4)+1610+H106,IF(F106 &gt; 1900, ((F106-1900)*10)+400+H106, ((F106-1730)*2)+H106))+VLOOKUP(I106,'ID Scheme'!$A$2:$B$7,2, FALSE)</f>
        <v>8937</v>
      </c>
      <c r="F106">
        <v>1898</v>
      </c>
      <c r="G106">
        <v>1</v>
      </c>
      <c r="H106">
        <v>1</v>
      </c>
      <c r="I106" t="s">
        <v>104</v>
      </c>
      <c r="J106" t="s">
        <v>549</v>
      </c>
      <c r="K106">
        <v>23</v>
      </c>
      <c r="L106">
        <v>35</v>
      </c>
      <c r="M106">
        <v>45</v>
      </c>
      <c r="N106">
        <v>11</v>
      </c>
      <c r="O106">
        <v>8</v>
      </c>
      <c r="P106">
        <v>80</v>
      </c>
      <c r="Q106">
        <v>20</v>
      </c>
      <c r="R106">
        <v>1</v>
      </c>
      <c r="S106" t="s">
        <v>387</v>
      </c>
      <c r="T106">
        <v>0</v>
      </c>
      <c r="U106" s="2" t="s">
        <v>453</v>
      </c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H106">
        <v>48</v>
      </c>
      <c r="AM106" s="8">
        <f t="shared" si="29"/>
        <v>0</v>
      </c>
      <c r="AV106" t="s">
        <v>364</v>
      </c>
      <c r="AW106">
        <v>1</v>
      </c>
      <c r="BA106" s="2">
        <f>(SQRT(K106*AH106)*POWER((MIN(M106,20)+SQRT(MAX(M106-20,0))),0.9)*Data!$B$1)*(1-(R106-1))</f>
        <v>45.153540372471618</v>
      </c>
      <c r="BB106" s="2">
        <f>(POWER((K106*K106*AH106), 0.33)*LOG10(P106)*10*Data!$B$1)*R106</f>
        <v>40.55744311676029</v>
      </c>
      <c r="BC106" s="2"/>
      <c r="BD106" s="2"/>
      <c r="BE106" s="2">
        <f>IFERROR((SQRT($K106*$AI106)*POWER((MIN($M106,20)+SQRT(MAX($M106-20,0))),0.9)*Data!$B$1)*(1 - (R106-1)),BA106)</f>
        <v>0</v>
      </c>
      <c r="BF106" s="2">
        <f>IFERROR(((POWER(($K106*$K106*$AI106), 0.33)*LOG10($AF106)*10*Data!$B$1)*R106),BB106)</f>
        <v>40.55744311676029</v>
      </c>
      <c r="BG106" s="2">
        <f t="shared" si="39"/>
        <v>18.548387096774192</v>
      </c>
      <c r="BH106" s="2">
        <f t="shared" si="40"/>
        <v>0</v>
      </c>
      <c r="BI106" s="2">
        <f t="shared" si="41"/>
        <v>0</v>
      </c>
      <c r="BJ106" s="2">
        <f t="shared" si="42"/>
        <v>0</v>
      </c>
      <c r="BK106" s="2">
        <v>1</v>
      </c>
      <c r="BL106" s="2">
        <v>1</v>
      </c>
      <c r="BM106" s="2">
        <f t="shared" si="43"/>
        <v>48</v>
      </c>
      <c r="BN106" s="2">
        <f t="shared" si="44"/>
        <v>0</v>
      </c>
      <c r="BO106" s="2">
        <f t="shared" si="45"/>
        <v>-1</v>
      </c>
      <c r="BP106" s="2">
        <f t="shared" si="46"/>
        <v>48</v>
      </c>
      <c r="BQ106" s="2">
        <f t="shared" si="49"/>
        <v>-1</v>
      </c>
      <c r="BR106" s="2">
        <f t="shared" si="48"/>
        <v>-1</v>
      </c>
      <c r="BU106" s="3"/>
      <c r="BV106">
        <f>F106-F105</f>
        <v>4</v>
      </c>
      <c r="BW106" s="2" t="str">
        <f>CONCATENATE(
ROUND(BS106*VLOOKUP(I106,'ID Scheme'!$A$2:$E$7,3),0), "x",
ROUND(BT106*VLOOKUP(I106,'ID Scheme'!$A$2:$E$7,5),0), "x",
ROUND(BU106*VLOOKUP(I106,'ID Scheme'!$A$2:$E$7,4),0))</f>
        <v>0x0x0</v>
      </c>
      <c r="BX106" t="s">
        <v>118</v>
      </c>
    </row>
    <row r="107" spans="1:76" x14ac:dyDescent="0.25">
      <c r="A107" t="s">
        <v>117</v>
      </c>
      <c r="B107" t="s">
        <v>255</v>
      </c>
      <c r="C107" t="s">
        <v>295</v>
      </c>
      <c r="D107">
        <f>IF(F107 &gt; 2020, ((F107-2020)*4)+1610+H107,IF(F107 &gt; 1900, ((F107-1900)*10)+400+H107, ((F107-1730)*2)+H107))+VLOOKUP(I107,'ID Scheme'!$A$2:$B$7,2, FALSE)</f>
        <v>8939</v>
      </c>
      <c r="F107">
        <v>1899</v>
      </c>
      <c r="G107">
        <v>1</v>
      </c>
      <c r="H107">
        <v>1</v>
      </c>
      <c r="I107" t="s">
        <v>104</v>
      </c>
      <c r="J107" t="s">
        <v>549</v>
      </c>
      <c r="K107">
        <v>24</v>
      </c>
      <c r="L107">
        <v>35</v>
      </c>
      <c r="M107">
        <v>65</v>
      </c>
      <c r="N107">
        <v>9</v>
      </c>
      <c r="O107">
        <v>7</v>
      </c>
      <c r="P107">
        <v>80</v>
      </c>
      <c r="Q107">
        <v>20</v>
      </c>
      <c r="R107">
        <v>1</v>
      </c>
      <c r="S107" t="s">
        <v>387</v>
      </c>
      <c r="T107">
        <v>0</v>
      </c>
      <c r="U107" s="2" t="s">
        <v>452</v>
      </c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H107">
        <v>48</v>
      </c>
      <c r="AM107" s="8">
        <f t="shared" si="29"/>
        <v>0</v>
      </c>
      <c r="AV107" t="s">
        <v>364</v>
      </c>
      <c r="AW107">
        <v>1</v>
      </c>
      <c r="BA107" s="2">
        <f>(SQRT(K107*AH107)*POWER((MIN(M107,20)+SQRT(MAX(M107-20,0))),0.9)*Data!$B$1)*(1-(R107-1))</f>
        <v>48.95169319243255</v>
      </c>
      <c r="BB107" s="2">
        <f>(POWER((K107*K107*AH107), 0.33)*LOG10(P107)*10*Data!$B$1)*R107</f>
        <v>41.712826159953799</v>
      </c>
      <c r="BC107" s="2"/>
      <c r="BD107" s="2"/>
      <c r="BE107" s="2">
        <f>IFERROR((SQRT($K107*$AI107)*POWER((MIN($M107,20)+SQRT(MAX($M107-20,0))),0.9)*Data!$B$1)*(1 - (R107-1)),BA107)</f>
        <v>0</v>
      </c>
      <c r="BF107" s="2">
        <f>IFERROR(((POWER(($K107*$K107*$AI107), 0.33)*LOG10($AF107)*10*Data!$B$1)*R107),BB107)</f>
        <v>41.712826159953799</v>
      </c>
      <c r="BG107" s="2">
        <f t="shared" si="39"/>
        <v>19.35483870967742</v>
      </c>
      <c r="BH107" s="2">
        <f t="shared" si="40"/>
        <v>0</v>
      </c>
      <c r="BI107" s="2">
        <f t="shared" si="41"/>
        <v>0</v>
      </c>
      <c r="BJ107" s="2">
        <f t="shared" si="42"/>
        <v>0</v>
      </c>
      <c r="BK107" s="2">
        <v>1</v>
      </c>
      <c r="BL107" s="2">
        <v>1</v>
      </c>
      <c r="BM107" s="2">
        <f t="shared" si="43"/>
        <v>48</v>
      </c>
      <c r="BN107" s="2">
        <f t="shared" si="44"/>
        <v>0</v>
      </c>
      <c r="BO107" s="2">
        <f t="shared" si="45"/>
        <v>-1</v>
      </c>
      <c r="BP107" s="2">
        <f t="shared" si="46"/>
        <v>48</v>
      </c>
      <c r="BQ107" s="2">
        <f t="shared" si="49"/>
        <v>-1</v>
      </c>
      <c r="BR107" s="2">
        <f t="shared" si="48"/>
        <v>-1</v>
      </c>
      <c r="BU107" s="3"/>
      <c r="BV107">
        <f>F107-F106</f>
        <v>1</v>
      </c>
      <c r="BW107" s="2" t="str">
        <f>CONCATENATE(
ROUND(BS107*VLOOKUP(I107,'ID Scheme'!$A$2:$E$7,3),0), "x",
ROUND(BT107*VLOOKUP(I107,'ID Scheme'!$A$2:$E$7,5),0), "x",
ROUND(BU107*VLOOKUP(I107,'ID Scheme'!$A$2:$E$7,4),0))</f>
        <v>0x0x0</v>
      </c>
      <c r="BX107" t="s">
        <v>118</v>
      </c>
    </row>
    <row r="108" spans="1:76" x14ac:dyDescent="0.25">
      <c r="A108" t="s">
        <v>109</v>
      </c>
      <c r="B108" t="s">
        <v>253</v>
      </c>
      <c r="C108" t="s">
        <v>295</v>
      </c>
      <c r="D108">
        <f>IF(F108 &gt; 2020, ((F108-2020)*4)+1610+H108,IF(F108 &gt; 1900, ((F108-1900)*10)+400+H108, ((F108-1730)*2)+H108))+VLOOKUP(I108,'ID Scheme'!$A$2:$B$7,2, FALSE)</f>
        <v>9011</v>
      </c>
      <c r="F108">
        <v>1901</v>
      </c>
      <c r="G108">
        <v>1</v>
      </c>
      <c r="H108">
        <v>1</v>
      </c>
      <c r="I108" t="s">
        <v>104</v>
      </c>
      <c r="J108" t="s">
        <v>549</v>
      </c>
      <c r="K108">
        <v>25</v>
      </c>
      <c r="L108">
        <v>35</v>
      </c>
      <c r="M108">
        <v>32</v>
      </c>
      <c r="N108">
        <v>7</v>
      </c>
      <c r="O108">
        <v>7.5</v>
      </c>
      <c r="P108">
        <v>60</v>
      </c>
      <c r="Q108">
        <v>20</v>
      </c>
      <c r="R108">
        <v>1</v>
      </c>
      <c r="S108" t="s">
        <v>387</v>
      </c>
      <c r="T108">
        <v>0</v>
      </c>
      <c r="U108" s="2" t="s">
        <v>473</v>
      </c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H108">
        <v>58</v>
      </c>
      <c r="AM108" s="8">
        <f t="shared" si="29"/>
        <v>0</v>
      </c>
      <c r="AV108" t="s">
        <v>364</v>
      </c>
      <c r="AW108">
        <v>1</v>
      </c>
      <c r="BA108" s="2">
        <f>(SQRT(K108*AH108)*POWER((MIN(M108,20)+SQRT(MAX(M108-20,0))),0.9)*Data!$B$1)*(1-(R108-1))</f>
        <v>48.877479495040532</v>
      </c>
      <c r="BB108" s="2">
        <f>(POWER((K108*K108*AH108), 0.33)*LOG10(P108)*10*Data!$B$1)*R108</f>
        <v>42.618838192592996</v>
      </c>
      <c r="BC108" s="2"/>
      <c r="BD108" s="2"/>
      <c r="BE108" s="2">
        <f>IFERROR((SQRT($K108*$AI108)*POWER((MIN($M108,20)+SQRT(MAX($M108-20,0))),0.9)*Data!$B$1)*(1 - (R108-1)),BA108)</f>
        <v>0</v>
      </c>
      <c r="BF108" s="2">
        <f>IFERROR(((POWER(($K108*$K108*$AI108), 0.33)*LOG10($AF108)*10*Data!$B$1)*R108),BB108)</f>
        <v>42.618838192592996</v>
      </c>
      <c r="BG108" s="2">
        <f t="shared" ref="BG108:BG126" si="50">K108/1.24</f>
        <v>20.161290322580644</v>
      </c>
      <c r="BH108" s="2">
        <f t="shared" ref="BH108:BH126" si="51">AG108/1.24</f>
        <v>0</v>
      </c>
      <c r="BI108" s="2">
        <f t="shared" ref="BI108:BI126" si="52">AN108/1.24</f>
        <v>0</v>
      </c>
      <c r="BJ108" s="2">
        <f t="shared" ref="BJ108:BJ126" si="53">AO108/1.24</f>
        <v>0</v>
      </c>
      <c r="BK108" s="2">
        <v>1</v>
      </c>
      <c r="BL108" s="2">
        <v>1</v>
      </c>
      <c r="BM108" s="2">
        <f t="shared" ref="BM108:BM126" si="54">AH108/BL108</f>
        <v>58</v>
      </c>
      <c r="BN108" s="2">
        <f t="shared" ref="BN108:BN126" si="55">AI108/BL108</f>
        <v>0</v>
      </c>
      <c r="BO108" s="2">
        <f t="shared" si="45"/>
        <v>-1</v>
      </c>
      <c r="BP108" s="2">
        <f t="shared" ref="BP108:BP126" si="56">(AH108)/MAX(BK108-1, 1)</f>
        <v>58</v>
      </c>
      <c r="BQ108" s="2">
        <f t="shared" si="49"/>
        <v>-1</v>
      </c>
      <c r="BR108" s="2">
        <f t="shared" ref="BR108:BR126" si="57">IF(AI108 &gt; 0, (AI108)/MAX(BK108-1, 1), -1)</f>
        <v>-1</v>
      </c>
      <c r="BU108" s="3"/>
      <c r="BV108">
        <f>F108-F107</f>
        <v>2</v>
      </c>
      <c r="BW108" s="2" t="str">
        <f>CONCATENATE(
ROUND(BS108*VLOOKUP(I108,'ID Scheme'!$A$2:$E$7,3),0), "x",
ROUND(BT108*VLOOKUP(I108,'ID Scheme'!$A$2:$E$7,5),0), "x",
ROUND(BU108*VLOOKUP(I108,'ID Scheme'!$A$2:$E$7,4),0))</f>
        <v>0x0x0</v>
      </c>
      <c r="BX108" t="s">
        <v>125</v>
      </c>
    </row>
    <row r="109" spans="1:76" x14ac:dyDescent="0.25">
      <c r="A109" t="s">
        <v>119</v>
      </c>
      <c r="B109" t="s">
        <v>257</v>
      </c>
      <c r="C109" t="s">
        <v>301</v>
      </c>
      <c r="D109">
        <f>IF(F109 &gt; 2020, ((F109-2020)*4)+1610+H109,IF(F109 &gt; 1900, ((F109-1900)*10)+400+H109, ((F109-1730)*2)+H109))+VLOOKUP(I109,'ID Scheme'!$A$2:$B$7,2, FALSE)</f>
        <v>9111</v>
      </c>
      <c r="F109">
        <v>1911</v>
      </c>
      <c r="G109">
        <v>1</v>
      </c>
      <c r="H109">
        <v>1</v>
      </c>
      <c r="I109" t="s">
        <v>104</v>
      </c>
      <c r="J109" t="s">
        <v>549</v>
      </c>
      <c r="K109">
        <v>22</v>
      </c>
      <c r="L109">
        <v>30</v>
      </c>
      <c r="M109">
        <v>30</v>
      </c>
      <c r="N109">
        <v>12</v>
      </c>
      <c r="O109">
        <v>6</v>
      </c>
      <c r="P109">
        <v>105</v>
      </c>
      <c r="Q109">
        <v>20</v>
      </c>
      <c r="R109">
        <v>1</v>
      </c>
      <c r="S109" t="s">
        <v>387</v>
      </c>
      <c r="T109">
        <v>0</v>
      </c>
      <c r="U109" s="2" t="s">
        <v>454</v>
      </c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H109">
        <v>68</v>
      </c>
      <c r="AM109" s="8">
        <f t="shared" si="29"/>
        <v>0</v>
      </c>
      <c r="AV109" t="s">
        <v>364</v>
      </c>
      <c r="AW109">
        <v>1</v>
      </c>
      <c r="BA109" s="2">
        <f>(SQRT(K109*AH109)*POWER((MIN(M109,20)+SQRT(MAX(M109-20,0))),0.9)*Data!$B$1)*(1-(R109-1))</f>
        <v>49.071597593682917</v>
      </c>
      <c r="BB109" s="2">
        <f>(POWER((K109*K109*AH109), 0.33)*LOG10(P109)*10*Data!$B$1)*R109</f>
        <v>46.924014917422397</v>
      </c>
      <c r="BC109" s="2"/>
      <c r="BD109" s="2"/>
      <c r="BE109" s="2">
        <f>IFERROR((SQRT($K109*$AI109)*POWER((MIN($M109,20)+SQRT(MAX($M109-20,0))),0.9)*Data!$B$1)*(1 - (R109-1)),BA109)</f>
        <v>0</v>
      </c>
      <c r="BF109" s="2">
        <f>IFERROR(((POWER(($K109*$K109*$AI109), 0.33)*LOG10($AF109)*10*Data!$B$1)*R109),BB109)</f>
        <v>46.924014917422397</v>
      </c>
      <c r="BG109" s="2">
        <f t="shared" si="50"/>
        <v>17.741935483870968</v>
      </c>
      <c r="BH109" s="2">
        <f t="shared" si="51"/>
        <v>0</v>
      </c>
      <c r="BI109" s="2">
        <f t="shared" si="52"/>
        <v>0</v>
      </c>
      <c r="BJ109" s="2">
        <f t="shared" si="53"/>
        <v>0</v>
      </c>
      <c r="BK109" s="2">
        <v>1</v>
      </c>
      <c r="BL109" s="2">
        <v>1</v>
      </c>
      <c r="BM109" s="2">
        <f t="shared" si="54"/>
        <v>68</v>
      </c>
      <c r="BN109" s="2">
        <f t="shared" si="55"/>
        <v>0</v>
      </c>
      <c r="BO109" s="2">
        <f t="shared" si="45"/>
        <v>-1</v>
      </c>
      <c r="BP109" s="2">
        <f t="shared" si="56"/>
        <v>68</v>
      </c>
      <c r="BQ109" s="2">
        <f t="shared" si="49"/>
        <v>-1</v>
      </c>
      <c r="BR109" s="2">
        <f t="shared" si="57"/>
        <v>-1</v>
      </c>
      <c r="BU109" s="3"/>
      <c r="BV109">
        <f>F109-F108</f>
        <v>10</v>
      </c>
      <c r="BW109" s="2" t="str">
        <f>CONCATENATE(
ROUND(BS109*VLOOKUP(I109,'ID Scheme'!$A$2:$E$7,3),0), "x",
ROUND(BT109*VLOOKUP(I109,'ID Scheme'!$A$2:$E$7,5),0), "x",
ROUND(BU109*VLOOKUP(I109,'ID Scheme'!$A$2:$E$7,4),0))</f>
        <v>0x0x0</v>
      </c>
      <c r="BX109" t="s">
        <v>82</v>
      </c>
    </row>
    <row r="110" spans="1:76" x14ac:dyDescent="0.25">
      <c r="A110" t="s">
        <v>110</v>
      </c>
      <c r="B110" t="s">
        <v>221</v>
      </c>
      <c r="C110" t="s">
        <v>295</v>
      </c>
      <c r="D110">
        <f>IF(F110 &gt; 2020, ((F110-2020)*4)+1610+H110,IF(F110 &gt; 1900, ((F110-1900)*10)+400+H110, ((F110-1730)*2)+H110))+VLOOKUP(I110,'ID Scheme'!$A$2:$B$7,2, FALSE)</f>
        <v>9231</v>
      </c>
      <c r="F110">
        <v>1923</v>
      </c>
      <c r="G110">
        <v>1</v>
      </c>
      <c r="H110">
        <v>1</v>
      </c>
      <c r="I110" t="s">
        <v>104</v>
      </c>
      <c r="J110" t="s">
        <v>549</v>
      </c>
      <c r="K110">
        <v>30</v>
      </c>
      <c r="L110">
        <v>38</v>
      </c>
      <c r="M110">
        <v>50</v>
      </c>
      <c r="N110">
        <v>9</v>
      </c>
      <c r="O110">
        <v>9</v>
      </c>
      <c r="P110">
        <v>80</v>
      </c>
      <c r="Q110">
        <v>20</v>
      </c>
      <c r="R110">
        <v>1</v>
      </c>
      <c r="S110" t="s">
        <v>387</v>
      </c>
      <c r="T110">
        <v>0</v>
      </c>
      <c r="U110" s="2" t="s">
        <v>472</v>
      </c>
      <c r="V110" s="2"/>
      <c r="W110" s="2"/>
      <c r="X110" s="2"/>
      <c r="Y110" s="2"/>
      <c r="Z110" s="2"/>
      <c r="AA110" s="2"/>
      <c r="AB110" s="2"/>
      <c r="AC110" s="2">
        <v>1</v>
      </c>
      <c r="AD110" s="2"/>
      <c r="AE110" s="2"/>
      <c r="AH110">
        <v>78</v>
      </c>
      <c r="AM110" s="8">
        <f t="shared" ref="AM110:AM126" si="58">AJ110/BL110</f>
        <v>0</v>
      </c>
      <c r="AV110" t="s">
        <v>364</v>
      </c>
      <c r="AW110">
        <v>1</v>
      </c>
      <c r="BA110" s="2">
        <f>(SQRT(K110*AH110)*POWER((MIN(M110,20)+SQRT(MAX(M110-20,0))),0.9)*Data!$B$1)*(1-(R110-1))</f>
        <v>66.866118123314507</v>
      </c>
      <c r="BB110" s="2">
        <f>(POWER((K110*K110*AH110), 0.33)*LOG10(P110)*10*Data!$B$1)*R110</f>
        <v>56.729876046306018</v>
      </c>
      <c r="BC110" s="2"/>
      <c r="BD110" s="2"/>
      <c r="BE110" s="2">
        <f>IFERROR((SQRT($K110*$AI110)*POWER((MIN($M110,20)+SQRT(MAX($M110-20,0))),0.9)*Data!$B$1)*(1 - (R110-1)),BA110)</f>
        <v>0</v>
      </c>
      <c r="BF110" s="2">
        <f>IFERROR(((POWER(($K110*$K110*$AI110), 0.33)*LOG10($AF110)*10*Data!$B$1)*R110),BB110)</f>
        <v>56.729876046306018</v>
      </c>
      <c r="BG110" s="2">
        <f t="shared" si="50"/>
        <v>24.193548387096776</v>
      </c>
      <c r="BH110" s="2">
        <f t="shared" si="51"/>
        <v>0</v>
      </c>
      <c r="BI110" s="2">
        <f t="shared" si="52"/>
        <v>0</v>
      </c>
      <c r="BJ110" s="2">
        <f t="shared" si="53"/>
        <v>0</v>
      </c>
      <c r="BK110" s="2">
        <v>1</v>
      </c>
      <c r="BL110" s="2">
        <v>1</v>
      </c>
      <c r="BM110" s="2">
        <f t="shared" si="54"/>
        <v>78</v>
      </c>
      <c r="BN110" s="2">
        <f t="shared" si="55"/>
        <v>0</v>
      </c>
      <c r="BO110" s="2">
        <f t="shared" si="45"/>
        <v>-1</v>
      </c>
      <c r="BP110" s="2">
        <f t="shared" si="56"/>
        <v>78</v>
      </c>
      <c r="BQ110" s="2">
        <f t="shared" si="49"/>
        <v>-1</v>
      </c>
      <c r="BR110" s="2">
        <f t="shared" si="57"/>
        <v>-1</v>
      </c>
      <c r="BU110" s="3"/>
      <c r="BV110">
        <f>F110-F109</f>
        <v>12</v>
      </c>
      <c r="BW110" s="2" t="str">
        <f>CONCATENATE(
ROUND(BS110*VLOOKUP(I110,'ID Scheme'!$A$2:$E$7,3),0), "x",
ROUND(BT110*VLOOKUP(I110,'ID Scheme'!$A$2:$E$7,5),0), "x",
ROUND(BU110*VLOOKUP(I110,'ID Scheme'!$A$2:$E$7,4),0))</f>
        <v>0x0x0</v>
      </c>
    </row>
    <row r="111" spans="1:76" x14ac:dyDescent="0.25">
      <c r="A111" t="s">
        <v>120</v>
      </c>
      <c r="B111" t="s">
        <v>242</v>
      </c>
      <c r="C111" t="s">
        <v>295</v>
      </c>
      <c r="D111">
        <f>IF(F111 &gt; 2020, ((F111-2020)*4)+1610+H111,IF(F111 &gt; 1900, ((F111-1900)*10)+400+H111, ((F111-1730)*2)+H111))+VLOOKUP(I111,'ID Scheme'!$A$2:$B$7,2, FALSE)</f>
        <v>9341</v>
      </c>
      <c r="F111">
        <v>1934</v>
      </c>
      <c r="G111">
        <v>1</v>
      </c>
      <c r="H111">
        <v>1</v>
      </c>
      <c r="I111" t="s">
        <v>104</v>
      </c>
      <c r="J111" t="s">
        <v>549</v>
      </c>
      <c r="K111">
        <v>35</v>
      </c>
      <c r="L111">
        <v>40</v>
      </c>
      <c r="M111">
        <v>55</v>
      </c>
      <c r="N111">
        <v>11</v>
      </c>
      <c r="O111">
        <v>11</v>
      </c>
      <c r="P111">
        <v>114</v>
      </c>
      <c r="Q111">
        <v>20</v>
      </c>
      <c r="R111">
        <v>1</v>
      </c>
      <c r="S111" t="s">
        <v>387</v>
      </c>
      <c r="T111">
        <v>0</v>
      </c>
      <c r="U111" s="2" t="s">
        <v>455</v>
      </c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H111">
        <v>92</v>
      </c>
      <c r="AM111" s="8">
        <f t="shared" si="58"/>
        <v>0</v>
      </c>
      <c r="AV111" t="s">
        <v>364</v>
      </c>
      <c r="AW111">
        <v>1</v>
      </c>
      <c r="BA111" s="2">
        <f>(SQRT(K111*AH111)*POWER((MIN(M111,20)+SQRT(MAX(M111-20,0))),0.9)*Data!$B$1)*(1-(R111-1))</f>
        <v>79.652897151473837</v>
      </c>
      <c r="BB111" s="2">
        <f>(POWER((K111*K111*AH111), 0.33)*LOG10(P111)*10*Data!$B$1)*R111</f>
        <v>71.682040289630535</v>
      </c>
      <c r="BC111" s="2"/>
      <c r="BD111" s="2"/>
      <c r="BE111" s="2">
        <f>IFERROR((SQRT($K111*$AI111)*POWER((MIN($M111,20)+SQRT(MAX($M111-20,0))),0.9)*Data!$B$1)*(1 - (R111-1)),BA111)</f>
        <v>0</v>
      </c>
      <c r="BF111" s="2">
        <f>IFERROR(((POWER(($K111*$K111*$AI111), 0.33)*LOG10($AF111)*10*Data!$B$1)*R111),BB111)</f>
        <v>71.682040289630535</v>
      </c>
      <c r="BG111" s="2">
        <f t="shared" si="50"/>
        <v>28.225806451612904</v>
      </c>
      <c r="BH111" s="2">
        <f t="shared" si="51"/>
        <v>0</v>
      </c>
      <c r="BI111" s="2">
        <f t="shared" si="52"/>
        <v>0</v>
      </c>
      <c r="BJ111" s="2">
        <f t="shared" si="53"/>
        <v>0</v>
      </c>
      <c r="BK111" s="2">
        <v>1</v>
      </c>
      <c r="BL111" s="2">
        <v>1</v>
      </c>
      <c r="BM111" s="2">
        <f t="shared" si="54"/>
        <v>92</v>
      </c>
      <c r="BN111" s="2">
        <f t="shared" si="55"/>
        <v>0</v>
      </c>
      <c r="BO111" s="2">
        <f t="shared" si="45"/>
        <v>-1</v>
      </c>
      <c r="BP111" s="2">
        <f t="shared" si="56"/>
        <v>92</v>
      </c>
      <c r="BQ111" s="2">
        <f t="shared" si="49"/>
        <v>-1</v>
      </c>
      <c r="BR111" s="2">
        <f t="shared" si="57"/>
        <v>-1</v>
      </c>
      <c r="BU111" s="3"/>
      <c r="BV111">
        <f>F111-F110</f>
        <v>11</v>
      </c>
      <c r="BW111" s="2" t="str">
        <f>CONCATENATE(
ROUND(BS111*VLOOKUP(I111,'ID Scheme'!$A$2:$E$7,3),0), "x",
ROUND(BT111*VLOOKUP(I111,'ID Scheme'!$A$2:$E$7,5),0), "x",
ROUND(BU111*VLOOKUP(I111,'ID Scheme'!$A$2:$E$7,4),0))</f>
        <v>0x0x0</v>
      </c>
      <c r="BX111" t="s">
        <v>121</v>
      </c>
    </row>
    <row r="112" spans="1:76" x14ac:dyDescent="0.25">
      <c r="A112" t="s">
        <v>107</v>
      </c>
      <c r="B112" t="s">
        <v>246</v>
      </c>
      <c r="C112" t="s">
        <v>295</v>
      </c>
      <c r="D112">
        <f>IF(F112 &gt; 2020, ((F112-2020)*4)+1610+H112,IF(F112 &gt; 1900, ((F112-1900)*10)+400+H112, ((F112-1730)*2)+H112))+VLOOKUP(I112,'ID Scheme'!$A$2:$B$7,2, FALSE)</f>
        <v>9521</v>
      </c>
      <c r="F112">
        <v>1952</v>
      </c>
      <c r="G112">
        <v>1</v>
      </c>
      <c r="H112">
        <v>1</v>
      </c>
      <c r="I112" t="s">
        <v>104</v>
      </c>
      <c r="J112" t="s">
        <v>549</v>
      </c>
      <c r="K112">
        <v>40</v>
      </c>
      <c r="L112">
        <v>20</v>
      </c>
      <c r="M112">
        <v>35</v>
      </c>
      <c r="N112">
        <v>11</v>
      </c>
      <c r="O112">
        <v>12</v>
      </c>
      <c r="P112">
        <v>180</v>
      </c>
      <c r="Q112">
        <v>28</v>
      </c>
      <c r="R112">
        <v>1.1000000000000001</v>
      </c>
      <c r="S112" t="s">
        <v>387</v>
      </c>
      <c r="T112">
        <v>0</v>
      </c>
      <c r="U112" s="2" t="s">
        <v>456</v>
      </c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H112">
        <v>56</v>
      </c>
      <c r="AM112" s="8">
        <f t="shared" si="58"/>
        <v>0</v>
      </c>
      <c r="AV112" t="s">
        <v>364</v>
      </c>
      <c r="AW112">
        <v>1</v>
      </c>
      <c r="BA112" s="2">
        <f>(SQRT(K112*AH112)*POWER((MIN(M112,20)+SQRT(MAX(M112-20,0))),0.9)*Data!$B$1)*(1-(R112-1))</f>
        <v>55.532062985015898</v>
      </c>
      <c r="BB112" s="2">
        <f>(POWER((K112*K112*AH112), 0.33)*LOG10(P112)*10*Data!$B$1)*R112</f>
        <v>80.152046772075309</v>
      </c>
      <c r="BC112" s="2"/>
      <c r="BD112" s="2"/>
      <c r="BE112" s="2">
        <f>IFERROR((SQRT($K112*$AI112)*POWER((MIN($M112,20)+SQRT(MAX($M112-20,0))),0.9)*Data!$B$1)*(1 - (R112-1)),BA112)</f>
        <v>0</v>
      </c>
      <c r="BF112" s="2">
        <f>IFERROR(((POWER(($K112*$K112*$AI112), 0.33)*LOG10($AF112)*10*Data!$B$1)*R112),BB112)</f>
        <v>80.152046772075309</v>
      </c>
      <c r="BG112" s="2">
        <f t="shared" si="50"/>
        <v>32.258064516129032</v>
      </c>
      <c r="BH112" s="2">
        <f t="shared" si="51"/>
        <v>0</v>
      </c>
      <c r="BI112" s="2">
        <f t="shared" si="52"/>
        <v>0</v>
      </c>
      <c r="BJ112" s="2">
        <f t="shared" si="53"/>
        <v>0</v>
      </c>
      <c r="BK112" s="2">
        <v>1</v>
      </c>
      <c r="BL112" s="2">
        <v>1</v>
      </c>
      <c r="BM112" s="2">
        <f t="shared" si="54"/>
        <v>56</v>
      </c>
      <c r="BN112" s="2">
        <f t="shared" si="55"/>
        <v>0</v>
      </c>
      <c r="BO112" s="2">
        <f t="shared" si="45"/>
        <v>-1</v>
      </c>
      <c r="BP112" s="2">
        <f t="shared" si="56"/>
        <v>56</v>
      </c>
      <c r="BQ112" s="2">
        <f t="shared" si="49"/>
        <v>-1</v>
      </c>
      <c r="BR112" s="2">
        <f t="shared" si="57"/>
        <v>-1</v>
      </c>
      <c r="BU112" s="3"/>
      <c r="BV112">
        <f>F112-F111</f>
        <v>18</v>
      </c>
      <c r="BW112" s="2" t="str">
        <f>CONCATENATE(
ROUND(BS112*VLOOKUP(I112,'ID Scheme'!$A$2:$E$7,3),0), "x",
ROUND(BT112*VLOOKUP(I112,'ID Scheme'!$A$2:$E$7,5),0), "x",
ROUND(BU112*VLOOKUP(I112,'ID Scheme'!$A$2:$E$7,4),0))</f>
        <v>0x0x0</v>
      </c>
      <c r="BX112" t="s">
        <v>123</v>
      </c>
    </row>
    <row r="113" spans="1:76" x14ac:dyDescent="0.25">
      <c r="A113" t="s">
        <v>132</v>
      </c>
      <c r="B113" t="s">
        <v>256</v>
      </c>
      <c r="C113" t="s">
        <v>336</v>
      </c>
      <c r="D113">
        <f>IF(F113 &gt; 2020, ((F113-2020)*4)+1610+H113,IF(F113 &gt; 1900, ((F113-1900)*10)+400+H113, ((F113-1730)*2)+H113))+VLOOKUP(I113,'ID Scheme'!$A$2:$B$7,2, FALSE)</f>
        <v>9601</v>
      </c>
      <c r="F113">
        <v>1960</v>
      </c>
      <c r="G113">
        <v>1</v>
      </c>
      <c r="H113">
        <v>1</v>
      </c>
      <c r="I113" t="s">
        <v>104</v>
      </c>
      <c r="J113" t="s">
        <v>549</v>
      </c>
      <c r="K113">
        <v>36</v>
      </c>
      <c r="L113">
        <v>30</v>
      </c>
      <c r="M113">
        <v>40</v>
      </c>
      <c r="N113">
        <v>12</v>
      </c>
      <c r="O113">
        <v>15</v>
      </c>
      <c r="P113">
        <v>114</v>
      </c>
      <c r="Q113">
        <v>20</v>
      </c>
      <c r="R113">
        <v>1</v>
      </c>
      <c r="S113" t="s">
        <v>387</v>
      </c>
      <c r="T113">
        <v>0</v>
      </c>
      <c r="U113" s="2" t="s">
        <v>457</v>
      </c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H113">
        <v>122</v>
      </c>
      <c r="AM113" s="8">
        <f t="shared" si="58"/>
        <v>0</v>
      </c>
      <c r="AP113" t="s">
        <v>398</v>
      </c>
      <c r="AQ113">
        <v>1</v>
      </c>
      <c r="AS113" t="s">
        <v>401</v>
      </c>
      <c r="AT113" t="s">
        <v>398</v>
      </c>
      <c r="AU113" t="s">
        <v>402</v>
      </c>
      <c r="AV113" t="s">
        <v>364</v>
      </c>
      <c r="AW113">
        <v>1</v>
      </c>
      <c r="BA113" s="2">
        <f>(SQRT(K113*AH113)*POWER((MIN(M113,20)+SQRT(MAX(M113-20,0))),0.9)*Data!$B$1)*(1-(R113-1))</f>
        <v>88.348080485686708</v>
      </c>
      <c r="BB113" s="2">
        <f>(POWER((K113*K113*AH113), 0.33)*LOG10(P113)*10*Data!$B$1)*R113</f>
        <v>80.155598368589864</v>
      </c>
      <c r="BC113" s="2"/>
      <c r="BD113" s="2"/>
      <c r="BE113" s="2">
        <f>IFERROR((SQRT($K113*$AI113)*POWER((MIN($M113,20)+SQRT(MAX($M113-20,0))),0.9)*Data!$B$1)*(1 - (R113-1)),BA113)</f>
        <v>0</v>
      </c>
      <c r="BF113" s="2">
        <f>IFERROR(((POWER(($K113*$K113*$AI113), 0.33)*LOG10($AF113)*10*Data!$B$1)*R113),BB113)</f>
        <v>80.155598368589864</v>
      </c>
      <c r="BG113" s="2">
        <f t="shared" si="50"/>
        <v>29.032258064516128</v>
      </c>
      <c r="BH113" s="2">
        <f t="shared" si="51"/>
        <v>0</v>
      </c>
      <c r="BI113" s="2">
        <f t="shared" si="52"/>
        <v>0</v>
      </c>
      <c r="BJ113" s="2">
        <f t="shared" si="53"/>
        <v>0</v>
      </c>
      <c r="BK113" s="2">
        <v>2</v>
      </c>
      <c r="BL113" s="2">
        <v>2</v>
      </c>
      <c r="BM113" s="2">
        <f t="shared" si="54"/>
        <v>61</v>
      </c>
      <c r="BN113" s="2">
        <f t="shared" si="55"/>
        <v>0</v>
      </c>
      <c r="BO113" s="2">
        <f t="shared" si="45"/>
        <v>-1</v>
      </c>
      <c r="BP113" s="2">
        <f t="shared" si="56"/>
        <v>122</v>
      </c>
      <c r="BQ113" s="2">
        <f t="shared" si="49"/>
        <v>-1</v>
      </c>
      <c r="BR113" s="2">
        <f t="shared" si="57"/>
        <v>-1</v>
      </c>
      <c r="BU113" s="3"/>
      <c r="BV113">
        <f>F113-F112</f>
        <v>8</v>
      </c>
      <c r="BW113" s="2" t="str">
        <f>CONCATENATE(
ROUND(BS113*VLOOKUP(I113,'ID Scheme'!$A$2:$E$7,3),0), "x",
ROUND(BT113*VLOOKUP(I113,'ID Scheme'!$A$2:$E$7,5),0), "x",
ROUND(BU113*VLOOKUP(I113,'ID Scheme'!$A$2:$E$7,4),0))</f>
        <v>0x0x0</v>
      </c>
      <c r="BX113" t="s">
        <v>122</v>
      </c>
    </row>
    <row r="114" spans="1:76" x14ac:dyDescent="0.25">
      <c r="A114" t="s">
        <v>112</v>
      </c>
      <c r="B114" t="s">
        <v>207</v>
      </c>
      <c r="C114" t="s">
        <v>295</v>
      </c>
      <c r="D114">
        <f>IF(F114 &gt; 2020, ((F114-2020)*4)+1610+H114,IF(F114 &gt; 1900, ((F114-1900)*10)+400+H114, ((F114-1730)*2)+H114))+VLOOKUP(I114,'ID Scheme'!$A$2:$B$7,2, FALSE)</f>
        <v>9791</v>
      </c>
      <c r="F114">
        <v>1979</v>
      </c>
      <c r="G114">
        <v>6</v>
      </c>
      <c r="H114">
        <v>1</v>
      </c>
      <c r="I114" t="s">
        <v>104</v>
      </c>
      <c r="J114" t="s">
        <v>549</v>
      </c>
      <c r="K114">
        <v>40</v>
      </c>
      <c r="L114">
        <v>25</v>
      </c>
      <c r="M114">
        <v>35</v>
      </c>
      <c r="N114">
        <v>11</v>
      </c>
      <c r="O114">
        <v>12</v>
      </c>
      <c r="P114">
        <v>114</v>
      </c>
      <c r="Q114">
        <v>20</v>
      </c>
      <c r="R114">
        <v>1</v>
      </c>
      <c r="S114" t="s">
        <v>387</v>
      </c>
      <c r="T114">
        <v>0</v>
      </c>
      <c r="U114" s="2" t="s">
        <v>458</v>
      </c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H114">
        <v>108</v>
      </c>
      <c r="AM114" s="8">
        <f t="shared" si="58"/>
        <v>0</v>
      </c>
      <c r="AV114" t="s">
        <v>364</v>
      </c>
      <c r="AW114">
        <v>1</v>
      </c>
      <c r="BA114" s="2">
        <f>(SQRT(K114*AH114)*POWER((MIN(M114,20)+SQRT(MAX(M114-20,0))),0.9)*Data!$B$1)*(1-(R114-1))</f>
        <v>85.687833488938395</v>
      </c>
      <c r="BB114" s="2">
        <f>(POWER((K114*K114*AH114), 0.33)*LOG10(P114)*10*Data!$B$1)*R114</f>
        <v>82.540082660234276</v>
      </c>
      <c r="BC114" s="2"/>
      <c r="BD114" s="2"/>
      <c r="BE114" s="2">
        <f>IFERROR((SQRT($K114*$AI114)*POWER((MIN($M114,20)+SQRT(MAX($M114-20,0))),0.9)*Data!$B$1)*(1 - (R114-1)),BA114)</f>
        <v>0</v>
      </c>
      <c r="BF114" s="2">
        <f>IFERROR(((POWER(($K114*$K114*$AI114), 0.33)*LOG10($AF114)*10*Data!$B$1)*R114),BB114)</f>
        <v>82.540082660234276</v>
      </c>
      <c r="BG114" s="2">
        <f t="shared" si="50"/>
        <v>32.258064516129032</v>
      </c>
      <c r="BH114" s="2">
        <f t="shared" si="51"/>
        <v>0</v>
      </c>
      <c r="BI114" s="2">
        <f t="shared" si="52"/>
        <v>0</v>
      </c>
      <c r="BJ114" s="2">
        <f t="shared" si="53"/>
        <v>0</v>
      </c>
      <c r="BK114" s="2">
        <v>1</v>
      </c>
      <c r="BL114" s="2">
        <v>1</v>
      </c>
      <c r="BM114" s="2">
        <f t="shared" si="54"/>
        <v>108</v>
      </c>
      <c r="BN114" s="2">
        <f t="shared" si="55"/>
        <v>0</v>
      </c>
      <c r="BO114" s="2">
        <f t="shared" si="45"/>
        <v>-1</v>
      </c>
      <c r="BP114" s="2">
        <f t="shared" si="56"/>
        <v>108</v>
      </c>
      <c r="BQ114" s="2">
        <f t="shared" si="49"/>
        <v>-1</v>
      </c>
      <c r="BR114" s="2">
        <f t="shared" si="57"/>
        <v>-1</v>
      </c>
      <c r="BU114" s="3"/>
      <c r="BV114">
        <f>F114-F113</f>
        <v>19</v>
      </c>
      <c r="BW114" s="2" t="str">
        <f>CONCATENATE(
ROUND(BS114*VLOOKUP(I114,'ID Scheme'!$A$2:$E$7,3),0), "x",
ROUND(BT114*VLOOKUP(I114,'ID Scheme'!$A$2:$E$7,5),0), "x",
ROUND(BU114*VLOOKUP(I114,'ID Scheme'!$A$2:$E$7,4),0))</f>
        <v>0x0x0</v>
      </c>
      <c r="BX114" t="s">
        <v>121</v>
      </c>
    </row>
    <row r="115" spans="1:76" x14ac:dyDescent="0.25">
      <c r="A115" t="s">
        <v>113</v>
      </c>
      <c r="B115" t="s">
        <v>244</v>
      </c>
      <c r="C115" t="s">
        <v>295</v>
      </c>
      <c r="D115">
        <f>IF(F115 &gt; 2020, ((F115-2020)*4)+1610+H115,IF(F115 &gt; 1900, ((F115-1900)*10)+400+H115, ((F115-1730)*2)+H115))+VLOOKUP(I115,'ID Scheme'!$A$2:$B$7,2, FALSE)</f>
        <v>9841</v>
      </c>
      <c r="F115">
        <v>1984</v>
      </c>
      <c r="G115">
        <v>1</v>
      </c>
      <c r="H115">
        <v>1</v>
      </c>
      <c r="I115" t="s">
        <v>104</v>
      </c>
      <c r="J115" t="s">
        <v>549</v>
      </c>
      <c r="K115">
        <v>43</v>
      </c>
      <c r="L115">
        <v>30</v>
      </c>
      <c r="M115">
        <v>40</v>
      </c>
      <c r="N115">
        <v>10</v>
      </c>
      <c r="O115">
        <v>8</v>
      </c>
      <c r="P115">
        <v>114</v>
      </c>
      <c r="Q115">
        <v>20</v>
      </c>
      <c r="R115">
        <v>1</v>
      </c>
      <c r="S115" t="s">
        <v>387</v>
      </c>
      <c r="T115">
        <v>0</v>
      </c>
      <c r="U115" s="2" t="s">
        <v>459</v>
      </c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H115">
        <v>70</v>
      </c>
      <c r="AM115" s="8">
        <f t="shared" si="58"/>
        <v>0</v>
      </c>
      <c r="AV115" t="s">
        <v>364</v>
      </c>
      <c r="AW115">
        <v>1</v>
      </c>
      <c r="BA115" s="2">
        <f>(SQRT(K115*AH115)*POWER((MIN(M115,20)+SQRT(MAX(M115-20,0))),0.9)*Data!$B$1)*(1-(R115-1))</f>
        <v>73.139030669847884</v>
      </c>
      <c r="BB115" s="2">
        <f>(POWER((K115*K115*AH115), 0.33)*LOG10(P115)*10*Data!$B$1)*R115</f>
        <v>75.032082395822727</v>
      </c>
      <c r="BC115" s="2"/>
      <c r="BD115" s="2"/>
      <c r="BE115" s="2">
        <f>IFERROR((SQRT($K115*$AI115)*POWER((MIN($M115,20)+SQRT(MAX($M115-20,0))),0.9)*Data!$B$1)*(1 - (R115-1)),BA115)</f>
        <v>0</v>
      </c>
      <c r="BF115" s="2">
        <f>IFERROR(((POWER(($K115*$K115*$AI115), 0.33)*LOG10($AF115)*10*Data!$B$1)*R115),BB115)</f>
        <v>75.032082395822727</v>
      </c>
      <c r="BG115" s="2">
        <f t="shared" si="50"/>
        <v>34.677419354838712</v>
      </c>
      <c r="BH115" s="2">
        <f t="shared" si="51"/>
        <v>0</v>
      </c>
      <c r="BI115" s="2">
        <f t="shared" si="52"/>
        <v>0</v>
      </c>
      <c r="BJ115" s="2">
        <f t="shared" si="53"/>
        <v>0</v>
      </c>
      <c r="BK115" s="2">
        <v>1</v>
      </c>
      <c r="BL115" s="2">
        <v>1</v>
      </c>
      <c r="BM115" s="2">
        <f t="shared" si="54"/>
        <v>70</v>
      </c>
      <c r="BN115" s="2">
        <f t="shared" si="55"/>
        <v>0</v>
      </c>
      <c r="BO115" s="2">
        <f t="shared" si="45"/>
        <v>-1</v>
      </c>
      <c r="BP115" s="2">
        <f t="shared" si="56"/>
        <v>70</v>
      </c>
      <c r="BQ115" s="2">
        <f t="shared" si="49"/>
        <v>-1</v>
      </c>
      <c r="BR115" s="2">
        <f t="shared" si="57"/>
        <v>-1</v>
      </c>
      <c r="BU115" s="3"/>
      <c r="BV115">
        <f>F115-F114</f>
        <v>5</v>
      </c>
      <c r="BW115" s="2" t="str">
        <f>CONCATENATE(
ROUND(BS115*VLOOKUP(I115,'ID Scheme'!$A$2:$E$7,3),0), "x",
ROUND(BT115*VLOOKUP(I115,'ID Scheme'!$A$2:$E$7,5),0), "x",
ROUND(BU115*VLOOKUP(I115,'ID Scheme'!$A$2:$E$7,4),0))</f>
        <v>0x0x0</v>
      </c>
      <c r="BX115" t="s">
        <v>121</v>
      </c>
    </row>
    <row r="116" spans="1:76" x14ac:dyDescent="0.25">
      <c r="A116" t="s">
        <v>114</v>
      </c>
      <c r="B116" t="s">
        <v>248</v>
      </c>
      <c r="C116" t="s">
        <v>336</v>
      </c>
      <c r="D116">
        <f>IF(F116 &gt; 2020, ((F116-2020)*4)+1610+H116,IF(F116 &gt; 1900, ((F116-1900)*10)+400+H116, ((F116-1730)*2)+H116))+VLOOKUP(I116,'ID Scheme'!$A$2:$B$7,2, FALSE)</f>
        <v>9871</v>
      </c>
      <c r="E116">
        <f>D116+1</f>
        <v>9872</v>
      </c>
      <c r="F116">
        <v>1987</v>
      </c>
      <c r="G116">
        <v>1</v>
      </c>
      <c r="H116">
        <v>1</v>
      </c>
      <c r="I116" t="s">
        <v>104</v>
      </c>
      <c r="J116" t="s">
        <v>549</v>
      </c>
      <c r="K116">
        <v>40</v>
      </c>
      <c r="L116">
        <v>28</v>
      </c>
      <c r="M116">
        <v>25</v>
      </c>
      <c r="N116">
        <v>14</v>
      </c>
      <c r="O116">
        <v>18</v>
      </c>
      <c r="P116">
        <v>375</v>
      </c>
      <c r="Q116">
        <v>20</v>
      </c>
      <c r="R116">
        <v>1</v>
      </c>
      <c r="S116" t="s">
        <v>387</v>
      </c>
      <c r="T116">
        <v>0</v>
      </c>
      <c r="U116" s="2" t="s">
        <v>463</v>
      </c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H116">
        <v>188</v>
      </c>
      <c r="AM116" s="8">
        <f t="shared" si="58"/>
        <v>0</v>
      </c>
      <c r="AP116" t="s">
        <v>398</v>
      </c>
      <c r="AS116" t="s">
        <v>403</v>
      </c>
      <c r="AT116" t="s">
        <v>404</v>
      </c>
      <c r="AU116" t="s">
        <v>405</v>
      </c>
      <c r="AV116" t="s">
        <v>364</v>
      </c>
      <c r="AW116">
        <v>1</v>
      </c>
      <c r="AX116">
        <v>1</v>
      </c>
      <c r="BA116" s="2">
        <f>(SQRT(K116*AH116)*POWER((MIN(M116,20)+SQRT(MAX(M116-20,0))),0.9)*Data!$B$1)*(1-(R116-1))</f>
        <v>106.05285816833118</v>
      </c>
      <c r="BB116" s="2">
        <f>(POWER((K116*K116*AH116), 0.33)*LOG10(P116)*10*Data!$B$1)*R116</f>
        <v>124.02429472574501</v>
      </c>
      <c r="BC116" s="2">
        <v>59</v>
      </c>
      <c r="BD116" s="2">
        <v>41</v>
      </c>
      <c r="BE116" s="2">
        <f>IFERROR((SQRT($K116*$AI116)*POWER((MIN($M116,20)+SQRT(MAX($M116-20,0))),0.9)*Data!$B$1)*(1 - (R116-1)),BA116)</f>
        <v>0</v>
      </c>
      <c r="BF116" s="2">
        <f>IFERROR(((POWER(($K116*$K116*$AI116), 0.33)*LOG10($AF116)*10*Data!$B$1)*R116),BB116)</f>
        <v>124.02429472574501</v>
      </c>
      <c r="BG116" s="2">
        <f t="shared" si="50"/>
        <v>32.258064516129032</v>
      </c>
      <c r="BH116" s="2">
        <f t="shared" si="51"/>
        <v>0</v>
      </c>
      <c r="BI116" s="2">
        <f t="shared" si="52"/>
        <v>0</v>
      </c>
      <c r="BJ116" s="2">
        <f t="shared" si="53"/>
        <v>0</v>
      </c>
      <c r="BK116" s="2">
        <v>4</v>
      </c>
      <c r="BL116" s="2">
        <v>4</v>
      </c>
      <c r="BM116" s="2">
        <f t="shared" si="54"/>
        <v>47</v>
      </c>
      <c r="BN116" s="2">
        <f t="shared" si="55"/>
        <v>0</v>
      </c>
      <c r="BO116" s="2">
        <f t="shared" si="45"/>
        <v>-1</v>
      </c>
      <c r="BP116" s="2">
        <f t="shared" si="56"/>
        <v>62.666666666666664</v>
      </c>
      <c r="BQ116" s="2">
        <f t="shared" si="49"/>
        <v>-1</v>
      </c>
      <c r="BR116" s="2">
        <f t="shared" si="57"/>
        <v>-1</v>
      </c>
      <c r="BS116">
        <v>28</v>
      </c>
      <c r="BT116">
        <v>2.65</v>
      </c>
      <c r="BU116" s="3">
        <v>3.47</v>
      </c>
      <c r="BV116">
        <f>F116-F115</f>
        <v>3</v>
      </c>
      <c r="BW116" s="2" t="str">
        <f>CONCATENATE(
ROUND(BS116*VLOOKUP(I116,'ID Scheme'!$A$2:$E$7,3),0), "x",
ROUND(BT116*VLOOKUP(I116,'ID Scheme'!$A$2:$E$7,5),0), "x",
ROUND(BU116*VLOOKUP(I116,'ID Scheme'!$A$2:$E$7,4),0))</f>
        <v>262x38x34</v>
      </c>
      <c r="BX116" t="s">
        <v>128</v>
      </c>
    </row>
    <row r="117" spans="1:76" x14ac:dyDescent="0.25">
      <c r="A117" t="s">
        <v>126</v>
      </c>
      <c r="B117" t="s">
        <v>243</v>
      </c>
      <c r="C117" t="s">
        <v>336</v>
      </c>
      <c r="D117">
        <f>IF(F117 &gt; 2020, ((F117-2020)*4)+1610+H117,IF(F117 &gt; 1900, ((F117-1900)*10)+400+H117, ((F117-1730)*2)+H117))+VLOOKUP(I117,'ID Scheme'!$A$2:$B$7,2, FALSE)</f>
        <v>9981</v>
      </c>
      <c r="F117">
        <v>1998</v>
      </c>
      <c r="G117">
        <v>9</v>
      </c>
      <c r="H117">
        <v>1</v>
      </c>
      <c r="I117" t="s">
        <v>104</v>
      </c>
      <c r="J117" t="s">
        <v>549</v>
      </c>
      <c r="K117">
        <v>50</v>
      </c>
      <c r="L117">
        <v>-1</v>
      </c>
      <c r="M117">
        <v>25</v>
      </c>
      <c r="N117">
        <v>14</v>
      </c>
      <c r="O117">
        <v>36</v>
      </c>
      <c r="P117">
        <v>480</v>
      </c>
      <c r="Q117">
        <v>20</v>
      </c>
      <c r="R117">
        <v>1</v>
      </c>
      <c r="S117" t="s">
        <v>387</v>
      </c>
      <c r="T117">
        <v>0</v>
      </c>
      <c r="U117" s="2" t="s">
        <v>460</v>
      </c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H117">
        <v>208</v>
      </c>
      <c r="AM117" s="8">
        <f t="shared" si="58"/>
        <v>0</v>
      </c>
      <c r="AP117" t="s">
        <v>398</v>
      </c>
      <c r="AQ117" t="s">
        <v>407</v>
      </c>
      <c r="AS117" s="5">
        <v>104104</v>
      </c>
      <c r="AT117" t="s">
        <v>398</v>
      </c>
      <c r="AU117" t="s">
        <v>402</v>
      </c>
      <c r="AV117" t="s">
        <v>364</v>
      </c>
      <c r="AW117">
        <v>1</v>
      </c>
      <c r="BA117" s="2">
        <f>(SQRT(K117*AH117)*POWER((MIN(M117,20)+SQRT(MAX(M117-20,0))),0.9)*Data!$B$1)*(1-(R117-1))</f>
        <v>124.71828400555908</v>
      </c>
      <c r="BB117" s="2">
        <f>(POWER((K117*K117*AH117), 0.33)*LOG10(P117)*10*Data!$B$1)*R117</f>
        <v>154.76696175306753</v>
      </c>
      <c r="BC117" s="2"/>
      <c r="BD117" s="2"/>
      <c r="BE117" s="2">
        <f>IFERROR((SQRT($K117*$AI117)*POWER((MIN($M117,20)+SQRT(MAX($M117-20,0))),0.9)*Data!$B$1)*(1 - (R117-1)),BA117)</f>
        <v>0</v>
      </c>
      <c r="BF117" s="2">
        <f>IFERROR(((POWER(($K117*$K117*$AI117), 0.33)*LOG10($AF117)*10*Data!$B$1)*R117),BB117)</f>
        <v>154.76696175306753</v>
      </c>
      <c r="BG117" s="2">
        <f t="shared" si="50"/>
        <v>40.322580645161288</v>
      </c>
      <c r="BH117" s="2">
        <f t="shared" si="51"/>
        <v>0</v>
      </c>
      <c r="BI117" s="2">
        <f t="shared" si="52"/>
        <v>0</v>
      </c>
      <c r="BJ117" s="2">
        <f t="shared" si="53"/>
        <v>0</v>
      </c>
      <c r="BK117" s="2">
        <v>2</v>
      </c>
      <c r="BL117" s="2">
        <v>2</v>
      </c>
      <c r="BM117" s="2">
        <f t="shared" si="54"/>
        <v>104</v>
      </c>
      <c r="BN117" s="2">
        <f t="shared" si="55"/>
        <v>0</v>
      </c>
      <c r="BO117" s="2">
        <f t="shared" si="45"/>
        <v>-1</v>
      </c>
      <c r="BP117" s="2">
        <f t="shared" si="56"/>
        <v>208</v>
      </c>
      <c r="BQ117" s="2">
        <f t="shared" si="49"/>
        <v>-1</v>
      </c>
      <c r="BR117" s="2">
        <f t="shared" si="57"/>
        <v>-1</v>
      </c>
      <c r="BS117">
        <v>30</v>
      </c>
      <c r="BT117">
        <v>2.65</v>
      </c>
      <c r="BU117" s="3">
        <v>3.67</v>
      </c>
      <c r="BV117" t="e">
        <f>F117-#REF!</f>
        <v>#REF!</v>
      </c>
      <c r="BW117" s="2" t="str">
        <f>CONCATENATE(
ROUND(BS117*VLOOKUP(I117,'ID Scheme'!$A$2:$E$7,3),0), "x",
ROUND(BT117*VLOOKUP(I117,'ID Scheme'!$A$2:$E$7,5),0), "x",
ROUND(BU117*VLOOKUP(I117,'ID Scheme'!$A$2:$E$7,4),0))</f>
        <v>280x38x36</v>
      </c>
      <c r="BX117" t="s">
        <v>127</v>
      </c>
    </row>
    <row r="118" spans="1:76" x14ac:dyDescent="0.25">
      <c r="A118" t="s">
        <v>115</v>
      </c>
      <c r="B118" t="s">
        <v>247</v>
      </c>
      <c r="C118" t="s">
        <v>336</v>
      </c>
      <c r="D118">
        <f>IF(F118 &gt; 2020, ((F118-2020)*4)+1610+H118,IF(F118 &gt; 1900, ((F118-1900)*10)+400+H118, ((F118-1730)*2)+H118))+VLOOKUP(I118,'ID Scheme'!$A$2:$B$7,2, FALSE)</f>
        <v>10082</v>
      </c>
      <c r="E118">
        <f>D118+1</f>
        <v>10083</v>
      </c>
      <c r="F118">
        <v>2008</v>
      </c>
      <c r="G118">
        <v>1</v>
      </c>
      <c r="H118">
        <v>2</v>
      </c>
      <c r="I118" t="s">
        <v>104</v>
      </c>
      <c r="J118" t="s">
        <v>549</v>
      </c>
      <c r="K118">
        <v>62</v>
      </c>
      <c r="L118">
        <v>-1</v>
      </c>
      <c r="M118">
        <v>25</v>
      </c>
      <c r="N118">
        <v>14</v>
      </c>
      <c r="O118">
        <v>36</v>
      </c>
      <c r="P118">
        <v>375</v>
      </c>
      <c r="Q118">
        <v>20</v>
      </c>
      <c r="R118">
        <v>1</v>
      </c>
      <c r="S118" t="s">
        <v>387</v>
      </c>
      <c r="T118">
        <v>0</v>
      </c>
      <c r="U118" s="2" t="s">
        <v>465</v>
      </c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H118">
        <v>284</v>
      </c>
      <c r="AM118" s="8">
        <f t="shared" si="58"/>
        <v>0</v>
      </c>
      <c r="AP118" t="s">
        <v>398</v>
      </c>
      <c r="AQ118" t="s">
        <v>430</v>
      </c>
      <c r="AS118" t="s">
        <v>409</v>
      </c>
      <c r="AT118" t="s">
        <v>410</v>
      </c>
      <c r="AU118" t="s">
        <v>411</v>
      </c>
      <c r="AV118" t="s">
        <v>364</v>
      </c>
      <c r="AW118">
        <v>1</v>
      </c>
      <c r="AX118">
        <v>1</v>
      </c>
      <c r="BA118" s="2">
        <f>(SQRT(K118*AH118)*POWER((MIN(M118,20)+SQRT(MAX(M118-20,0))),0.9)*Data!$B$1)*(1-(R118-1))</f>
        <v>162.28129769016738</v>
      </c>
      <c r="BB118" s="2">
        <f>(POWER((K118*K118*AH118), 0.33)*LOG10(P118)*10*Data!$B$1)*R118</f>
        <v>189.77921627665754</v>
      </c>
      <c r="BC118" s="2">
        <v>91</v>
      </c>
      <c r="BD118" s="2">
        <v>64</v>
      </c>
      <c r="BE118" s="2">
        <f>IFERROR((SQRT($K118*$AI118)*POWER((MIN($M118,20)+SQRT(MAX($M118-20,0))),0.9)*Data!$B$1)*(1 - (R118-1)),BA118)</f>
        <v>0</v>
      </c>
      <c r="BF118" s="2">
        <f>IFERROR(((POWER(($K118*$K118*$AI118), 0.33)*LOG10($AF118)*10*Data!$B$1)*R118),BB118)</f>
        <v>189.77921627665754</v>
      </c>
      <c r="BG118" s="2">
        <f t="shared" si="50"/>
        <v>50</v>
      </c>
      <c r="BH118" s="2">
        <f t="shared" si="51"/>
        <v>0</v>
      </c>
      <c r="BI118" s="2">
        <f t="shared" si="52"/>
        <v>0</v>
      </c>
      <c r="BJ118" s="2">
        <f t="shared" si="53"/>
        <v>0</v>
      </c>
      <c r="BK118" s="2">
        <v>6</v>
      </c>
      <c r="BL118" s="2">
        <v>6</v>
      </c>
      <c r="BM118" s="2">
        <f t="shared" si="54"/>
        <v>47.333333333333336</v>
      </c>
      <c r="BN118" s="2">
        <f t="shared" si="55"/>
        <v>0</v>
      </c>
      <c r="BO118" s="2">
        <f t="shared" si="45"/>
        <v>-1</v>
      </c>
      <c r="BP118" s="2">
        <f t="shared" si="56"/>
        <v>56.8</v>
      </c>
      <c r="BQ118" s="2">
        <f t="shared" si="49"/>
        <v>-1</v>
      </c>
      <c r="BR118" s="2">
        <f t="shared" si="57"/>
        <v>-1</v>
      </c>
      <c r="BS118">
        <v>32</v>
      </c>
      <c r="BT118">
        <v>2.65</v>
      </c>
      <c r="BU118" s="3">
        <v>3.42</v>
      </c>
      <c r="BV118">
        <f>F118-F117</f>
        <v>10</v>
      </c>
      <c r="BW118" s="2" t="str">
        <f>CONCATENATE(
ROUND(BS118*VLOOKUP(I118,'ID Scheme'!$A$2:$E$7,3),0), "x",
ROUND(BT118*VLOOKUP(I118,'ID Scheme'!$A$2:$E$7,5),0), "x",
ROUND(BU118*VLOOKUP(I118,'ID Scheme'!$A$2:$E$7,4),0))</f>
        <v>299x38x33</v>
      </c>
      <c r="BX118" t="s">
        <v>129</v>
      </c>
    </row>
    <row r="119" spans="1:76" x14ac:dyDescent="0.25">
      <c r="A119" t="s">
        <v>135</v>
      </c>
      <c r="B119" t="s">
        <v>250</v>
      </c>
      <c r="C119" t="s">
        <v>336</v>
      </c>
      <c r="D119">
        <f>IF(F119 &gt; 2020, ((F119-2020)*4)+1610+H119,IF(F119 &gt; 1900, ((F119-1900)*10)+400+H119, ((F119-1730)*2)+H119))+VLOOKUP(I119,'ID Scheme'!$A$2:$B$7,2, FALSE)</f>
        <v>10101</v>
      </c>
      <c r="F119">
        <v>2010</v>
      </c>
      <c r="G119">
        <v>11</v>
      </c>
      <c r="H119">
        <v>1</v>
      </c>
      <c r="I119" t="s">
        <v>104</v>
      </c>
      <c r="J119" t="s">
        <v>549</v>
      </c>
      <c r="K119">
        <v>44</v>
      </c>
      <c r="L119">
        <v>-1</v>
      </c>
      <c r="M119">
        <v>25</v>
      </c>
      <c r="N119">
        <v>14</v>
      </c>
      <c r="O119">
        <v>41</v>
      </c>
      <c r="P119">
        <v>640</v>
      </c>
      <c r="Q119">
        <v>20</v>
      </c>
      <c r="R119">
        <v>1</v>
      </c>
      <c r="S119" t="s">
        <v>387</v>
      </c>
      <c r="T119">
        <v>0</v>
      </c>
      <c r="U119" s="2" t="s">
        <v>461</v>
      </c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H119">
        <v>225</v>
      </c>
      <c r="AM119" s="8">
        <f t="shared" si="58"/>
        <v>0</v>
      </c>
      <c r="AP119" t="s">
        <v>412</v>
      </c>
      <c r="AQ119" t="s">
        <v>431</v>
      </c>
      <c r="AS119" t="s">
        <v>413</v>
      </c>
      <c r="AT119" t="s">
        <v>414</v>
      </c>
      <c r="AU119" t="s">
        <v>415</v>
      </c>
      <c r="AV119" t="s">
        <v>364</v>
      </c>
      <c r="AW119">
        <v>1</v>
      </c>
      <c r="BA119" s="2">
        <f>(SQRT(K119*AH119)*POWER((MIN(M119,20)+SQRT(MAX(M119-20,0))),0.9)*Data!$B$1)*(1-(R119-1))</f>
        <v>121.68332110930714</v>
      </c>
      <c r="BB119" s="2">
        <f>(POWER((K119*K119*AH119), 0.33)*LOG10(P119)*10*Data!$B$1)*R119</f>
        <v>152.78326328641526</v>
      </c>
      <c r="BC119" s="2"/>
      <c r="BD119" s="2"/>
      <c r="BE119" s="2">
        <f>IFERROR((SQRT($K119*$AI119)*POWER((MIN($M119,20)+SQRT(MAX($M119-20,0))),0.9)*Data!$B$1)*(1 - (R119-1)),BA119)</f>
        <v>0</v>
      </c>
      <c r="BF119" s="2">
        <f>IFERROR(((POWER(($K119*$K119*$AI119), 0.33)*LOG10($AF119)*10*Data!$B$1)*R119),BB119)</f>
        <v>152.78326328641526</v>
      </c>
      <c r="BG119" s="2">
        <f t="shared" si="50"/>
        <v>35.483870967741936</v>
      </c>
      <c r="BH119" s="2">
        <f t="shared" si="51"/>
        <v>0</v>
      </c>
      <c r="BI119" s="2">
        <f t="shared" si="52"/>
        <v>0</v>
      </c>
      <c r="BJ119" s="2">
        <f t="shared" si="53"/>
        <v>0</v>
      </c>
      <c r="BK119" s="2">
        <v>5</v>
      </c>
      <c r="BL119" s="2">
        <v>5</v>
      </c>
      <c r="BM119" s="2">
        <f t="shared" si="54"/>
        <v>45</v>
      </c>
      <c r="BN119" s="2">
        <f t="shared" si="55"/>
        <v>0</v>
      </c>
      <c r="BO119" s="2">
        <f t="shared" si="45"/>
        <v>-1</v>
      </c>
      <c r="BP119" s="2">
        <f t="shared" si="56"/>
        <v>56.25</v>
      </c>
      <c r="BQ119" s="2">
        <f t="shared" si="49"/>
        <v>-1</v>
      </c>
      <c r="BR119" s="2">
        <f t="shared" si="57"/>
        <v>-1</v>
      </c>
      <c r="BU119" s="3"/>
      <c r="BV119" t="e">
        <f>F119-#REF!</f>
        <v>#REF!</v>
      </c>
      <c r="BW119" s="2" t="str">
        <f>CONCATENATE(
ROUND(BS119*VLOOKUP(I119,'ID Scheme'!$A$2:$E$7,3),0), "x",
ROUND(BT119*VLOOKUP(I119,'ID Scheme'!$A$2:$E$7,5),0), "x",
ROUND(BU119*VLOOKUP(I119,'ID Scheme'!$A$2:$E$7,4),0))</f>
        <v>0x0x0</v>
      </c>
      <c r="BX119" t="s">
        <v>136</v>
      </c>
    </row>
    <row r="120" spans="1:76" x14ac:dyDescent="0.25">
      <c r="A120" t="s">
        <v>133</v>
      </c>
      <c r="B120" t="s">
        <v>258</v>
      </c>
      <c r="C120" t="s">
        <v>336</v>
      </c>
      <c r="D120">
        <f>IF(F120 &gt; 2020, ((F120-2020)*4)+1610+H120,IF(F120 &gt; 1900, ((F120-1900)*10)+400+H120, ((F120-1730)*2)+H120))+VLOOKUP(I120,'ID Scheme'!$A$2:$B$7,2, FALSE)</f>
        <v>10171</v>
      </c>
      <c r="E120">
        <f>D120+1</f>
        <v>10172</v>
      </c>
      <c r="F120">
        <v>2017</v>
      </c>
      <c r="G120">
        <v>1</v>
      </c>
      <c r="H120">
        <v>1</v>
      </c>
      <c r="I120" t="s">
        <v>104</v>
      </c>
      <c r="J120" t="s">
        <v>549</v>
      </c>
      <c r="K120">
        <v>62</v>
      </c>
      <c r="L120">
        <v>-1</v>
      </c>
      <c r="M120">
        <v>30</v>
      </c>
      <c r="N120">
        <v>12</v>
      </c>
      <c r="O120">
        <v>63</v>
      </c>
      <c r="P120">
        <v>1180</v>
      </c>
      <c r="Q120">
        <v>20</v>
      </c>
      <c r="R120">
        <v>1</v>
      </c>
      <c r="S120" t="s">
        <v>387</v>
      </c>
      <c r="T120">
        <v>0</v>
      </c>
      <c r="U120" s="2" t="s">
        <v>464</v>
      </c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H120">
        <v>238</v>
      </c>
      <c r="AM120" s="8">
        <f t="shared" si="58"/>
        <v>0</v>
      </c>
      <c r="AP120" t="s">
        <v>416</v>
      </c>
      <c r="AQ120" t="s">
        <v>432</v>
      </c>
      <c r="AS120" t="s">
        <v>417</v>
      </c>
      <c r="AT120" t="s">
        <v>416</v>
      </c>
      <c r="AU120" t="s">
        <v>418</v>
      </c>
      <c r="AV120" t="s">
        <v>364</v>
      </c>
      <c r="AW120">
        <v>1</v>
      </c>
      <c r="AY120">
        <v>1</v>
      </c>
      <c r="BA120" s="2">
        <f>(SQRT(K120*AH120)*POWER((MIN(M120,20)+SQRT(MAX(M120-20,0))),0.9)*Data!$B$1)*(1-(R120-1))</f>
        <v>154.11635315507084</v>
      </c>
      <c r="BB120" s="2">
        <f>(POWER((K120*K120*AH120), 0.33)*LOG10(P120)*10*Data!$B$1)*R120</f>
        <v>213.65580865997862</v>
      </c>
      <c r="BC120" s="2">
        <v>86</v>
      </c>
      <c r="BD120" s="2">
        <v>72</v>
      </c>
      <c r="BE120" s="2">
        <f>IFERROR((SQRT($K120*$AI120)*POWER((MIN($M120,20)+SQRT(MAX($M120-20,0))),0.9)*Data!$B$1)*(1 - (R120-1)),BA120)</f>
        <v>0</v>
      </c>
      <c r="BF120" s="2">
        <f>IFERROR(((POWER(($K120*$K120*$AI120), 0.33)*LOG10($AF120)*10*Data!$B$1)*R120),BB120)</f>
        <v>213.65580865997862</v>
      </c>
      <c r="BG120" s="2">
        <f t="shared" si="50"/>
        <v>50</v>
      </c>
      <c r="BH120" s="2">
        <f t="shared" si="51"/>
        <v>0</v>
      </c>
      <c r="BI120" s="2">
        <f t="shared" si="52"/>
        <v>0</v>
      </c>
      <c r="BJ120" s="2">
        <f t="shared" si="53"/>
        <v>0</v>
      </c>
      <c r="BK120" s="2">
        <v>3</v>
      </c>
      <c r="BL120" s="2">
        <v>3</v>
      </c>
      <c r="BM120" s="2">
        <f t="shared" si="54"/>
        <v>79.333333333333329</v>
      </c>
      <c r="BN120" s="2">
        <f t="shared" si="55"/>
        <v>0</v>
      </c>
      <c r="BO120" s="2">
        <f t="shared" si="45"/>
        <v>-1</v>
      </c>
      <c r="BP120" s="2">
        <f t="shared" si="56"/>
        <v>119</v>
      </c>
      <c r="BQ120" s="2">
        <f t="shared" si="49"/>
        <v>-1</v>
      </c>
      <c r="BR120" s="2">
        <f t="shared" si="57"/>
        <v>-1</v>
      </c>
      <c r="BS120">
        <v>37.200000000000003</v>
      </c>
      <c r="BT120">
        <v>2.65</v>
      </c>
      <c r="BU120" s="3">
        <v>3.6</v>
      </c>
      <c r="BV120">
        <f>F120-F119</f>
        <v>7</v>
      </c>
      <c r="BW120" s="2" t="str">
        <f>CONCATENATE(
ROUND(BS120*VLOOKUP(I120,'ID Scheme'!$A$2:$E$7,3),0), "x",
ROUND(BT120*VLOOKUP(I120,'ID Scheme'!$A$2:$E$7,5),0), "x",
ROUND(BU120*VLOOKUP(I120,'ID Scheme'!$A$2:$E$7,4),0))</f>
        <v>347x38x35</v>
      </c>
      <c r="BX120" t="s">
        <v>134</v>
      </c>
    </row>
    <row r="121" spans="1:76" x14ac:dyDescent="0.25">
      <c r="A121" t="s">
        <v>138</v>
      </c>
      <c r="B121" t="s">
        <v>205</v>
      </c>
      <c r="C121" t="s">
        <v>369</v>
      </c>
      <c r="D121">
        <f>IF(F121 &gt; 2020, ((F121-2020)*4)+1610+H121,IF(F121 &gt; 1900, ((F121-1900)*10)+400+H121, ((F121-1730)*2)+H121))+VLOOKUP(I121,'ID Scheme'!$A$2:$B$7,2, FALSE)</f>
        <v>10721</v>
      </c>
      <c r="F121">
        <v>1790</v>
      </c>
      <c r="G121">
        <v>1</v>
      </c>
      <c r="H121">
        <v>1</v>
      </c>
      <c r="I121" t="s">
        <v>137</v>
      </c>
      <c r="J121" t="s">
        <v>548</v>
      </c>
      <c r="K121">
        <v>18</v>
      </c>
      <c r="L121">
        <v>110</v>
      </c>
      <c r="M121">
        <v>12</v>
      </c>
      <c r="N121">
        <v>5</v>
      </c>
      <c r="O121">
        <v>2</v>
      </c>
      <c r="P121">
        <v>15</v>
      </c>
      <c r="Q121">
        <v>20</v>
      </c>
      <c r="R121">
        <v>1</v>
      </c>
      <c r="S121" t="s">
        <v>297</v>
      </c>
      <c r="T121">
        <v>0</v>
      </c>
      <c r="U121" s="2" t="s">
        <v>471</v>
      </c>
      <c r="V121" s="2" t="s">
        <v>343</v>
      </c>
      <c r="W121" s="2"/>
      <c r="X121" s="2" t="s">
        <v>343</v>
      </c>
      <c r="Y121" s="2" t="s">
        <v>343</v>
      </c>
      <c r="Z121" s="2"/>
      <c r="AA121" s="2"/>
      <c r="AB121" s="2"/>
      <c r="AC121" s="2"/>
      <c r="AD121" s="2" t="s">
        <v>419</v>
      </c>
      <c r="AE121" s="2"/>
      <c r="AH121">
        <v>24</v>
      </c>
      <c r="AJ121" s="6">
        <f t="shared" ref="AJ121:AJ126" si="59">AI121*2</f>
        <v>0</v>
      </c>
      <c r="AK121" s="6">
        <f t="shared" ref="AK121:AK126" si="60">(AH121*1.5)-MOD((AH121*1.5), BK120)</f>
        <v>36</v>
      </c>
      <c r="AL121" s="6">
        <f t="shared" ref="AL121:AL126" si="61">(BM121*1.5)-MOD((BM121*1.5), BL121)</f>
        <v>12</v>
      </c>
      <c r="AM121" s="8">
        <f t="shared" si="58"/>
        <v>0</v>
      </c>
      <c r="AT121" t="s">
        <v>441</v>
      </c>
      <c r="AU121" t="s">
        <v>442</v>
      </c>
      <c r="AV121" t="s">
        <v>365</v>
      </c>
      <c r="AW121">
        <v>1</v>
      </c>
      <c r="AZ121" t="s">
        <v>392</v>
      </c>
      <c r="BA121" s="2">
        <f>(SQRT(K121*AH121)*POWER((MIN(M121,20)+SQRT(MAX(M121-20,0))),0.9)*Data!$B$1)*(1-(R121-1))</f>
        <v>14.590368416022624</v>
      </c>
      <c r="BB121" s="2">
        <f>(POWER((K121*K121*AH121), 0.33)*LOG10(P121)*10*Data!$B$1)*R121</f>
        <v>16.961015410572251</v>
      </c>
      <c r="BC121" s="2"/>
      <c r="BD121" s="2"/>
      <c r="BE121" s="2">
        <f>IFERROR((SQRT($K121*$AI121)*POWER((MIN($M121,20)+SQRT(MAX($M121-20,0))),0.9)*Data!$B$1)*(1 - (R121-1)),BA121)</f>
        <v>0</v>
      </c>
      <c r="BF121" s="2">
        <f>IFERROR(((POWER(($K121*$K121*$AI121), 0.33)*LOG10($AF121)*10*Data!$B$1)*R121),BB121)</f>
        <v>16.961015410572251</v>
      </c>
      <c r="BG121" s="2">
        <f t="shared" si="50"/>
        <v>14.516129032258064</v>
      </c>
      <c r="BH121" s="2">
        <f t="shared" si="51"/>
        <v>0</v>
      </c>
      <c r="BI121" s="2">
        <f t="shared" si="52"/>
        <v>0</v>
      </c>
      <c r="BJ121" s="2">
        <f t="shared" si="53"/>
        <v>0</v>
      </c>
      <c r="BK121" s="2">
        <v>3</v>
      </c>
      <c r="BL121" s="2">
        <v>3</v>
      </c>
      <c r="BM121" s="2">
        <f t="shared" si="54"/>
        <v>8</v>
      </c>
      <c r="BN121" s="2">
        <f t="shared" si="55"/>
        <v>0</v>
      </c>
      <c r="BO121" s="2">
        <f t="shared" si="45"/>
        <v>18</v>
      </c>
      <c r="BP121" s="2">
        <f t="shared" si="56"/>
        <v>12</v>
      </c>
      <c r="BQ121" s="2">
        <f t="shared" si="49"/>
        <v>-1</v>
      </c>
      <c r="BR121" s="2">
        <f t="shared" si="57"/>
        <v>-1</v>
      </c>
      <c r="BU121" s="3"/>
      <c r="BV121" t="e">
        <f>F121-#REF!</f>
        <v>#REF!</v>
      </c>
      <c r="BW121" s="2" t="str">
        <f>CONCATENATE(
ROUND(BS121*VLOOKUP(I121,'ID Scheme'!$A$2:$E$7,3),0), "x",
ROUND(BT121*VLOOKUP(I121,'ID Scheme'!$A$2:$E$7,5),0), "x",
ROUND(BU121*VLOOKUP(I121,'ID Scheme'!$A$2:$E$7,4),0))</f>
        <v>0x0x0</v>
      </c>
    </row>
    <row r="122" spans="1:76" x14ac:dyDescent="0.25">
      <c r="A122" t="s">
        <v>140</v>
      </c>
      <c r="B122" t="s">
        <v>241</v>
      </c>
      <c r="C122" t="s">
        <v>369</v>
      </c>
      <c r="D122">
        <f>IF(F122 &gt; 2020, ((F122-2020)*4)+1610+H122,IF(F122 &gt; 1900, ((F122-1900)*10)+400+H122, ((F122-1730)*2)+H122))+VLOOKUP(I122,'ID Scheme'!$A$2:$B$7,2, FALSE)</f>
        <v>10907</v>
      </c>
      <c r="F122">
        <v>1883</v>
      </c>
      <c r="G122">
        <v>1</v>
      </c>
      <c r="H122">
        <v>1</v>
      </c>
      <c r="I122" t="s">
        <v>137</v>
      </c>
      <c r="J122" t="s">
        <v>548</v>
      </c>
      <c r="K122">
        <v>22</v>
      </c>
      <c r="L122">
        <v>30</v>
      </c>
      <c r="M122">
        <v>30</v>
      </c>
      <c r="N122">
        <v>5</v>
      </c>
      <c r="O122">
        <v>19</v>
      </c>
      <c r="P122">
        <v>50</v>
      </c>
      <c r="Q122">
        <v>20</v>
      </c>
      <c r="R122">
        <v>1</v>
      </c>
      <c r="S122" t="s">
        <v>298</v>
      </c>
      <c r="T122">
        <v>-1</v>
      </c>
      <c r="U122" s="2" t="s">
        <v>466</v>
      </c>
      <c r="V122" s="2" t="s">
        <v>343</v>
      </c>
      <c r="W122" s="2"/>
      <c r="X122" s="2" t="s">
        <v>343</v>
      </c>
      <c r="Y122" s="2" t="s">
        <v>343</v>
      </c>
      <c r="Z122" s="2"/>
      <c r="AA122" s="2"/>
      <c r="AB122" s="2"/>
      <c r="AC122" s="2"/>
      <c r="AD122" s="2" t="s">
        <v>419</v>
      </c>
      <c r="AE122" s="2"/>
      <c r="AH122">
        <v>36</v>
      </c>
      <c r="AJ122" s="6">
        <f t="shared" si="59"/>
        <v>0</v>
      </c>
      <c r="AK122" s="6">
        <f t="shared" si="60"/>
        <v>54</v>
      </c>
      <c r="AL122" s="6">
        <f t="shared" si="61"/>
        <v>12</v>
      </c>
      <c r="AM122" s="8">
        <f t="shared" si="58"/>
        <v>0</v>
      </c>
      <c r="AQ122">
        <v>1</v>
      </c>
      <c r="AT122" t="s">
        <v>426</v>
      </c>
      <c r="AU122" t="s">
        <v>434</v>
      </c>
      <c r="AV122" t="s">
        <v>365</v>
      </c>
      <c r="AW122">
        <v>1</v>
      </c>
      <c r="BA122" s="2">
        <f>(SQRT(K122*AH122)*POWER((MIN(M122,20)+SQRT(MAX(M122-20,0))),0.9)*Data!$B$1)*(1-(R122-1))</f>
        <v>35.704831781745895</v>
      </c>
      <c r="BB122" s="2">
        <f>(POWER((K122*K122*AH122), 0.33)*LOG10(P122)*10*Data!$B$1)*R122</f>
        <v>31.97612031589599</v>
      </c>
      <c r="BC122" s="2"/>
      <c r="BD122" s="2"/>
      <c r="BE122" s="2">
        <f>IFERROR((SQRT($K122*$AI122)*POWER((MIN($M122,20)+SQRT(MAX($M122-20,0))),0.9)*Data!$B$1)*(1 - (R122-1)),BA122)</f>
        <v>0</v>
      </c>
      <c r="BF122" s="2">
        <f>IFERROR(((POWER(($K122*$K122*$AI122), 0.33)*LOG10($AF122)*10*Data!$B$1)*R122),BB122)</f>
        <v>31.97612031589599</v>
      </c>
      <c r="BG122" s="2">
        <f t="shared" si="50"/>
        <v>17.741935483870968</v>
      </c>
      <c r="BH122" s="2">
        <f t="shared" si="51"/>
        <v>0</v>
      </c>
      <c r="BI122" s="2">
        <f t="shared" si="52"/>
        <v>0</v>
      </c>
      <c r="BJ122" s="2">
        <f t="shared" si="53"/>
        <v>0</v>
      </c>
      <c r="BK122" s="2">
        <v>4</v>
      </c>
      <c r="BL122" s="2">
        <v>4</v>
      </c>
      <c r="BM122" s="2">
        <f t="shared" si="54"/>
        <v>9</v>
      </c>
      <c r="BN122" s="2">
        <f t="shared" si="55"/>
        <v>0</v>
      </c>
      <c r="BO122" s="2">
        <f t="shared" si="45"/>
        <v>18</v>
      </c>
      <c r="BP122" s="2">
        <f t="shared" si="56"/>
        <v>12</v>
      </c>
      <c r="BQ122" s="2">
        <f t="shared" si="49"/>
        <v>-1</v>
      </c>
      <c r="BR122" s="2">
        <f t="shared" si="57"/>
        <v>-1</v>
      </c>
      <c r="BS122">
        <v>6</v>
      </c>
      <c r="BU122" s="3"/>
      <c r="BV122">
        <f>F122-F121</f>
        <v>93</v>
      </c>
      <c r="BW122" s="2" t="str">
        <f>CONCATENATE(
ROUND(BS122*VLOOKUP(I122,'ID Scheme'!$A$2:$E$7,3),0), "x",
ROUND(BT122*VLOOKUP(I122,'ID Scheme'!$A$2:$E$7,5),0), "x",
ROUND(BU122*VLOOKUP(I122,'ID Scheme'!$A$2:$E$7,4),0))</f>
        <v>56x0x0</v>
      </c>
    </row>
    <row r="123" spans="1:76" x14ac:dyDescent="0.25">
      <c r="A123" t="s">
        <v>139</v>
      </c>
      <c r="B123" t="s">
        <v>239</v>
      </c>
      <c r="C123" t="s">
        <v>369</v>
      </c>
      <c r="D123">
        <f>IF(F123 &gt; 2020, ((F123-2020)*4)+1610+H123,IF(F123 &gt; 1900, ((F123-1900)*10)+400+H123, ((F123-1730)*2)+H123))+VLOOKUP(I123,'ID Scheme'!$A$2:$B$7,2, FALSE)</f>
        <v>11031</v>
      </c>
      <c r="F123">
        <v>1903</v>
      </c>
      <c r="G123">
        <v>1</v>
      </c>
      <c r="H123">
        <v>1</v>
      </c>
      <c r="I123" t="s">
        <v>137</v>
      </c>
      <c r="J123" t="s">
        <v>548</v>
      </c>
      <c r="K123">
        <v>22</v>
      </c>
      <c r="L123">
        <v>30</v>
      </c>
      <c r="M123">
        <v>30</v>
      </c>
      <c r="N123">
        <v>5</v>
      </c>
      <c r="O123">
        <v>24</v>
      </c>
      <c r="P123">
        <v>60</v>
      </c>
      <c r="Q123">
        <v>20</v>
      </c>
      <c r="R123">
        <v>1</v>
      </c>
      <c r="S123" t="s">
        <v>298</v>
      </c>
      <c r="T123">
        <v>-1</v>
      </c>
      <c r="U123" s="2" t="s">
        <v>467</v>
      </c>
      <c r="V123" s="2" t="s">
        <v>343</v>
      </c>
      <c r="W123" s="2"/>
      <c r="X123" s="2" t="s">
        <v>343</v>
      </c>
      <c r="Y123" s="2" t="s">
        <v>343</v>
      </c>
      <c r="Z123" s="2"/>
      <c r="AA123" s="2"/>
      <c r="AB123" s="2"/>
      <c r="AC123" s="2"/>
      <c r="AD123" s="2" t="s">
        <v>419</v>
      </c>
      <c r="AE123" s="2"/>
      <c r="AH123">
        <v>60</v>
      </c>
      <c r="AJ123" s="6">
        <f t="shared" si="59"/>
        <v>0</v>
      </c>
      <c r="AK123" s="6">
        <f t="shared" si="60"/>
        <v>88</v>
      </c>
      <c r="AL123" s="6">
        <f t="shared" si="61"/>
        <v>12</v>
      </c>
      <c r="AM123" s="8">
        <f t="shared" si="58"/>
        <v>0</v>
      </c>
      <c r="AQ123">
        <v>1</v>
      </c>
      <c r="AT123" t="s">
        <v>425</v>
      </c>
      <c r="AU123" t="s">
        <v>435</v>
      </c>
      <c r="AV123" t="s">
        <v>365</v>
      </c>
      <c r="AW123">
        <v>1</v>
      </c>
      <c r="BA123" s="2">
        <f>(SQRT(K123*AH123)*POWER((MIN(M123,20)+SQRT(MAX(M123-20,0))),0.9)*Data!$B$1)*(1-(R123-1))</f>
        <v>46.094739623279715</v>
      </c>
      <c r="BB123" s="2">
        <f>(POWER((K123*K123*AH123), 0.33)*LOG10(P123)*10*Data!$B$1)*R123</f>
        <v>39.61127712007552</v>
      </c>
      <c r="BC123" s="2"/>
      <c r="BD123" s="2"/>
      <c r="BE123" s="2">
        <f>IFERROR((SQRT($K123*$AI123)*POWER((MIN($M123,20)+SQRT(MAX($M123-20,0))),0.9)*Data!$B$1)*(1 - (R123-1)),BA123)</f>
        <v>0</v>
      </c>
      <c r="BF123" s="2">
        <f>IFERROR(((POWER(($K123*$K123*$AI123), 0.33)*LOG10($AF123)*10*Data!$B$1)*R123),BB123)</f>
        <v>39.61127712007552</v>
      </c>
      <c r="BG123" s="2">
        <f t="shared" si="50"/>
        <v>17.741935483870968</v>
      </c>
      <c r="BH123" s="2">
        <f t="shared" si="51"/>
        <v>0</v>
      </c>
      <c r="BI123" s="2">
        <f t="shared" si="52"/>
        <v>0</v>
      </c>
      <c r="BJ123" s="2">
        <f t="shared" si="53"/>
        <v>0</v>
      </c>
      <c r="BK123" s="2">
        <v>6</v>
      </c>
      <c r="BL123" s="2">
        <v>6</v>
      </c>
      <c r="BM123" s="2">
        <f t="shared" si="54"/>
        <v>10</v>
      </c>
      <c r="BN123" s="2">
        <f t="shared" si="55"/>
        <v>0</v>
      </c>
      <c r="BO123" s="2">
        <f t="shared" si="45"/>
        <v>17.600000000000001</v>
      </c>
      <c r="BP123" s="2">
        <f t="shared" si="56"/>
        <v>12</v>
      </c>
      <c r="BQ123" s="2">
        <f t="shared" si="49"/>
        <v>-1</v>
      </c>
      <c r="BR123" s="2">
        <f t="shared" si="57"/>
        <v>-1</v>
      </c>
      <c r="BS123">
        <v>6</v>
      </c>
      <c r="BU123" s="3"/>
      <c r="BV123">
        <f>F123-F122</f>
        <v>20</v>
      </c>
      <c r="BW123" s="2" t="str">
        <f>CONCATENATE(
ROUND(BS123*VLOOKUP(I123,'ID Scheme'!$A$2:$E$7,3),0), "x",
ROUND(BT123*VLOOKUP(I123,'ID Scheme'!$A$2:$E$7,5),0), "x",
ROUND(BU123*VLOOKUP(I123,'ID Scheme'!$A$2:$E$7,4),0))</f>
        <v>56x0x0</v>
      </c>
    </row>
    <row r="124" spans="1:76" x14ac:dyDescent="0.25">
      <c r="A124" t="s">
        <v>141</v>
      </c>
      <c r="B124" t="s">
        <v>240</v>
      </c>
      <c r="C124" t="s">
        <v>369</v>
      </c>
      <c r="D124">
        <f>IF(F124 &gt; 2020, ((F124-2020)*4)+1610+H124,IF(F124 &gt; 1900, ((F124-1900)*10)+400+H124, ((F124-1730)*2)+H124))+VLOOKUP(I124,'ID Scheme'!$A$2:$B$7,2, FALSE)</f>
        <v>11301</v>
      </c>
      <c r="F124">
        <v>1930</v>
      </c>
      <c r="G124">
        <v>9</v>
      </c>
      <c r="H124">
        <v>1</v>
      </c>
      <c r="I124" t="s">
        <v>137</v>
      </c>
      <c r="J124" t="s">
        <v>548</v>
      </c>
      <c r="K124">
        <v>24</v>
      </c>
      <c r="L124">
        <v>32</v>
      </c>
      <c r="M124">
        <v>26</v>
      </c>
      <c r="N124">
        <v>5</v>
      </c>
      <c r="O124">
        <v>24</v>
      </c>
      <c r="P124">
        <v>200</v>
      </c>
      <c r="Q124">
        <v>20</v>
      </c>
      <c r="R124">
        <v>1</v>
      </c>
      <c r="S124" t="s">
        <v>298</v>
      </c>
      <c r="T124">
        <v>0</v>
      </c>
      <c r="U124" s="2" t="s">
        <v>468</v>
      </c>
      <c r="V124" s="2" t="s">
        <v>343</v>
      </c>
      <c r="W124" s="2"/>
      <c r="X124" s="2" t="s">
        <v>343</v>
      </c>
      <c r="Y124" s="2" t="s">
        <v>343</v>
      </c>
      <c r="Z124" s="2"/>
      <c r="AA124" s="2"/>
      <c r="AB124" s="2"/>
      <c r="AC124" s="2"/>
      <c r="AD124" s="2" t="s">
        <v>419</v>
      </c>
      <c r="AE124" s="2"/>
      <c r="AH124">
        <v>60</v>
      </c>
      <c r="AJ124" s="6">
        <f t="shared" si="59"/>
        <v>0</v>
      </c>
      <c r="AK124" s="6">
        <f t="shared" si="60"/>
        <v>90</v>
      </c>
      <c r="AL124" s="6">
        <f t="shared" si="61"/>
        <v>12</v>
      </c>
      <c r="AM124" s="8">
        <f t="shared" si="58"/>
        <v>0</v>
      </c>
      <c r="AQ124">
        <v>1</v>
      </c>
      <c r="AT124" t="s">
        <v>425</v>
      </c>
      <c r="AU124" t="s">
        <v>436</v>
      </c>
      <c r="AV124" t="s">
        <v>365</v>
      </c>
      <c r="AW124">
        <v>1</v>
      </c>
      <c r="BA124" s="2">
        <f>(SQRT(K124*AH124)*POWER((MIN(M124,20)+SQRT(MAX(M124-20,0))),0.9)*Data!$B$1)*(1-(R124-1))</f>
        <v>46.808889320396581</v>
      </c>
      <c r="BB124" s="2">
        <f>(POWER((K124*K124*AH124), 0.33)*LOG10(P124)*10*Data!$B$1)*R124</f>
        <v>54.289129200123334</v>
      </c>
      <c r="BC124" s="2"/>
      <c r="BD124" s="2"/>
      <c r="BE124" s="2">
        <f>IFERROR((SQRT($K124*$AI124)*POWER((MIN($M124,20)+SQRT(MAX($M124-20,0))),0.9)*Data!$B$1)*(1 - (R124-1)),BA124)</f>
        <v>0</v>
      </c>
      <c r="BF124" s="2">
        <f>IFERROR(((POWER(($K124*$K124*$AI124), 0.33)*LOG10($AF124)*10*Data!$B$1)*R124),BB124)</f>
        <v>54.289129200123334</v>
      </c>
      <c r="BG124" s="2">
        <f t="shared" si="50"/>
        <v>19.35483870967742</v>
      </c>
      <c r="BH124" s="2">
        <f t="shared" si="51"/>
        <v>0</v>
      </c>
      <c r="BI124" s="2">
        <f t="shared" si="52"/>
        <v>0</v>
      </c>
      <c r="BJ124" s="2">
        <f t="shared" si="53"/>
        <v>0</v>
      </c>
      <c r="BK124" s="2">
        <v>6</v>
      </c>
      <c r="BL124" s="2">
        <v>6</v>
      </c>
      <c r="BM124" s="2">
        <f t="shared" si="54"/>
        <v>10</v>
      </c>
      <c r="BN124" s="2">
        <f t="shared" si="55"/>
        <v>0</v>
      </c>
      <c r="BO124" s="2">
        <f t="shared" si="45"/>
        <v>18</v>
      </c>
      <c r="BP124" s="2">
        <f t="shared" si="56"/>
        <v>12</v>
      </c>
      <c r="BQ124" s="2">
        <f t="shared" si="49"/>
        <v>-1</v>
      </c>
      <c r="BR124" s="2">
        <f t="shared" si="57"/>
        <v>-1</v>
      </c>
      <c r="BS124">
        <v>7</v>
      </c>
      <c r="BU124" s="3"/>
      <c r="BV124">
        <f>F124-F123</f>
        <v>27</v>
      </c>
      <c r="BW124" s="2" t="str">
        <f>CONCATENATE(
ROUND(BS124*VLOOKUP(I124,'ID Scheme'!$A$2:$E$7,3),0), "x",
ROUND(BT124*VLOOKUP(I124,'ID Scheme'!$A$2:$E$7,5),0), "x",
ROUND(BU124*VLOOKUP(I124,'ID Scheme'!$A$2:$E$7,4),0))</f>
        <v>65x0x0</v>
      </c>
    </row>
    <row r="125" spans="1:76" x14ac:dyDescent="0.25">
      <c r="A125" t="s">
        <v>143</v>
      </c>
      <c r="B125" t="s">
        <v>238</v>
      </c>
      <c r="C125" t="s">
        <v>369</v>
      </c>
      <c r="D125">
        <f>IF(F125 &gt; 2020, ((F125-2020)*4)+1610+H125,IF(F125 &gt; 1900, ((F125-1900)*10)+400+H125, ((F125-1730)*2)+H125))+VLOOKUP(I125,'ID Scheme'!$A$2:$B$7,2, FALSE)</f>
        <v>11481</v>
      </c>
      <c r="F125">
        <v>1948</v>
      </c>
      <c r="G125">
        <v>1</v>
      </c>
      <c r="H125">
        <v>1</v>
      </c>
      <c r="I125" t="s">
        <v>137</v>
      </c>
      <c r="J125" t="s">
        <v>548</v>
      </c>
      <c r="K125">
        <v>25</v>
      </c>
      <c r="L125">
        <v>-1</v>
      </c>
      <c r="M125">
        <v>30</v>
      </c>
      <c r="N125">
        <v>5</v>
      </c>
      <c r="O125">
        <v>22</v>
      </c>
      <c r="P125">
        <v>123</v>
      </c>
      <c r="Q125">
        <v>20</v>
      </c>
      <c r="R125">
        <v>1</v>
      </c>
      <c r="S125" t="s">
        <v>299</v>
      </c>
      <c r="T125">
        <v>-1</v>
      </c>
      <c r="U125" s="2" t="s">
        <v>470</v>
      </c>
      <c r="V125" s="2" t="s">
        <v>343</v>
      </c>
      <c r="W125" s="2"/>
      <c r="X125" s="2" t="s">
        <v>343</v>
      </c>
      <c r="Y125" s="2" t="s">
        <v>343</v>
      </c>
      <c r="Z125" s="2"/>
      <c r="AA125" s="2"/>
      <c r="AB125" s="2"/>
      <c r="AC125" s="2"/>
      <c r="AD125" s="2" t="s">
        <v>419</v>
      </c>
      <c r="AE125" s="2"/>
      <c r="AH125">
        <v>60</v>
      </c>
      <c r="AJ125" s="6">
        <f t="shared" si="59"/>
        <v>0</v>
      </c>
      <c r="AK125" s="6">
        <f t="shared" si="60"/>
        <v>90</v>
      </c>
      <c r="AL125" s="6">
        <f t="shared" si="61"/>
        <v>12</v>
      </c>
      <c r="AM125" s="8">
        <f t="shared" si="58"/>
        <v>0</v>
      </c>
      <c r="AQ125">
        <v>1</v>
      </c>
      <c r="AT125" t="s">
        <v>425</v>
      </c>
      <c r="AU125" t="s">
        <v>435</v>
      </c>
      <c r="AV125" t="s">
        <v>365</v>
      </c>
      <c r="AW125">
        <v>1</v>
      </c>
      <c r="BA125" s="2">
        <f>(SQRT(K125*AH125)*POWER((MIN(M125,20)+SQRT(MAX(M125-20,0))),0.9)*Data!$B$1)*(1-(R125-1))</f>
        <v>49.137157539542891</v>
      </c>
      <c r="BB125" s="2">
        <f>(POWER((K125*K125*AH125), 0.33)*LOG10(P125)*10*Data!$B$1)*R125</f>
        <v>50.654513648978117</v>
      </c>
      <c r="BC125" s="2"/>
      <c r="BD125" s="2"/>
      <c r="BE125" s="2">
        <f>IFERROR((SQRT($K125*$AI125)*POWER((MIN($M125,20)+SQRT(MAX($M125-20,0))),0.9)*Data!$B$1)*(1 - (R125-1)),BA125)</f>
        <v>0</v>
      </c>
      <c r="BF125" s="2">
        <f>IFERROR(((POWER(($K125*$K125*$AI125), 0.33)*LOG10($AF125)*10*Data!$B$1)*R125),BB125)</f>
        <v>50.654513648978117</v>
      </c>
      <c r="BG125" s="2">
        <f t="shared" si="50"/>
        <v>20.161290322580644</v>
      </c>
      <c r="BH125" s="2">
        <f t="shared" si="51"/>
        <v>0</v>
      </c>
      <c r="BI125" s="2">
        <f t="shared" si="52"/>
        <v>0</v>
      </c>
      <c r="BJ125" s="2">
        <f t="shared" si="53"/>
        <v>0</v>
      </c>
      <c r="BK125" s="2">
        <v>6</v>
      </c>
      <c r="BL125" s="2">
        <v>6</v>
      </c>
      <c r="BM125" s="2">
        <f t="shared" si="54"/>
        <v>10</v>
      </c>
      <c r="BN125" s="2">
        <f t="shared" si="55"/>
        <v>0</v>
      </c>
      <c r="BO125" s="2">
        <f t="shared" si="45"/>
        <v>18</v>
      </c>
      <c r="BP125" s="2">
        <f t="shared" si="56"/>
        <v>12</v>
      </c>
      <c r="BQ125" s="2">
        <f t="shared" si="49"/>
        <v>-1</v>
      </c>
      <c r="BR125" s="2">
        <f t="shared" si="57"/>
        <v>-1</v>
      </c>
      <c r="BS125">
        <v>6</v>
      </c>
      <c r="BU125" s="3"/>
      <c r="BV125">
        <f>F125-F124</f>
        <v>18</v>
      </c>
      <c r="BW125" s="2" t="str">
        <f>CONCATENATE(
ROUND(BS125*VLOOKUP(I125,'ID Scheme'!$A$2:$E$7,3),0), "x",
ROUND(BT125*VLOOKUP(I125,'ID Scheme'!$A$2:$E$7,5),0), "x",
ROUND(BU125*VLOOKUP(I125,'ID Scheme'!$A$2:$E$7,4),0))</f>
        <v>56x0x0</v>
      </c>
    </row>
    <row r="126" spans="1:76" x14ac:dyDescent="0.25">
      <c r="A126" t="s">
        <v>142</v>
      </c>
      <c r="B126" t="s">
        <v>237</v>
      </c>
      <c r="C126" t="s">
        <v>369</v>
      </c>
      <c r="D126">
        <f>IF(F126 &gt; 2020, ((F126-2020)*4)+1610+H126,IF(F126 &gt; 1900, ((F126-1900)*10)+400+H126, ((F126-1730)*2)+H126))+VLOOKUP(I126,'ID Scheme'!$A$2:$B$7,2, FALSE)</f>
        <v>11522</v>
      </c>
      <c r="F126">
        <v>1952</v>
      </c>
      <c r="G126">
        <v>1</v>
      </c>
      <c r="H126">
        <v>2</v>
      </c>
      <c r="I126" t="s">
        <v>137</v>
      </c>
      <c r="J126" t="s">
        <v>548</v>
      </c>
      <c r="K126">
        <v>27</v>
      </c>
      <c r="L126">
        <v>-1</v>
      </c>
      <c r="M126">
        <v>26</v>
      </c>
      <c r="N126">
        <v>5</v>
      </c>
      <c r="O126">
        <v>31</v>
      </c>
      <c r="P126">
        <v>152</v>
      </c>
      <c r="Q126">
        <v>20</v>
      </c>
      <c r="R126">
        <v>1</v>
      </c>
      <c r="S126" t="s">
        <v>299</v>
      </c>
      <c r="T126">
        <v>-1</v>
      </c>
      <c r="U126" s="2" t="s">
        <v>469</v>
      </c>
      <c r="V126" s="2" t="s">
        <v>343</v>
      </c>
      <c r="W126" s="2"/>
      <c r="X126" s="2" t="s">
        <v>343</v>
      </c>
      <c r="Y126" s="2" t="s">
        <v>343</v>
      </c>
      <c r="Z126" s="2"/>
      <c r="AA126" s="2"/>
      <c r="AB126" s="2"/>
      <c r="AC126" s="2"/>
      <c r="AD126" s="2" t="s">
        <v>419</v>
      </c>
      <c r="AE126" s="2"/>
      <c r="AH126">
        <v>60</v>
      </c>
      <c r="AJ126" s="6">
        <f t="shared" si="59"/>
        <v>0</v>
      </c>
      <c r="AK126" s="6">
        <f t="shared" si="60"/>
        <v>90</v>
      </c>
      <c r="AL126" s="6">
        <f t="shared" si="61"/>
        <v>12</v>
      </c>
      <c r="AM126" s="8">
        <f t="shared" si="58"/>
        <v>0</v>
      </c>
      <c r="AQ126">
        <v>1</v>
      </c>
      <c r="AT126" t="s">
        <v>425</v>
      </c>
      <c r="AU126" t="s">
        <v>436</v>
      </c>
      <c r="AV126" t="s">
        <v>365</v>
      </c>
      <c r="AW126">
        <v>1</v>
      </c>
      <c r="BA126" s="2">
        <f>(SQRT(K126*AH126)*POWER((MIN(M126,20)+SQRT(MAX(M126-20,0))),0.9)*Data!$B$1)*(1-(R126-1))</f>
        <v>49.648324587394477</v>
      </c>
      <c r="BB126" s="2">
        <f>(POWER((K126*K126*AH126), 0.33)*LOG10(P126)*10*Data!$B$1)*R126</f>
        <v>55.638430948840913</v>
      </c>
      <c r="BC126" s="2"/>
      <c r="BD126" s="2"/>
      <c r="BE126" s="2">
        <f>IFERROR((SQRT($K126*$AI126)*POWER((MIN($M126,20)+SQRT(MAX($M126-20,0))),0.9)*Data!$B$1)*(1 - (R126-1)),BA126)</f>
        <v>0</v>
      </c>
      <c r="BF126" s="2">
        <f>IFERROR(((POWER(($K126*$K126*$AI126), 0.33)*LOG10($AF126)*10*Data!$B$1)*R126),BB126)</f>
        <v>55.638430948840913</v>
      </c>
      <c r="BG126" s="2">
        <f t="shared" si="50"/>
        <v>21.774193548387096</v>
      </c>
      <c r="BH126" s="2">
        <f t="shared" si="51"/>
        <v>0</v>
      </c>
      <c r="BI126" s="2">
        <f t="shared" si="52"/>
        <v>0</v>
      </c>
      <c r="BJ126" s="2">
        <f t="shared" si="53"/>
        <v>0</v>
      </c>
      <c r="BK126" s="2">
        <v>6</v>
      </c>
      <c r="BL126" s="2">
        <v>6</v>
      </c>
      <c r="BM126" s="2">
        <f t="shared" si="54"/>
        <v>10</v>
      </c>
      <c r="BN126" s="2">
        <f t="shared" si="55"/>
        <v>0</v>
      </c>
      <c r="BO126" s="2">
        <f t="shared" si="45"/>
        <v>18</v>
      </c>
      <c r="BP126" s="2">
        <f t="shared" si="56"/>
        <v>12</v>
      </c>
      <c r="BQ126" s="2">
        <f t="shared" si="49"/>
        <v>-1</v>
      </c>
      <c r="BR126" s="2">
        <f t="shared" si="57"/>
        <v>-1</v>
      </c>
      <c r="BS126">
        <v>7</v>
      </c>
      <c r="BU126" s="3"/>
      <c r="BV126">
        <f>F126-F125</f>
        <v>4</v>
      </c>
      <c r="BW126" s="2" t="str">
        <f>CONCATENATE(
ROUND(BS126*VLOOKUP(I126,'ID Scheme'!$A$2:$E$7,3),0), "x",
ROUND(BT126*VLOOKUP(I126,'ID Scheme'!$A$2:$E$7,5),0), "x",
ROUND(BU126*VLOOKUP(I126,'ID Scheme'!$A$2:$E$7,4),0))</f>
        <v>65x0x0</v>
      </c>
    </row>
  </sheetData>
  <autoFilter ref="A1:BX126" xr:uid="{56F55A87-583C-464E-B7D6-67124107F553}">
    <sortState xmlns:xlrd2="http://schemas.microsoft.com/office/spreadsheetml/2017/richdata2" ref="A2:BX126">
      <sortCondition ref="D1:D125"/>
    </sortState>
  </autoFilter>
  <sortState xmlns:xlrd2="http://schemas.microsoft.com/office/spreadsheetml/2017/richdata2" ref="A2:BX126">
    <sortCondition ref="D54"/>
  </sortState>
  <conditionalFormatting sqref="BV2:BV3 BV42:BV53 BV55:BV58 BV60:BV1048576 BV5:BV40">
    <cfRule type="cellIs" dxfId="4" priority="17" operator="greaterThan">
      <formula>10</formula>
    </cfRule>
  </conditionalFormatting>
  <conditionalFormatting sqref="BV4">
    <cfRule type="cellIs" dxfId="3" priority="4" operator="greaterThan">
      <formula>10</formula>
    </cfRule>
  </conditionalFormatting>
  <conditionalFormatting sqref="BV41">
    <cfRule type="cellIs" dxfId="2" priority="3" operator="greaterThan">
      <formula>10</formula>
    </cfRule>
  </conditionalFormatting>
  <conditionalFormatting sqref="BV54">
    <cfRule type="cellIs" dxfId="1" priority="2" operator="greaterThan">
      <formula>10</formula>
    </cfRule>
  </conditionalFormatting>
  <conditionalFormatting sqref="BV59">
    <cfRule type="cellIs" dxfId="0" priority="1" operator="greaterThan">
      <formula>10</formula>
    </cfRule>
  </conditionalFormatting>
  <dataValidations count="1">
    <dataValidation showDropDown="1" showInputMessage="1" showErrorMessage="1" sqref="J1:J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 Kimber</cp:lastModifiedBy>
  <dcterms:created xsi:type="dcterms:W3CDTF">2015-06-05T18:17:20Z</dcterms:created>
  <dcterms:modified xsi:type="dcterms:W3CDTF">2020-12-19T15:54:35Z</dcterms:modified>
</cp:coreProperties>
</file>