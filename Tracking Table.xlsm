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4EBD3C0F-3C5B-4456-9BF1-9B3DB6778B2B}" xr6:coauthVersionLast="45" xr6:coauthVersionMax="45" xr10:uidLastSave="{00000000-0000-0000-0000-000000000000}"/>
  <bookViews>
    <workbookView xWindow="720" yWindow="3315" windowWidth="28050" windowHeight="1117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table!$A$1:$BW$125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N45" i="1" l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AJ125" i="1"/>
  <c r="AJ124" i="1"/>
  <c r="AJ123" i="1"/>
  <c r="AJ122" i="1"/>
  <c r="AJ121" i="1"/>
  <c r="AJ120" i="1"/>
  <c r="AJ80" i="1"/>
  <c r="AJ78" i="1"/>
  <c r="AJ76" i="1"/>
  <c r="AJ75" i="1"/>
  <c r="AJ74" i="1"/>
  <c r="AJ72" i="1"/>
  <c r="AJ71" i="1"/>
  <c r="AJ69" i="1"/>
  <c r="AJ67" i="1"/>
  <c r="AJ66" i="1"/>
  <c r="AJ65" i="1"/>
  <c r="AJ79" i="1"/>
  <c r="AJ77" i="1"/>
  <c r="AJ73" i="1"/>
  <c r="AJ70" i="1"/>
  <c r="AJ68" i="1"/>
  <c r="AJ64" i="1"/>
  <c r="AJ63" i="1"/>
  <c r="AJ62" i="1"/>
  <c r="AJ61" i="1"/>
  <c r="AJ60" i="1"/>
  <c r="AJ59" i="1"/>
  <c r="AJ58" i="1"/>
  <c r="AJ57" i="1"/>
  <c r="AJ56" i="1"/>
  <c r="AJ55" i="1"/>
  <c r="AJ53" i="1"/>
  <c r="AJ52" i="1"/>
  <c r="AJ51" i="1"/>
  <c r="AJ50" i="1"/>
  <c r="AJ49" i="1"/>
  <c r="AJ48" i="1"/>
  <c r="AJ47" i="1"/>
  <c r="AJ46" i="1"/>
  <c r="AK125" i="1"/>
  <c r="AK124" i="1"/>
  <c r="AK123" i="1"/>
  <c r="AK122" i="1"/>
  <c r="AK121" i="1"/>
  <c r="AK120" i="1"/>
  <c r="AK80" i="1"/>
  <c r="AK78" i="1"/>
  <c r="AK76" i="1"/>
  <c r="AK75" i="1"/>
  <c r="AK74" i="1"/>
  <c r="AK72" i="1"/>
  <c r="AK71" i="1"/>
  <c r="AK69" i="1"/>
  <c r="AK67" i="1"/>
  <c r="AK66" i="1"/>
  <c r="AK65" i="1"/>
  <c r="AK62" i="1"/>
  <c r="AK61" i="1"/>
  <c r="AK60" i="1"/>
  <c r="AK59" i="1"/>
  <c r="AK58" i="1"/>
  <c r="AK56" i="1"/>
  <c r="AK55" i="1"/>
  <c r="AK53" i="1"/>
  <c r="AK52" i="1"/>
  <c r="AK51" i="1"/>
  <c r="AK50" i="1"/>
  <c r="AK49" i="1"/>
  <c r="AK48" i="1"/>
  <c r="AK46" i="1"/>
  <c r="AK47" i="1"/>
  <c r="AJ45" i="1"/>
  <c r="AJ44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44" i="1"/>
  <c r="BM44" i="1"/>
  <c r="AK79" i="1" l="1"/>
  <c r="AK77" i="1"/>
  <c r="AK73" i="1"/>
  <c r="AK70" i="1"/>
  <c r="AK68" i="1"/>
  <c r="AK64" i="1"/>
  <c r="AK63" i="1"/>
  <c r="AK57" i="1"/>
  <c r="AK45" i="1"/>
  <c r="AK44" i="1"/>
  <c r="AI79" i="1"/>
  <c r="AI77" i="1"/>
  <c r="AI73" i="1"/>
  <c r="AI70" i="1"/>
  <c r="AI68" i="1"/>
  <c r="AI64" i="1"/>
  <c r="AI63" i="1"/>
  <c r="AI57" i="1"/>
  <c r="AI80" i="1"/>
  <c r="AI46" i="1"/>
  <c r="AI45" i="1"/>
  <c r="AI44" i="1"/>
  <c r="AI125" i="1"/>
  <c r="AI124" i="1"/>
  <c r="AI123" i="1"/>
  <c r="AI122" i="1"/>
  <c r="AI121" i="1"/>
  <c r="AI120" i="1"/>
  <c r="AI78" i="1"/>
  <c r="AI76" i="1"/>
  <c r="AI75" i="1"/>
  <c r="AI74" i="1"/>
  <c r="AI72" i="1"/>
  <c r="AI71" i="1"/>
  <c r="AI69" i="1"/>
  <c r="AI67" i="1"/>
  <c r="AI66" i="1"/>
  <c r="AI65" i="1"/>
  <c r="AI62" i="1"/>
  <c r="AI61" i="1"/>
  <c r="AI60" i="1"/>
  <c r="AI59" i="1"/>
  <c r="AI58" i="1"/>
  <c r="AI56" i="1"/>
  <c r="AI55" i="1"/>
  <c r="AI53" i="1"/>
  <c r="AI52" i="1"/>
  <c r="AI51" i="1"/>
  <c r="AI50" i="1"/>
  <c r="AI49" i="1"/>
  <c r="AI47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O44" i="1"/>
  <c r="BO80" i="1"/>
  <c r="BO78" i="1"/>
  <c r="BO76" i="1"/>
  <c r="BO74" i="1"/>
  <c r="BO72" i="1"/>
  <c r="BO67" i="1"/>
  <c r="BO66" i="1"/>
  <c r="BO65" i="1"/>
  <c r="BO62" i="1"/>
  <c r="BO60" i="1"/>
  <c r="BO51" i="1"/>
  <c r="BO49" i="1"/>
  <c r="AL125" i="1" l="1"/>
  <c r="AL124" i="1"/>
  <c r="AL123" i="1"/>
  <c r="AL122" i="1"/>
  <c r="AL121" i="1"/>
  <c r="AL120" i="1"/>
  <c r="BV58" i="1"/>
  <c r="BU58" i="1"/>
  <c r="BQ58" i="1"/>
  <c r="BO58" i="1"/>
  <c r="BI58" i="1"/>
  <c r="BH58" i="1"/>
  <c r="BG58" i="1"/>
  <c r="BF58" i="1"/>
  <c r="BD58" i="1"/>
  <c r="BA58" i="1"/>
  <c r="BE58" i="1" s="1"/>
  <c r="AZ58" i="1"/>
  <c r="D58" i="1"/>
  <c r="BV51" i="1"/>
  <c r="BU51" i="1"/>
  <c r="BQ51" i="1"/>
  <c r="BI51" i="1"/>
  <c r="BH51" i="1"/>
  <c r="BG51" i="1"/>
  <c r="BF51" i="1"/>
  <c r="BD51" i="1"/>
  <c r="BA51" i="1"/>
  <c r="BE51" i="1" s="1"/>
  <c r="AZ51" i="1"/>
  <c r="D51" i="1"/>
  <c r="AZ40" i="1" l="1"/>
  <c r="BA40" i="1"/>
  <c r="AZ41" i="1"/>
  <c r="BA41" i="1"/>
  <c r="AZ42" i="1"/>
  <c r="BA42" i="1"/>
  <c r="AZ44" i="1"/>
  <c r="BA44" i="1"/>
  <c r="AZ45" i="1"/>
  <c r="BA45" i="1"/>
  <c r="AZ46" i="1"/>
  <c r="BA46" i="1"/>
  <c r="AZ47" i="1"/>
  <c r="BA47" i="1"/>
  <c r="AZ48" i="1"/>
  <c r="BA48" i="1"/>
  <c r="AZ49" i="1"/>
  <c r="BA49" i="1"/>
  <c r="AZ50" i="1"/>
  <c r="BA50" i="1"/>
  <c r="AZ52" i="1"/>
  <c r="BA52" i="1"/>
  <c r="AZ53" i="1"/>
  <c r="BA53" i="1"/>
  <c r="AZ54" i="1"/>
  <c r="BA54" i="1"/>
  <c r="AZ55" i="1"/>
  <c r="BA55" i="1"/>
  <c r="AZ56" i="1"/>
  <c r="BA56" i="1"/>
  <c r="AZ57" i="1"/>
  <c r="BA57" i="1"/>
  <c r="AZ59" i="1"/>
  <c r="BA59" i="1"/>
  <c r="AZ60" i="1"/>
  <c r="BA60" i="1"/>
  <c r="AZ61" i="1"/>
  <c r="BA61" i="1"/>
  <c r="AZ62" i="1"/>
  <c r="BA62" i="1"/>
  <c r="AZ63" i="1"/>
  <c r="BA63" i="1"/>
  <c r="AZ64" i="1"/>
  <c r="BA64" i="1"/>
  <c r="AZ65" i="1"/>
  <c r="BA65" i="1"/>
  <c r="AZ66" i="1"/>
  <c r="BA66" i="1"/>
  <c r="AZ67" i="1"/>
  <c r="BA67" i="1"/>
  <c r="AZ68" i="1"/>
  <c r="BA68" i="1"/>
  <c r="AZ69" i="1"/>
  <c r="BA69" i="1"/>
  <c r="AZ70" i="1"/>
  <c r="BA70" i="1"/>
  <c r="AZ71" i="1"/>
  <c r="BA71" i="1"/>
  <c r="AZ72" i="1"/>
  <c r="BA72" i="1"/>
  <c r="AZ73" i="1"/>
  <c r="BA73" i="1"/>
  <c r="AZ74" i="1"/>
  <c r="BA74" i="1"/>
  <c r="AZ75" i="1"/>
  <c r="BA75" i="1"/>
  <c r="AZ76" i="1"/>
  <c r="BA76" i="1"/>
  <c r="AZ77" i="1"/>
  <c r="BA77" i="1"/>
  <c r="AZ78" i="1"/>
  <c r="BA78" i="1"/>
  <c r="AZ79" i="1"/>
  <c r="BA79" i="1"/>
  <c r="AZ80" i="1"/>
  <c r="BA80" i="1"/>
  <c r="AZ81" i="1"/>
  <c r="BA81" i="1"/>
  <c r="AZ82" i="1"/>
  <c r="BA82" i="1"/>
  <c r="AZ83" i="1"/>
  <c r="BA83" i="1"/>
  <c r="AZ84" i="1"/>
  <c r="BA84" i="1"/>
  <c r="AZ85" i="1"/>
  <c r="BA85" i="1"/>
  <c r="AZ86" i="1"/>
  <c r="BA86" i="1"/>
  <c r="AZ87" i="1"/>
  <c r="BA87" i="1"/>
  <c r="AZ88" i="1"/>
  <c r="BA88" i="1"/>
  <c r="AZ89" i="1"/>
  <c r="BA89" i="1"/>
  <c r="AZ90" i="1"/>
  <c r="BA90" i="1"/>
  <c r="AZ91" i="1"/>
  <c r="BA91" i="1"/>
  <c r="AZ92" i="1"/>
  <c r="BA92" i="1"/>
  <c r="AZ93" i="1"/>
  <c r="BA93" i="1"/>
  <c r="AZ94" i="1"/>
  <c r="BA94" i="1"/>
  <c r="AZ95" i="1"/>
  <c r="BA95" i="1"/>
  <c r="AZ96" i="1"/>
  <c r="BA96" i="1"/>
  <c r="AZ97" i="1"/>
  <c r="BA97" i="1"/>
  <c r="AZ98" i="1"/>
  <c r="BA98" i="1"/>
  <c r="AZ99" i="1"/>
  <c r="BA99" i="1"/>
  <c r="AZ100" i="1"/>
  <c r="BA100" i="1"/>
  <c r="AZ101" i="1"/>
  <c r="BA101" i="1"/>
  <c r="AZ102" i="1"/>
  <c r="BA102" i="1"/>
  <c r="AZ103" i="1"/>
  <c r="BA103" i="1"/>
  <c r="AZ104" i="1"/>
  <c r="BA104" i="1"/>
  <c r="AZ105" i="1"/>
  <c r="BA105" i="1"/>
  <c r="AZ106" i="1"/>
  <c r="BA106" i="1"/>
  <c r="AZ107" i="1"/>
  <c r="BA107" i="1"/>
  <c r="AZ108" i="1"/>
  <c r="BA108" i="1"/>
  <c r="AZ109" i="1"/>
  <c r="BA109" i="1"/>
  <c r="AZ110" i="1"/>
  <c r="BA110" i="1"/>
  <c r="AZ111" i="1"/>
  <c r="BA111" i="1"/>
  <c r="AZ112" i="1"/>
  <c r="BA112" i="1"/>
  <c r="AZ113" i="1"/>
  <c r="BA113" i="1"/>
  <c r="AZ114" i="1"/>
  <c r="BA114" i="1"/>
  <c r="AZ115" i="1"/>
  <c r="BA115" i="1"/>
  <c r="AZ116" i="1"/>
  <c r="BA116" i="1"/>
  <c r="AZ117" i="1"/>
  <c r="BA117" i="1"/>
  <c r="AZ118" i="1"/>
  <c r="BA118" i="1"/>
  <c r="AZ119" i="1"/>
  <c r="BA119" i="1"/>
  <c r="AZ120" i="1"/>
  <c r="BA120" i="1"/>
  <c r="AZ121" i="1"/>
  <c r="BA121" i="1"/>
  <c r="AZ122" i="1"/>
  <c r="BA122" i="1"/>
  <c r="AZ123" i="1"/>
  <c r="BA123" i="1"/>
  <c r="AZ124" i="1"/>
  <c r="BA124" i="1"/>
  <c r="AZ125" i="1"/>
  <c r="BA125" i="1"/>
  <c r="AZ11" i="1"/>
  <c r="BA11" i="1"/>
  <c r="AZ12" i="1"/>
  <c r="BA12" i="1"/>
  <c r="AZ13" i="1"/>
  <c r="BA13" i="1"/>
  <c r="AZ14" i="1"/>
  <c r="BA14" i="1"/>
  <c r="AZ15" i="1"/>
  <c r="BA15" i="1"/>
  <c r="AZ16" i="1"/>
  <c r="BA16" i="1"/>
  <c r="AZ17" i="1"/>
  <c r="BA17" i="1"/>
  <c r="AZ18" i="1"/>
  <c r="BA18" i="1"/>
  <c r="AZ19" i="1"/>
  <c r="BA19" i="1"/>
  <c r="AZ20" i="1"/>
  <c r="BA20" i="1"/>
  <c r="AZ21" i="1"/>
  <c r="BA21" i="1"/>
  <c r="AZ22" i="1"/>
  <c r="BA22" i="1"/>
  <c r="AZ23" i="1"/>
  <c r="BA23" i="1"/>
  <c r="AZ24" i="1"/>
  <c r="BA24" i="1"/>
  <c r="AZ25" i="1"/>
  <c r="BA25" i="1"/>
  <c r="AZ26" i="1"/>
  <c r="BA26" i="1"/>
  <c r="AZ27" i="1"/>
  <c r="BA27" i="1"/>
  <c r="AZ28" i="1"/>
  <c r="BA28" i="1"/>
  <c r="AZ29" i="1"/>
  <c r="BA29" i="1"/>
  <c r="AZ30" i="1"/>
  <c r="BA30" i="1"/>
  <c r="AZ31" i="1"/>
  <c r="BA31" i="1"/>
  <c r="AZ32" i="1"/>
  <c r="BA32" i="1"/>
  <c r="AZ33" i="1"/>
  <c r="BA33" i="1"/>
  <c r="AZ34" i="1"/>
  <c r="BA34" i="1"/>
  <c r="AZ36" i="1"/>
  <c r="BA36" i="1"/>
  <c r="AZ35" i="1"/>
  <c r="BA35" i="1"/>
  <c r="AZ37" i="1"/>
  <c r="BA37" i="1"/>
  <c r="AZ38" i="1"/>
  <c r="BA38" i="1"/>
  <c r="AZ39" i="1"/>
  <c r="BA39" i="1"/>
  <c r="BA43" i="1"/>
  <c r="BE43" i="1" s="1"/>
  <c r="AZ43" i="1"/>
  <c r="BV43" i="1"/>
  <c r="BU43" i="1"/>
  <c r="BQ43" i="1"/>
  <c r="BO43" i="1"/>
  <c r="BI43" i="1"/>
  <c r="BH43" i="1"/>
  <c r="BG43" i="1"/>
  <c r="BF43" i="1"/>
  <c r="BD43" i="1"/>
  <c r="D43" i="1"/>
  <c r="BO12" i="1" l="1"/>
  <c r="BQ12" i="1"/>
  <c r="BO13" i="1"/>
  <c r="BQ13" i="1"/>
  <c r="BO14" i="1"/>
  <c r="BQ14" i="1"/>
  <c r="BO15" i="1"/>
  <c r="BQ15" i="1"/>
  <c r="BO16" i="1"/>
  <c r="BQ16" i="1"/>
  <c r="BO17" i="1"/>
  <c r="BQ17" i="1"/>
  <c r="BO18" i="1"/>
  <c r="BQ18" i="1"/>
  <c r="BO19" i="1"/>
  <c r="BQ19" i="1"/>
  <c r="BO20" i="1"/>
  <c r="BQ20" i="1"/>
  <c r="BO21" i="1"/>
  <c r="BQ21" i="1"/>
  <c r="BO22" i="1"/>
  <c r="BQ22" i="1"/>
  <c r="BO23" i="1"/>
  <c r="BQ23" i="1"/>
  <c r="BO24" i="1"/>
  <c r="BQ24" i="1"/>
  <c r="BO25" i="1"/>
  <c r="BQ25" i="1"/>
  <c r="BO26" i="1"/>
  <c r="BQ26" i="1"/>
  <c r="BO27" i="1"/>
  <c r="BQ27" i="1"/>
  <c r="BO28" i="1"/>
  <c r="BQ28" i="1"/>
  <c r="BO29" i="1"/>
  <c r="BQ29" i="1"/>
  <c r="BO30" i="1"/>
  <c r="BQ30" i="1"/>
  <c r="BO31" i="1"/>
  <c r="BQ31" i="1"/>
  <c r="BO32" i="1"/>
  <c r="BQ32" i="1"/>
  <c r="BO33" i="1"/>
  <c r="BQ33" i="1"/>
  <c r="BO34" i="1"/>
  <c r="BQ34" i="1"/>
  <c r="BO36" i="1"/>
  <c r="BQ36" i="1"/>
  <c r="BO35" i="1"/>
  <c r="BQ35" i="1"/>
  <c r="BO37" i="1"/>
  <c r="BQ37" i="1"/>
  <c r="BO38" i="1"/>
  <c r="BQ38" i="1"/>
  <c r="BO39" i="1"/>
  <c r="BQ39" i="1"/>
  <c r="BO40" i="1"/>
  <c r="BQ40" i="1"/>
  <c r="BO41" i="1"/>
  <c r="BQ41" i="1"/>
  <c r="BO42" i="1"/>
  <c r="BQ42" i="1"/>
  <c r="BQ44" i="1"/>
  <c r="BO45" i="1"/>
  <c r="BQ45" i="1"/>
  <c r="BO46" i="1"/>
  <c r="BQ46" i="1"/>
  <c r="BO47" i="1"/>
  <c r="BQ47" i="1"/>
  <c r="BO48" i="1"/>
  <c r="BQ48" i="1"/>
  <c r="BQ49" i="1"/>
  <c r="BO50" i="1"/>
  <c r="BQ50" i="1"/>
  <c r="BO52" i="1"/>
  <c r="BQ52" i="1"/>
  <c r="BO53" i="1"/>
  <c r="BQ53" i="1"/>
  <c r="BO54" i="1"/>
  <c r="BQ54" i="1"/>
  <c r="BO55" i="1"/>
  <c r="BQ55" i="1"/>
  <c r="BO56" i="1"/>
  <c r="BQ56" i="1"/>
  <c r="BO57" i="1"/>
  <c r="BQ57" i="1"/>
  <c r="BO59" i="1"/>
  <c r="BQ59" i="1"/>
  <c r="BQ60" i="1"/>
  <c r="BO61" i="1"/>
  <c r="BQ61" i="1"/>
  <c r="BQ62" i="1"/>
  <c r="BO63" i="1"/>
  <c r="BQ63" i="1"/>
  <c r="BO64" i="1"/>
  <c r="BQ64" i="1"/>
  <c r="BQ65" i="1"/>
  <c r="BQ66" i="1"/>
  <c r="BQ67" i="1"/>
  <c r="BO68" i="1"/>
  <c r="BQ68" i="1"/>
  <c r="BO69" i="1"/>
  <c r="BQ69" i="1"/>
  <c r="BO70" i="1"/>
  <c r="BQ70" i="1"/>
  <c r="BO71" i="1"/>
  <c r="BQ71" i="1"/>
  <c r="BQ72" i="1"/>
  <c r="BO73" i="1"/>
  <c r="BQ73" i="1"/>
  <c r="BQ74" i="1"/>
  <c r="BO75" i="1"/>
  <c r="BQ75" i="1"/>
  <c r="BQ76" i="1"/>
  <c r="BO77" i="1"/>
  <c r="BQ77" i="1"/>
  <c r="BQ78" i="1"/>
  <c r="BO79" i="1"/>
  <c r="BQ79" i="1"/>
  <c r="BQ80" i="1"/>
  <c r="BO81" i="1"/>
  <c r="BQ81" i="1"/>
  <c r="BO82" i="1"/>
  <c r="BQ82" i="1"/>
  <c r="BO83" i="1"/>
  <c r="BQ83" i="1"/>
  <c r="BO84" i="1"/>
  <c r="BQ84" i="1"/>
  <c r="BO85" i="1"/>
  <c r="BQ85" i="1"/>
  <c r="BO86" i="1"/>
  <c r="BQ86" i="1"/>
  <c r="BO87" i="1"/>
  <c r="BQ87" i="1"/>
  <c r="BO88" i="1"/>
  <c r="BQ88" i="1"/>
  <c r="BO89" i="1"/>
  <c r="BQ89" i="1"/>
  <c r="BO90" i="1"/>
  <c r="BQ90" i="1"/>
  <c r="BO91" i="1"/>
  <c r="BQ91" i="1"/>
  <c r="BO92" i="1"/>
  <c r="BQ92" i="1"/>
  <c r="BO93" i="1"/>
  <c r="BQ93" i="1"/>
  <c r="BO94" i="1"/>
  <c r="BQ94" i="1"/>
  <c r="BO95" i="1"/>
  <c r="BQ95" i="1"/>
  <c r="BO96" i="1"/>
  <c r="BQ96" i="1"/>
  <c r="BO97" i="1"/>
  <c r="BQ97" i="1"/>
  <c r="BO98" i="1"/>
  <c r="BQ98" i="1"/>
  <c r="BO99" i="1"/>
  <c r="BQ99" i="1"/>
  <c r="BO100" i="1"/>
  <c r="BQ100" i="1"/>
  <c r="BO101" i="1"/>
  <c r="BQ101" i="1"/>
  <c r="BO102" i="1"/>
  <c r="BQ102" i="1"/>
  <c r="BO103" i="1"/>
  <c r="BQ103" i="1"/>
  <c r="BO104" i="1"/>
  <c r="BQ104" i="1"/>
  <c r="BO105" i="1"/>
  <c r="BQ105" i="1"/>
  <c r="BO106" i="1"/>
  <c r="BQ106" i="1"/>
  <c r="BO107" i="1"/>
  <c r="BQ107" i="1"/>
  <c r="BO108" i="1"/>
  <c r="BQ108" i="1"/>
  <c r="BO109" i="1"/>
  <c r="BQ109" i="1"/>
  <c r="BO110" i="1"/>
  <c r="BQ110" i="1"/>
  <c r="BO111" i="1"/>
  <c r="BQ111" i="1"/>
  <c r="BO112" i="1"/>
  <c r="BQ112" i="1"/>
  <c r="BO113" i="1"/>
  <c r="BQ113" i="1"/>
  <c r="BO114" i="1"/>
  <c r="BQ114" i="1"/>
  <c r="BO115" i="1"/>
  <c r="BQ115" i="1"/>
  <c r="BO116" i="1"/>
  <c r="BQ116" i="1"/>
  <c r="BO117" i="1"/>
  <c r="BQ117" i="1"/>
  <c r="BO118" i="1"/>
  <c r="BQ118" i="1"/>
  <c r="BO119" i="1"/>
  <c r="BQ119" i="1"/>
  <c r="BO120" i="1"/>
  <c r="BQ120" i="1"/>
  <c r="BO121" i="1"/>
  <c r="BQ121" i="1"/>
  <c r="BO122" i="1"/>
  <c r="BQ122" i="1"/>
  <c r="BO123" i="1"/>
  <c r="BQ123" i="1"/>
  <c r="BO124" i="1"/>
  <c r="BQ124" i="1"/>
  <c r="BO125" i="1"/>
  <c r="BQ125" i="1"/>
  <c r="BQ11" i="1"/>
  <c r="BO11" i="1"/>
  <c r="BV35" i="1" l="1"/>
  <c r="BV37" i="1"/>
  <c r="BU35" i="1"/>
  <c r="BI32" i="1"/>
  <c r="BI33" i="1"/>
  <c r="BI34" i="1"/>
  <c r="BI36" i="1"/>
  <c r="BI35" i="1"/>
  <c r="BD32" i="1"/>
  <c r="BF32" i="1"/>
  <c r="BG32" i="1"/>
  <c r="BH32" i="1"/>
  <c r="BD33" i="1"/>
  <c r="BF33" i="1"/>
  <c r="BG33" i="1"/>
  <c r="BH33" i="1"/>
  <c r="BD34" i="1"/>
  <c r="BF34" i="1"/>
  <c r="BG34" i="1"/>
  <c r="BH34" i="1"/>
  <c r="BD36" i="1"/>
  <c r="BF36" i="1"/>
  <c r="BG36" i="1"/>
  <c r="BH36" i="1"/>
  <c r="BD35" i="1"/>
  <c r="BE35" i="1"/>
  <c r="BF35" i="1"/>
  <c r="BG35" i="1"/>
  <c r="BH35" i="1"/>
  <c r="D35" i="1"/>
  <c r="D37" i="1"/>
  <c r="D38" i="1"/>
  <c r="BV32" i="1" l="1"/>
  <c r="BU32" i="1"/>
  <c r="BU33" i="1"/>
  <c r="BU34" i="1"/>
  <c r="BU36" i="1"/>
  <c r="BU37" i="1"/>
  <c r="BE32" i="1"/>
  <c r="D31" i="1"/>
  <c r="D32" i="1"/>
  <c r="D33" i="1"/>
  <c r="D34" i="1"/>
  <c r="D36" i="1"/>
  <c r="BF25" i="1" l="1"/>
  <c r="BG25" i="1"/>
  <c r="BH25" i="1"/>
  <c r="BI25" i="1"/>
  <c r="BF26" i="1"/>
  <c r="BG26" i="1"/>
  <c r="BH26" i="1"/>
  <c r="BI26" i="1"/>
  <c r="BF27" i="1"/>
  <c r="BG27" i="1"/>
  <c r="BH27" i="1"/>
  <c r="BI27" i="1"/>
  <c r="BF28" i="1"/>
  <c r="BG28" i="1"/>
  <c r="BH28" i="1"/>
  <c r="BI28" i="1"/>
  <c r="BF29" i="1"/>
  <c r="BG29" i="1"/>
  <c r="BH29" i="1"/>
  <c r="BI29" i="1"/>
  <c r="BF30" i="1"/>
  <c r="BG30" i="1"/>
  <c r="BH30" i="1"/>
  <c r="BI30" i="1"/>
  <c r="BF31" i="1"/>
  <c r="BG31" i="1"/>
  <c r="BH31" i="1"/>
  <c r="BI31" i="1"/>
  <c r="BF37" i="1"/>
  <c r="BG37" i="1"/>
  <c r="BH37" i="1"/>
  <c r="BI37" i="1"/>
  <c r="BF38" i="1"/>
  <c r="BG38" i="1"/>
  <c r="BH38" i="1"/>
  <c r="BI38" i="1"/>
  <c r="BF39" i="1"/>
  <c r="BG39" i="1"/>
  <c r="BH39" i="1"/>
  <c r="BI39" i="1"/>
  <c r="BF40" i="1"/>
  <c r="BG40" i="1"/>
  <c r="BH40" i="1"/>
  <c r="BI40" i="1"/>
  <c r="BF41" i="1"/>
  <c r="BG41" i="1"/>
  <c r="BH41" i="1"/>
  <c r="BI41" i="1"/>
  <c r="BF42" i="1"/>
  <c r="BG42" i="1"/>
  <c r="BH42" i="1"/>
  <c r="BI42" i="1"/>
  <c r="BF44" i="1"/>
  <c r="BG44" i="1"/>
  <c r="BH44" i="1"/>
  <c r="BI44" i="1"/>
  <c r="BF45" i="1"/>
  <c r="BG45" i="1"/>
  <c r="BH45" i="1"/>
  <c r="BI45" i="1"/>
  <c r="BF46" i="1"/>
  <c r="BG46" i="1"/>
  <c r="BH46" i="1"/>
  <c r="BI46" i="1"/>
  <c r="BF47" i="1"/>
  <c r="BG47" i="1"/>
  <c r="BH47" i="1"/>
  <c r="BI47" i="1"/>
  <c r="BF48" i="1"/>
  <c r="BG48" i="1"/>
  <c r="BH48" i="1"/>
  <c r="BI48" i="1"/>
  <c r="BF49" i="1"/>
  <c r="BG49" i="1"/>
  <c r="BH49" i="1"/>
  <c r="BI49" i="1"/>
  <c r="BF50" i="1"/>
  <c r="BG50" i="1"/>
  <c r="BH50" i="1"/>
  <c r="BI50" i="1"/>
  <c r="BF52" i="1"/>
  <c r="BG52" i="1"/>
  <c r="BH52" i="1"/>
  <c r="BI52" i="1"/>
  <c r="BF53" i="1"/>
  <c r="BG53" i="1"/>
  <c r="BH53" i="1"/>
  <c r="BI53" i="1"/>
  <c r="BF54" i="1"/>
  <c r="BG54" i="1"/>
  <c r="BH54" i="1"/>
  <c r="BI54" i="1"/>
  <c r="BF55" i="1"/>
  <c r="BG55" i="1"/>
  <c r="BH55" i="1"/>
  <c r="BI55" i="1"/>
  <c r="BF56" i="1"/>
  <c r="BG56" i="1"/>
  <c r="BH56" i="1"/>
  <c r="BI56" i="1"/>
  <c r="BF57" i="1"/>
  <c r="BG57" i="1"/>
  <c r="BH57" i="1"/>
  <c r="BI57" i="1"/>
  <c r="BF59" i="1"/>
  <c r="BG59" i="1"/>
  <c r="BH59" i="1"/>
  <c r="BI59" i="1"/>
  <c r="BF60" i="1"/>
  <c r="BG60" i="1"/>
  <c r="BH60" i="1"/>
  <c r="BI60" i="1"/>
  <c r="BF61" i="1"/>
  <c r="BG61" i="1"/>
  <c r="BH61" i="1"/>
  <c r="BI61" i="1"/>
  <c r="BF62" i="1"/>
  <c r="BG62" i="1"/>
  <c r="BH62" i="1"/>
  <c r="BI62" i="1"/>
  <c r="BF63" i="1"/>
  <c r="BG63" i="1"/>
  <c r="BH63" i="1"/>
  <c r="BI63" i="1"/>
  <c r="BF64" i="1"/>
  <c r="BG64" i="1"/>
  <c r="BH64" i="1"/>
  <c r="BI64" i="1"/>
  <c r="BF65" i="1"/>
  <c r="BG65" i="1"/>
  <c r="BH65" i="1"/>
  <c r="BI65" i="1"/>
  <c r="BF66" i="1"/>
  <c r="BG66" i="1"/>
  <c r="BH66" i="1"/>
  <c r="BI66" i="1"/>
  <c r="BF67" i="1"/>
  <c r="BG67" i="1"/>
  <c r="BH67" i="1"/>
  <c r="BI67" i="1"/>
  <c r="BF68" i="1"/>
  <c r="BG68" i="1"/>
  <c r="BH68" i="1"/>
  <c r="BI68" i="1"/>
  <c r="BF69" i="1"/>
  <c r="BG69" i="1"/>
  <c r="BH69" i="1"/>
  <c r="BI69" i="1"/>
  <c r="BF70" i="1"/>
  <c r="BG70" i="1"/>
  <c r="BH70" i="1"/>
  <c r="BI70" i="1"/>
  <c r="BF71" i="1"/>
  <c r="BG71" i="1"/>
  <c r="BH71" i="1"/>
  <c r="BI71" i="1"/>
  <c r="BF72" i="1"/>
  <c r="BG72" i="1"/>
  <c r="BH72" i="1"/>
  <c r="BI72" i="1"/>
  <c r="BF73" i="1"/>
  <c r="BG73" i="1"/>
  <c r="BH73" i="1"/>
  <c r="BI73" i="1"/>
  <c r="BF74" i="1"/>
  <c r="BG74" i="1"/>
  <c r="BH74" i="1"/>
  <c r="BI74" i="1"/>
  <c r="BF75" i="1"/>
  <c r="BG75" i="1"/>
  <c r="BH75" i="1"/>
  <c r="BI75" i="1"/>
  <c r="BF76" i="1"/>
  <c r="BG76" i="1"/>
  <c r="BH76" i="1"/>
  <c r="BI76" i="1"/>
  <c r="BF77" i="1"/>
  <c r="BG77" i="1"/>
  <c r="BH77" i="1"/>
  <c r="BI77" i="1"/>
  <c r="BF78" i="1"/>
  <c r="BG78" i="1"/>
  <c r="BH78" i="1"/>
  <c r="BI78" i="1"/>
  <c r="BF79" i="1"/>
  <c r="BG79" i="1"/>
  <c r="BH79" i="1"/>
  <c r="BI79" i="1"/>
  <c r="BF80" i="1"/>
  <c r="BG80" i="1"/>
  <c r="BH80" i="1"/>
  <c r="BI80" i="1"/>
  <c r="BF81" i="1"/>
  <c r="BG81" i="1"/>
  <c r="BH81" i="1"/>
  <c r="BI81" i="1"/>
  <c r="BF82" i="1"/>
  <c r="BG82" i="1"/>
  <c r="BH82" i="1"/>
  <c r="BI82" i="1"/>
  <c r="BF83" i="1"/>
  <c r="BG83" i="1"/>
  <c r="BH83" i="1"/>
  <c r="BI83" i="1"/>
  <c r="BF84" i="1"/>
  <c r="BG84" i="1"/>
  <c r="BH84" i="1"/>
  <c r="BI84" i="1"/>
  <c r="BF85" i="1"/>
  <c r="BG85" i="1"/>
  <c r="BH85" i="1"/>
  <c r="BI85" i="1"/>
  <c r="BF86" i="1"/>
  <c r="BG86" i="1"/>
  <c r="BH86" i="1"/>
  <c r="BI86" i="1"/>
  <c r="BF87" i="1"/>
  <c r="BG87" i="1"/>
  <c r="BH87" i="1"/>
  <c r="BI87" i="1"/>
  <c r="BF88" i="1"/>
  <c r="BG88" i="1"/>
  <c r="BH88" i="1"/>
  <c r="BI88" i="1"/>
  <c r="BF89" i="1"/>
  <c r="BG89" i="1"/>
  <c r="BH89" i="1"/>
  <c r="BI89" i="1"/>
  <c r="BF90" i="1"/>
  <c r="BG90" i="1"/>
  <c r="BH90" i="1"/>
  <c r="BI90" i="1"/>
  <c r="BF91" i="1"/>
  <c r="BG91" i="1"/>
  <c r="BH91" i="1"/>
  <c r="BI91" i="1"/>
  <c r="BF92" i="1"/>
  <c r="BG92" i="1"/>
  <c r="BH92" i="1"/>
  <c r="BI92" i="1"/>
  <c r="BF93" i="1"/>
  <c r="BG93" i="1"/>
  <c r="BH93" i="1"/>
  <c r="BI93" i="1"/>
  <c r="BF94" i="1"/>
  <c r="BG94" i="1"/>
  <c r="BH94" i="1"/>
  <c r="BI94" i="1"/>
  <c r="BF95" i="1"/>
  <c r="BG95" i="1"/>
  <c r="BH95" i="1"/>
  <c r="BI95" i="1"/>
  <c r="BF96" i="1"/>
  <c r="BG96" i="1"/>
  <c r="BH96" i="1"/>
  <c r="BI96" i="1"/>
  <c r="BF97" i="1"/>
  <c r="BG97" i="1"/>
  <c r="BH97" i="1"/>
  <c r="BI97" i="1"/>
  <c r="BF98" i="1"/>
  <c r="BG98" i="1"/>
  <c r="BH98" i="1"/>
  <c r="BI98" i="1"/>
  <c r="BF99" i="1"/>
  <c r="BG99" i="1"/>
  <c r="BH99" i="1"/>
  <c r="BI99" i="1"/>
  <c r="BF100" i="1"/>
  <c r="BG100" i="1"/>
  <c r="BH100" i="1"/>
  <c r="BI100" i="1"/>
  <c r="BF101" i="1"/>
  <c r="BG101" i="1"/>
  <c r="BH101" i="1"/>
  <c r="BI101" i="1"/>
  <c r="BF102" i="1"/>
  <c r="BG102" i="1"/>
  <c r="BH102" i="1"/>
  <c r="BI102" i="1"/>
  <c r="BF103" i="1"/>
  <c r="BG103" i="1"/>
  <c r="BH103" i="1"/>
  <c r="BI103" i="1"/>
  <c r="BF104" i="1"/>
  <c r="BG104" i="1"/>
  <c r="BH104" i="1"/>
  <c r="BI104" i="1"/>
  <c r="BF105" i="1"/>
  <c r="BG105" i="1"/>
  <c r="BH105" i="1"/>
  <c r="BI105" i="1"/>
  <c r="BF106" i="1"/>
  <c r="BG106" i="1"/>
  <c r="BH106" i="1"/>
  <c r="BI106" i="1"/>
  <c r="BF107" i="1"/>
  <c r="BG107" i="1"/>
  <c r="BH107" i="1"/>
  <c r="BI107" i="1"/>
  <c r="BF108" i="1"/>
  <c r="BG108" i="1"/>
  <c r="BH108" i="1"/>
  <c r="BI108" i="1"/>
  <c r="BF109" i="1"/>
  <c r="BG109" i="1"/>
  <c r="BH109" i="1"/>
  <c r="BI109" i="1"/>
  <c r="BF110" i="1"/>
  <c r="BG110" i="1"/>
  <c r="BH110" i="1"/>
  <c r="BI110" i="1"/>
  <c r="BF111" i="1"/>
  <c r="BG111" i="1"/>
  <c r="BH111" i="1"/>
  <c r="BI111" i="1"/>
  <c r="BF112" i="1"/>
  <c r="BG112" i="1"/>
  <c r="BH112" i="1"/>
  <c r="BI112" i="1"/>
  <c r="BF113" i="1"/>
  <c r="BG113" i="1"/>
  <c r="BH113" i="1"/>
  <c r="BI113" i="1"/>
  <c r="BF114" i="1"/>
  <c r="BG114" i="1"/>
  <c r="BH114" i="1"/>
  <c r="BI114" i="1"/>
  <c r="BF115" i="1"/>
  <c r="BG115" i="1"/>
  <c r="BH115" i="1"/>
  <c r="BI115" i="1"/>
  <c r="BF116" i="1"/>
  <c r="BG116" i="1"/>
  <c r="BH116" i="1"/>
  <c r="BI116" i="1"/>
  <c r="BF117" i="1"/>
  <c r="BG117" i="1"/>
  <c r="BH117" i="1"/>
  <c r="BI117" i="1"/>
  <c r="BF118" i="1"/>
  <c r="BG118" i="1"/>
  <c r="BH118" i="1"/>
  <c r="BI118" i="1"/>
  <c r="BF119" i="1"/>
  <c r="BG119" i="1"/>
  <c r="BH119" i="1"/>
  <c r="BI119" i="1"/>
  <c r="BF120" i="1"/>
  <c r="BG120" i="1"/>
  <c r="BH120" i="1"/>
  <c r="BI120" i="1"/>
  <c r="BF121" i="1"/>
  <c r="BG121" i="1"/>
  <c r="BH121" i="1"/>
  <c r="BI121" i="1"/>
  <c r="BF122" i="1"/>
  <c r="BG122" i="1"/>
  <c r="BH122" i="1"/>
  <c r="BI122" i="1"/>
  <c r="BF123" i="1"/>
  <c r="BG123" i="1"/>
  <c r="BH123" i="1"/>
  <c r="BI123" i="1"/>
  <c r="BF124" i="1"/>
  <c r="BG124" i="1"/>
  <c r="BH124" i="1"/>
  <c r="BI124" i="1"/>
  <c r="BF125" i="1"/>
  <c r="BG125" i="1"/>
  <c r="BH125" i="1"/>
  <c r="BI125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F12" i="1"/>
  <c r="BH12" i="1"/>
  <c r="BI12" i="1"/>
  <c r="BF13" i="1"/>
  <c r="BH13" i="1"/>
  <c r="BI13" i="1"/>
  <c r="BF14" i="1"/>
  <c r="BH14" i="1"/>
  <c r="BI14" i="1"/>
  <c r="BF15" i="1"/>
  <c r="BH15" i="1"/>
  <c r="BI15" i="1"/>
  <c r="BF16" i="1"/>
  <c r="BH16" i="1"/>
  <c r="BI16" i="1"/>
  <c r="BF17" i="1"/>
  <c r="BH17" i="1"/>
  <c r="BI17" i="1"/>
  <c r="BF18" i="1"/>
  <c r="BH18" i="1"/>
  <c r="BI18" i="1"/>
  <c r="BF19" i="1"/>
  <c r="BH19" i="1"/>
  <c r="BI19" i="1"/>
  <c r="BF20" i="1"/>
  <c r="BH20" i="1"/>
  <c r="BI20" i="1"/>
  <c r="BF21" i="1"/>
  <c r="BH21" i="1"/>
  <c r="BI21" i="1"/>
  <c r="BF22" i="1"/>
  <c r="BH22" i="1"/>
  <c r="BI22" i="1"/>
  <c r="BF23" i="1"/>
  <c r="BH23" i="1"/>
  <c r="BI23" i="1"/>
  <c r="BF24" i="1"/>
  <c r="BH24" i="1"/>
  <c r="BI24" i="1"/>
  <c r="BI11" i="1"/>
  <c r="BH11" i="1"/>
  <c r="B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4" i="1"/>
  <c r="D45" i="1"/>
  <c r="D46" i="1"/>
  <c r="D47" i="1"/>
  <c r="D48" i="1"/>
  <c r="D49" i="1"/>
  <c r="D50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E115" i="1" s="1"/>
  <c r="D116" i="1"/>
  <c r="D117" i="1"/>
  <c r="E117" i="1" s="1"/>
  <c r="D118" i="1"/>
  <c r="D119" i="1"/>
  <c r="E119" i="1" s="1"/>
  <c r="D120" i="1"/>
  <c r="D121" i="1"/>
  <c r="D122" i="1"/>
  <c r="D123" i="1"/>
  <c r="D124" i="1"/>
  <c r="D125" i="1"/>
  <c r="D11" i="1"/>
  <c r="BU12" i="1"/>
  <c r="BU13" i="1"/>
  <c r="BU14" i="1"/>
  <c r="BU17" i="1"/>
  <c r="BU15" i="1"/>
  <c r="BU16" i="1"/>
  <c r="BU18" i="1"/>
  <c r="BU19" i="1"/>
  <c r="BE11" i="1"/>
  <c r="BD11" i="1"/>
  <c r="BE99" i="1"/>
  <c r="BD12" i="1"/>
  <c r="BD13" i="1"/>
  <c r="BD14" i="1"/>
  <c r="BD17" i="1"/>
  <c r="BD15" i="1"/>
  <c r="BD16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7" i="1"/>
  <c r="BD38" i="1"/>
  <c r="BD39" i="1"/>
  <c r="BD40" i="1"/>
  <c r="BD41" i="1"/>
  <c r="BD42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8" i="1"/>
  <c r="BU39" i="1"/>
  <c r="BU40" i="1"/>
  <c r="BU41" i="1"/>
  <c r="BU42" i="1"/>
  <c r="BU44" i="1"/>
  <c r="BU45" i="1"/>
  <c r="BU46" i="1"/>
  <c r="BU47" i="1"/>
  <c r="BU48" i="1"/>
  <c r="BU49" i="1"/>
  <c r="BU50" i="1"/>
  <c r="BU52" i="1"/>
  <c r="BU53" i="1"/>
  <c r="BU54" i="1"/>
  <c r="BU55" i="1"/>
  <c r="BU56" i="1"/>
  <c r="BU57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1" i="1"/>
  <c r="BV11" i="1"/>
  <c r="BV99" i="1"/>
  <c r="B3" i="2" l="1"/>
  <c r="B4" i="2"/>
  <c r="B5" i="2"/>
  <c r="B6" i="2"/>
  <c r="B7" i="2" s="1"/>
  <c r="BV124" i="1" l="1"/>
  <c r="BE124" i="1"/>
  <c r="BV125" i="1" l="1"/>
  <c r="BE125" i="1"/>
  <c r="BV123" i="1"/>
  <c r="BE123" i="1"/>
  <c r="BE122" i="1" l="1"/>
  <c r="BV122" i="1"/>
  <c r="BE121" i="1"/>
  <c r="BV121" i="1"/>
  <c r="BV12" i="1"/>
  <c r="BV13" i="1"/>
  <c r="BV14" i="1"/>
  <c r="BV17" i="1"/>
  <c r="BV15" i="1"/>
  <c r="BV16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3" i="1"/>
  <c r="BV34" i="1"/>
  <c r="BV36" i="1"/>
  <c r="BV38" i="1"/>
  <c r="BV39" i="1"/>
  <c r="BV40" i="1"/>
  <c r="BV41" i="1"/>
  <c r="BV42" i="1"/>
  <c r="BV44" i="1"/>
  <c r="BV45" i="1"/>
  <c r="BV46" i="1"/>
  <c r="BV47" i="1"/>
  <c r="BV48" i="1"/>
  <c r="BV49" i="1"/>
  <c r="BV50" i="1"/>
  <c r="BV52" i="1"/>
  <c r="BV53" i="1"/>
  <c r="BV54" i="1"/>
  <c r="BV55" i="1"/>
  <c r="BV56" i="1"/>
  <c r="BV57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E120" i="1"/>
  <c r="BE12" i="1" l="1"/>
  <c r="BE13" i="1"/>
  <c r="BE14" i="1"/>
  <c r="BE17" i="1"/>
  <c r="BE15" i="1"/>
  <c r="BE16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3" i="1"/>
  <c r="BE34" i="1"/>
  <c r="BE36" i="1"/>
  <c r="BE37" i="1"/>
  <c r="BE38" i="1"/>
  <c r="BE39" i="1"/>
  <c r="BE40" i="1"/>
  <c r="BE41" i="1"/>
  <c r="BE42" i="1"/>
  <c r="BE44" i="1"/>
  <c r="BE45" i="1"/>
  <c r="BE46" i="1"/>
  <c r="BE47" i="1"/>
  <c r="BE48" i="1"/>
  <c r="BE49" i="1"/>
  <c r="BE50" i="1"/>
  <c r="BE52" i="1"/>
  <c r="BE53" i="1"/>
  <c r="BE54" i="1"/>
  <c r="BE55" i="1"/>
  <c r="BE56" i="1"/>
  <c r="BE57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</calcChain>
</file>

<file path=xl/sharedStrings.xml><?xml version="1.0" encoding="utf-8"?>
<sst xmlns="http://schemas.openxmlformats.org/spreadsheetml/2006/main" count="1175" uniqueCount="546">
  <si>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</si>
  <si>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</si>
  <si>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</si>
  <si>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</si>
  <si>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</si>
  <si>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</si>
  <si>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</si>
  <si>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</si>
  <si>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</si>
  <si>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</si>
  <si>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</si>
  <si>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</si>
  <si>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</si>
  <si>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</si>
  <si>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</si>
  <si>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</si>
  <si>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</si>
  <si>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</si>
  <si>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</si>
  <si>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</si>
  <si>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</si>
  <si>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</si>
  <si>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</si>
  <si>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</si>
  <si>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</si>
  <si>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</si>
  <si>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</si>
  <si>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</si>
  <si>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</si>
  <si>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</si>
  <si>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</si>
  <si>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</si>
  <si>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</si>
  <si>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</si>
  <si>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</si>
  <si>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</si>
  <si>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</si>
  <si>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</si>
  <si>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</si>
  <si>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</si>
  <si>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</si>
  <si>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</si>
  <si>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</si>
  <si>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</si>
  <si>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</si>
  <si>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</si>
  <si>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</si>
  <si>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</si>
  <si>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</si>
  <si>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</si>
  <si>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</si>
  <si>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</si>
  <si>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</si>
  <si>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</si>
  <si>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</si>
  <si>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</si>
  <si>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</si>
  <si>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</si>
  <si>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</si>
  <si>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</si>
  <si>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</si>
  <si>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</si>
  <si>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</si>
  <si>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</si>
  <si>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</si>
  <si>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</si>
  <si>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</si>
  <si>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</si>
  <si>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</si>
  <si>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</si>
  <si>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</si>
  <si>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</si>
  <si>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</si>
  <si>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</si>
  <si>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</si>
  <si>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</si>
  <si>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</si>
  <si>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</si>
  <si>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</si>
  <si>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</si>
  <si>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</si>
  <si>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</si>
  <si>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</si>
  <si>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</si>
  <si>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</si>
  <si>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</si>
  <si>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</si>
  <si>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</si>
  <si>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</si>
  <si>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</si>
  <si>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</si>
  <si>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</si>
  <si>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</si>
  <si>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</si>
  <si>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</si>
  <si>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</si>
  <si>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</si>
  <si>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</si>
  <si>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</si>
  <si>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</si>
  <si>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</si>
  <si>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</si>
  <si>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</si>
  <si>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</si>
  <si>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</si>
  <si>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</si>
  <si>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</si>
  <si>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</si>
  <si>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</si>
  <si>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</si>
  <si>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</si>
  <si>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</si>
  <si>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</si>
  <si>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</si>
  <si>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</si>
  <si>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</si>
  <si>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</si>
  <si>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</si>
  <si>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</si>
  <si>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</si>
  <si>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</si>
  <si>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</si>
  <si>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</si>
  <si>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</si>
  <si>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</si>
  <si>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</si>
  <si>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</si>
  <si>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</si>
  <si>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</si>
  <si>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</si>
  <si>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</si>
  <si>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</si>
  <si>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</si>
  <si>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</si>
  <si>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</si>
  <si>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</si>
  <si>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</si>
  <si>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</si>
  <si>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</si>
  <si>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</si>
  <si>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</si>
  <si>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</si>
  <si>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</si>
  <si>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</si>
  <si>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</si>
  <si>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</si>
  <si>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</si>
  <si>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</si>
  <si>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</si>
  <si>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</si>
  <si>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</si>
  <si>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</si>
  <si>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</si>
  <si>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</si>
  <si>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</si>
  <si>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</si>
  <si>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</si>
  <si>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</si>
  <si>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</si>
  <si>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</si>
  <si>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</si>
  <si>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</si>
  <si>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</si>
  <si>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</si>
  <si>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</si>
  <si>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</si>
  <si>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</si>
  <si>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</si>
  <si>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</si>
  <si>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</si>
  <si>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</si>
  <si>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</si>
  <si>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</si>
  <si>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</si>
  <si>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</si>
  <si>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</si>
  <si>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</si>
  <si>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</si>
  <si>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</si>
  <si>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</si>
  <si>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</si>
  <si>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</si>
  <si>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</si>
  <si>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</si>
  <si>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</si>
  <si>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</si>
  <si>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</si>
  <si>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</si>
  <si>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</si>
  <si>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</si>
  <si>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</si>
  <si>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</si>
  <si>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</si>
  <si>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</si>
  <si>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</si>
  <si>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</si>
  <si>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</si>
  <si>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</si>
  <si>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</si>
  <si>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</si>
  <si>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</si>
  <si>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</si>
  <si>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</si>
  <si>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</si>
  <si>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</si>
  <si>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</si>
  <si>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</si>
  <si>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</si>
  <si>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</si>
  <si>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</si>
  <si>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</si>
  <si>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</si>
  <si>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</si>
  <si>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</si>
  <si>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</si>
  <si>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</si>
  <si>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</si>
  <si>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</si>
  <si>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</si>
  <si>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</si>
  <si>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</si>
  <si>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</si>
  <si>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</si>
  <si>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</si>
  <si>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</si>
  <si>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</si>
  <si>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</si>
  <si>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</si>
  <si>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</si>
  <si>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</si>
  <si>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</si>
  <si>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</si>
  <si>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</si>
  <si>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</si>
  <si>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</si>
  <si>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</si>
  <si>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</si>
  <si>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</si>
  <si>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</si>
  <si>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</si>
  <si>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</si>
  <si>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</si>
  <si>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</si>
  <si>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</si>
  <si>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</si>
  <si>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</si>
  <si>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</si>
  <si>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</si>
  <si>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</si>
  <si>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</si>
  <si>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</si>
  <si>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</si>
  <si>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</si>
  <si>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</si>
  <si>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</si>
  <si>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</si>
  <si>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</si>
  <si>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</si>
  <si>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</si>
  <si>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</si>
  <si>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</si>
  <si>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</si>
  <si>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</si>
  <si>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</si>
  <si>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</si>
  <si>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</si>
  <si>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</si>
  <si>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</si>
  <si>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</si>
  <si>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</si>
  <si>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</si>
  <si>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</si>
  <si>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</si>
  <si>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</si>
  <si>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</si>
  <si>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</si>
  <si>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</si>
  <si>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</si>
  <si>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</si>
  <si>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</si>
  <si>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</si>
  <si>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</si>
  <si>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</si>
  <si>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</si>
  <si>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</si>
  <si>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</si>
  <si>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</si>
  <si>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</si>
  <si>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</si>
  <si>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</si>
  <si>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</si>
  <si>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</si>
  <si>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</si>
  <si>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</si>
  <si>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</si>
  <si>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</si>
  <si>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</si>
  <si>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</si>
  <si>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</si>
  <si>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</si>
  <si>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</si>
  <si>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</si>
  <si>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</si>
  <si>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</si>
  <si>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</si>
  <si>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</si>
  <si>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</si>
  <si>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</si>
  <si>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</si>
  <si>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</si>
  <si>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</si>
  <si>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</si>
  <si>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</si>
  <si>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</si>
  <si>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</si>
  <si>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</si>
  <si>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</si>
  <si>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</si>
  <si>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</si>
  <si>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</si>
  <si>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</si>
  <si>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</si>
  <si>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</si>
  <si>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</si>
  <si>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</si>
  <si>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</si>
  <si>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</si>
  <si>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</si>
  <si>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</si>
  <si>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</si>
  <si>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</si>
  <si>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</si>
  <si>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</si>
  <si>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</si>
  <si>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</si>
  <si>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</si>
  <si>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</si>
  <si>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</si>
  <si>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</si>
  <si>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</si>
  <si>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</si>
  <si>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</si>
  <si>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</si>
  <si>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</si>
  <si>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</si>
  <si>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</si>
  <si>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</si>
  <si>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</si>
  <si>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</si>
  <si>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</si>
  <si>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</si>
  <si>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</si>
  <si>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</si>
  <si>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</si>
  <si>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</si>
  <si>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</si>
  <si>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</si>
  <si>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</si>
  <si>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</si>
  <si>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</si>
  <si>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</si>
  <si>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</si>
  <si>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</si>
  <si>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</si>
  <si>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</si>
  <si>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</si>
  <si>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</si>
  <si>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</si>
  <si>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</si>
  <si>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</si>
  <si>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</si>
  <si>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</si>
  <si>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</si>
  <si>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</si>
  <si>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</si>
  <si>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</si>
  <si>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</si>
  <si>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</si>
  <si>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</si>
  <si>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</si>
  <si>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</si>
  <si>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</si>
  <si>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</si>
  <si>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</si>
  <si>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</si>
  <si>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</si>
  <si>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</si>
  <si>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</si>
  <si>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</si>
  <si>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</si>
  <si>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</si>
  <si>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</si>
  <si>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</si>
  <si>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</si>
  <si>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</si>
  <si>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</si>
  <si>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</si>
  <si>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</si>
  <si>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</si>
  <si>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</si>
  <si>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</si>
  <si>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</si>
  <si>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</si>
  <si>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</si>
  <si>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</si>
  <si>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</si>
  <si>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</si>
  <si>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</si>
  <si>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</si>
  <si>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</si>
  <si>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</si>
  <si>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</si>
  <si>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</si>
  <si>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</si>
  <si>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</si>
  <si>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</si>
  <si>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</si>
  <si>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</si>
  <si>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</si>
  <si>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</si>
  <si>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</si>
  <si>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</si>
  <si>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</si>
  <si>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</si>
  <si>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</si>
  <si>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</si>
  <si>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</si>
  <si>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</si>
  <si>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</si>
  <si>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</si>
  <si>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</si>
  <si>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</si>
  <si>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</si>
  <si>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</si>
  <si>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</si>
  <si>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</si>
  <si>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</si>
  <si>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</si>
  <si>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</si>
  <si>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</si>
  <si>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</si>
  <si>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</si>
  <si>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</si>
  <si>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</si>
  <si>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</si>
  <si>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</si>
  <si>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</si>
  <si>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</si>
  <si>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</si>
  <si>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</si>
  <si>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</si>
  <si>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</si>
  <si>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</si>
  <si>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</si>
  <si>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</si>
  <si>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</si>
  <si>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</si>
  <si>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</si>
  <si>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</si>
  <si>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</si>
  <si>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</si>
  <si>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</si>
  <si>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</si>
  <si>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</si>
  <si>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</si>
  <si>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</si>
  <si>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</si>
  <si>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</si>
  <si>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</si>
  <si>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</si>
  <si>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</si>
  <si>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</si>
  <si>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</si>
  <si>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</si>
  <si>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</si>
  <si>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</si>
  <si>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</si>
  <si>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</si>
  <si>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</si>
  <si>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</si>
  <si>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</si>
  <si>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</si>
  <si>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</si>
  <si>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</si>
  <si>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</si>
  <si>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</si>
  <si>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</si>
  <si>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</si>
  <si>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</si>
  <si>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</si>
  <si>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</si>
  <si>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</si>
  <si>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</si>
  <si>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</si>
  <si>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</si>
  <si>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</si>
  <si>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</si>
  <si>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</si>
  <si>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</si>
  <si>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</si>
  <si>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</si>
  <si>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</si>
  <si>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</si>
  <si>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</si>
  <si>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</si>
  <si>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</si>
  <si>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</si>
  <si>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</si>
  <si>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</si>
  <si>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</si>
  <si>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</si>
  <si>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</si>
  <si>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</si>
  <si>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</si>
  <si>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</si>
  <si>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</si>
  <si>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</si>
  <si>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</si>
  <si>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</si>
  <si>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</si>
  <si>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</si>
  <si>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</si>
  <si>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</si>
  <si>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</si>
  <si>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</si>
  <si>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</si>
  <si>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</si>
  <si>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</si>
  <si>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</si>
  <si>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</si>
  <si>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</si>
  <si>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</si>
  <si>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</si>
  <si>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</si>
  <si>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</si>
  <si>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</si>
  <si>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</si>
  <si>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</si>
  <si>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</si>
  <si>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</si>
  <si>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</si>
  <si>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mail_capacity_per_unit</t>
  </si>
  <si>
    <t>realistic_mail_capacity_per_unit</t>
  </si>
  <si>
    <t>realistic_mail_capacity_per_trailer</t>
  </si>
  <si>
    <t>mail_capacity_per_trailer</t>
  </si>
  <si>
    <t>mail_capacity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</si>
</sst>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  <xf numFmtId="0" fontId="2" fillId="2" borderId="0" xfId="0" applyFont="1" applyFill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125"/>
  <sheetViews>
    <sheetView tabSelected="1" zoomScaleNormal="100" workbookViewId="0">
      <pane xSplit="2910" ySplit="600" topLeftCell="D53" activePane="bottomRight"/>
      <selection pane="topRight" activeCell="AJ1" sqref="AJ1"/>
      <selection pane="bottomLeft" activeCell="A58" sqref="A58"/>
      <selection pane="bottomRight" activeCell="K114" sqref="K114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30" width="23.7109375" customWidth="1"/>
    <col min="31" max="31" width="17.140625" customWidth="1"/>
    <col min="32" max="32" width="12.5703125" customWidth="1"/>
    <col min="33" max="33" width="15.7109375" customWidth="1"/>
    <col min="34" max="34" width="18.5703125" bestFit="1" customWidth="1"/>
    <col min="35" max="35" width="23.7109375" bestFit="1" customWidth="1"/>
    <col min="36" max="38" width="23.7109375" customWidth="1"/>
    <col min="39" max="39" width="15.85546875" bestFit="1" customWidth="1"/>
    <col min="40" max="40" width="20.5703125" bestFit="1" customWidth="1"/>
    <col min="41" max="47" width="20.5703125" customWidth="1"/>
    <col min="48" max="48" width="9.85546875" bestFit="1" customWidth="1"/>
    <col min="49" max="51" width="9.85546875" customWidth="1"/>
    <col min="52" max="52" width="7.140625" bestFit="1" customWidth="1"/>
    <col min="53" max="53" width="14.85546875" bestFit="1" customWidth="1"/>
    <col min="54" max="54" width="10.7109375" bestFit="1" customWidth="1"/>
    <col min="55" max="55" width="18.7109375" bestFit="1" customWidth="1"/>
    <col min="56" max="57" width="14.85546875" customWidth="1"/>
    <col min="58" max="61" width="14.85546875" style="2" customWidth="1"/>
    <col min="62" max="63" width="14.85546875" customWidth="1"/>
    <col min="64" max="64" width="19.140625" bestFit="1" customWidth="1"/>
    <col min="65" max="65" width="27.42578125" bestFit="1" customWidth="1"/>
    <col min="66" max="66" width="27.42578125" customWidth="1"/>
    <col min="67" max="67" width="21.140625" bestFit="1" customWidth="1"/>
    <col min="68" max="69" width="29.42578125" bestFit="1" customWidth="1"/>
    <col min="70" max="72" width="12.5703125" customWidth="1"/>
    <col min="73" max="73" width="17.42578125" bestFit="1" customWidth="1"/>
    <col min="74" max="74" width="12.5703125" customWidth="1"/>
  </cols>
  <sheetData>
    <row r="1" spans="1:75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281</v>
      </c>
      <c r="L1" s="1" t="s">
        <v>153</v>
      </c>
      <c r="M1" s="1" t="s">
        <v>282</v>
      </c>
      <c r="N1" s="1" t="s">
        <v>283</v>
      </c>
      <c r="O1" s="1" t="s">
        <v>154</v>
      </c>
      <c r="P1" s="1" t="s">
        <v>304</v>
      </c>
      <c r="Q1" s="1" t="s">
        <v>288</v>
      </c>
      <c r="R1" s="1" t="s">
        <v>296</v>
      </c>
      <c r="S1" s="1" t="s">
        <v>338</v>
      </c>
      <c r="T1" s="1" t="s">
        <v>273</v>
      </c>
      <c r="U1" s="1" t="s">
        <v>342</v>
      </c>
      <c r="V1" s="1" t="s">
        <v>355</v>
      </c>
      <c r="W1" s="1" t="s">
        <v>420</v>
      </c>
      <c r="X1" s="1" t="s">
        <v>356</v>
      </c>
      <c r="Y1" s="1" t="s">
        <v>527</v>
      </c>
      <c r="Z1" s="1" t="s">
        <v>520</v>
      </c>
      <c r="AA1" s="1" t="s">
        <v>367</v>
      </c>
      <c r="AB1" s="1" t="s">
        <v>393</v>
      </c>
      <c r="AC1" s="1" t="s">
        <v>370</v>
      </c>
      <c r="AD1" s="1" t="s">
        <v>384</v>
      </c>
      <c r="AE1" s="1" t="s">
        <v>285</v>
      </c>
      <c r="AF1" s="1" t="s">
        <v>289</v>
      </c>
      <c r="AG1" s="1" t="s">
        <v>152</v>
      </c>
      <c r="AH1" s="1" t="s">
        <v>284</v>
      </c>
      <c r="AI1" s="1" t="s">
        <v>381</v>
      </c>
      <c r="AJ1" s="1" t="s">
        <v>545</v>
      </c>
      <c r="AK1" s="1" t="s">
        <v>541</v>
      </c>
      <c r="AL1" s="1" t="s">
        <v>542</v>
      </c>
      <c r="AM1" s="1" t="s">
        <v>307</v>
      </c>
      <c r="AN1" s="1" t="s">
        <v>308</v>
      </c>
      <c r="AO1" s="1" t="s">
        <v>406</v>
      </c>
      <c r="AP1" s="1" t="s">
        <v>427</v>
      </c>
      <c r="AQ1" s="1" t="s">
        <v>437</v>
      </c>
      <c r="AR1" s="1" t="s">
        <v>395</v>
      </c>
      <c r="AS1" s="1" t="s">
        <v>397</v>
      </c>
      <c r="AT1" s="1" t="s">
        <v>399</v>
      </c>
      <c r="AU1" s="1" t="s">
        <v>358</v>
      </c>
      <c r="AV1" s="1" t="s">
        <v>386</v>
      </c>
      <c r="AW1" s="1" t="s">
        <v>445</v>
      </c>
      <c r="AX1" s="1" t="s">
        <v>446</v>
      </c>
      <c r="AY1" s="1" t="s">
        <v>388</v>
      </c>
      <c r="AZ1" s="1" t="s">
        <v>155</v>
      </c>
      <c r="BA1" s="1" t="s">
        <v>156</v>
      </c>
      <c r="BB1" s="1" t="s">
        <v>448</v>
      </c>
      <c r="BC1" s="1" t="s">
        <v>449</v>
      </c>
      <c r="BD1" s="1" t="s">
        <v>286</v>
      </c>
      <c r="BE1" s="1" t="s">
        <v>287</v>
      </c>
      <c r="BF1" s="4" t="s">
        <v>290</v>
      </c>
      <c r="BG1" s="4" t="s">
        <v>291</v>
      </c>
      <c r="BH1" s="4" t="s">
        <v>309</v>
      </c>
      <c r="BI1" s="4" t="s">
        <v>310</v>
      </c>
      <c r="BJ1" s="1" t="s">
        <v>292</v>
      </c>
      <c r="BK1" s="1" t="s">
        <v>540</v>
      </c>
      <c r="BL1" s="1" t="s">
        <v>293</v>
      </c>
      <c r="BM1" s="1" t="s">
        <v>294</v>
      </c>
      <c r="BN1" s="1" t="s">
        <v>544</v>
      </c>
      <c r="BO1" s="1" t="s">
        <v>422</v>
      </c>
      <c r="BP1" s="1" t="s">
        <v>543</v>
      </c>
      <c r="BQ1" s="1" t="s">
        <v>423</v>
      </c>
      <c r="BR1" s="1" t="s">
        <v>157</v>
      </c>
      <c r="BS1" s="1" t="s">
        <v>158</v>
      </c>
      <c r="BT1" s="1" t="s">
        <v>159</v>
      </c>
      <c r="BU1" s="1" t="s">
        <v>149</v>
      </c>
      <c r="BV1" s="1" t="s">
        <v>160</v>
      </c>
      <c r="BW1" s="1" t="s">
        <v>161</v>
      </c>
    </row>
    <row r="2" spans="1:75" x14ac:dyDescent="0.25">
      <c r="A2" t="s">
        <v>278</v>
      </c>
      <c r="B2" t="s">
        <v>279</v>
      </c>
      <c r="C2" t="s">
        <v>279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Z2" s="2"/>
      <c r="BA2" s="2"/>
      <c r="BB2" s="2"/>
      <c r="BC2" s="2"/>
      <c r="BD2" s="2"/>
      <c r="BE2" s="2"/>
      <c r="BJ2" s="2"/>
      <c r="BK2" s="2"/>
      <c r="BL2" s="2"/>
      <c r="BM2" s="2"/>
      <c r="BN2" s="2"/>
      <c r="BO2" s="2"/>
      <c r="BP2" s="2"/>
      <c r="BQ2" s="2"/>
      <c r="BR2" s="3"/>
      <c r="BS2" s="3"/>
      <c r="BT2" s="3"/>
      <c r="BV2" s="2"/>
    </row>
    <row r="3" spans="1:75" x14ac:dyDescent="0.25">
      <c r="A3" t="s">
        <v>390</v>
      </c>
      <c r="B3" t="s">
        <v>389</v>
      </c>
      <c r="C3" t="s">
        <v>279</v>
      </c>
      <c r="D3">
        <v>0</v>
      </c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Z3" s="2"/>
      <c r="BA3" s="2"/>
      <c r="BB3" s="2"/>
      <c r="BC3" s="2"/>
      <c r="BD3" s="2"/>
      <c r="BE3" s="2"/>
      <c r="BJ3" s="2"/>
      <c r="BK3" s="2"/>
      <c r="BL3" s="2"/>
      <c r="BM3" s="2"/>
      <c r="BN3" s="2"/>
      <c r="BO3" s="2"/>
      <c r="BP3" s="2"/>
      <c r="BQ3" s="2"/>
      <c r="BR3" s="3"/>
      <c r="BS3" s="3"/>
      <c r="BT3" s="3"/>
      <c r="BV3" s="2"/>
    </row>
    <row r="4" spans="1:75" x14ac:dyDescent="0.25">
      <c r="A4" t="s">
        <v>391</v>
      </c>
      <c r="B4" t="s">
        <v>392</v>
      </c>
      <c r="C4" t="s">
        <v>279</v>
      </c>
      <c r="D4">
        <v>0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Z4" s="2"/>
      <c r="BA4" s="2"/>
      <c r="BB4" s="2"/>
      <c r="BC4" s="2"/>
      <c r="BD4" s="2"/>
      <c r="BE4" s="2"/>
      <c r="BJ4" s="2"/>
      <c r="BK4" s="2"/>
      <c r="BL4" s="2"/>
      <c r="BM4" s="2"/>
      <c r="BN4" s="2"/>
      <c r="BO4" s="2"/>
      <c r="BP4" s="2"/>
      <c r="BQ4" s="2"/>
      <c r="BR4" s="3"/>
      <c r="BS4" s="3"/>
      <c r="BT4" s="3"/>
      <c r="BV4" s="2"/>
    </row>
    <row r="5" spans="1:75" x14ac:dyDescent="0.25">
      <c r="A5" t="s">
        <v>372</v>
      </c>
      <c r="B5" t="s">
        <v>371</v>
      </c>
      <c r="C5" t="s">
        <v>370</v>
      </c>
      <c r="D5">
        <v>0</v>
      </c>
      <c r="U5" t="s">
        <v>343</v>
      </c>
      <c r="Y5" t="s">
        <v>343</v>
      </c>
    </row>
    <row r="6" spans="1:75" x14ac:dyDescent="0.25">
      <c r="A6" t="s">
        <v>375</v>
      </c>
      <c r="B6" t="s">
        <v>373</v>
      </c>
      <c r="C6" t="s">
        <v>370</v>
      </c>
      <c r="D6">
        <v>0</v>
      </c>
      <c r="U6" t="s">
        <v>343</v>
      </c>
      <c r="V6" t="s">
        <v>343</v>
      </c>
      <c r="X6" t="s">
        <v>343</v>
      </c>
    </row>
    <row r="7" spans="1:75" x14ac:dyDescent="0.25">
      <c r="A7" t="s">
        <v>376</v>
      </c>
      <c r="B7" t="s">
        <v>374</v>
      </c>
      <c r="C7" t="s">
        <v>370</v>
      </c>
      <c r="D7">
        <v>0</v>
      </c>
      <c r="U7" t="s">
        <v>343</v>
      </c>
      <c r="V7" t="s">
        <v>343</v>
      </c>
      <c r="X7" t="s">
        <v>343</v>
      </c>
    </row>
    <row r="8" spans="1:75" x14ac:dyDescent="0.25">
      <c r="A8" t="s">
        <v>421</v>
      </c>
      <c r="B8" t="s">
        <v>419</v>
      </c>
      <c r="C8" t="s">
        <v>370</v>
      </c>
      <c r="D8">
        <v>0</v>
      </c>
      <c r="U8" t="s">
        <v>343</v>
      </c>
      <c r="W8" t="s">
        <v>343</v>
      </c>
      <c r="X8" t="s">
        <v>343</v>
      </c>
    </row>
    <row r="9" spans="1:75" x14ac:dyDescent="0.25">
      <c r="A9" t="s">
        <v>443</v>
      </c>
      <c r="B9" t="s">
        <v>444</v>
      </c>
      <c r="C9" t="s">
        <v>370</v>
      </c>
      <c r="D9">
        <v>0</v>
      </c>
      <c r="Y9" t="s">
        <v>343</v>
      </c>
      <c r="AA9" t="s">
        <v>343</v>
      </c>
    </row>
    <row r="10" spans="1:75" x14ac:dyDescent="0.25">
      <c r="A10" t="s">
        <v>479</v>
      </c>
      <c r="B10" t="s">
        <v>481</v>
      </c>
      <c r="C10" t="s">
        <v>480</v>
      </c>
      <c r="D10">
        <v>0</v>
      </c>
    </row>
    <row r="11" spans="1:75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100</v>
      </c>
      <c r="L11">
        <v>12</v>
      </c>
      <c r="M11">
        <v>4</v>
      </c>
      <c r="N11">
        <v>1</v>
      </c>
      <c r="O11">
        <v>15</v>
      </c>
      <c r="P11">
        <v>20</v>
      </c>
      <c r="Q11">
        <v>1</v>
      </c>
      <c r="R11" t="s">
        <v>297</v>
      </c>
      <c r="T11" s="2" t="s">
        <v>274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>
        <v>5</v>
      </c>
      <c r="AF11">
        <v>11</v>
      </c>
      <c r="AG11">
        <v>12</v>
      </c>
      <c r="AH11">
        <v>12</v>
      </c>
      <c r="AO11" t="s">
        <v>439</v>
      </c>
      <c r="AQ11" t="s">
        <v>438</v>
      </c>
      <c r="AR11" t="s">
        <v>438</v>
      </c>
      <c r="AS11" t="s">
        <v>439</v>
      </c>
      <c r="AT11" t="s">
        <v>408</v>
      </c>
      <c r="AU11" t="s">
        <v>359</v>
      </c>
      <c r="AY11" t="s">
        <v>279</v>
      </c>
      <c r="AZ11" s="2">
        <f>(SQRT(J11*AG11)*POWER((MIN(L11,20)+SQRT(MAX(L11-20,0))),0.9)*Data!$B$1)*(1-(Q11-1))</f>
        <v>10.316948446979625</v>
      </c>
      <c r="BA11" s="2">
        <f>(POWER((J11*J11*AG11), 0.33)*LOG10(O11)*10*Data!$B$1)*Q11</f>
        <v>13.493106560639641</v>
      </c>
      <c r="BB11" s="2"/>
      <c r="BC11" s="2"/>
      <c r="BD11" s="2">
        <f>IFERROR((SQRT($AF11*$AH11)*POWER((MIN($L11,20)+SQRT(MAX($L11-20,0))),0.9)*Data!$B$1)*(1 - (Q11-1)),AZ11)</f>
        <v>8.0651295981665143</v>
      </c>
      <c r="BE11" s="2">
        <f>IFERROR(((POWER(($AF11*$AF11*$AH11), 0.33)*LOG10($AE11)*10*Data!$B$1)*Q11),BA11)</f>
        <v>5.7938705215218507</v>
      </c>
      <c r="BF11" s="2">
        <f t="shared" ref="BF11:BF42" si="0">J11/1.24</f>
        <v>14.516129032258064</v>
      </c>
      <c r="BG11" s="2">
        <f t="shared" ref="BG11:BG42" si="1">AF11/1.24</f>
        <v>8.870967741935484</v>
      </c>
      <c r="BH11" s="2">
        <f t="shared" ref="BH11:BH42" si="2">AM11/1.24</f>
        <v>0</v>
      </c>
      <c r="BI11" s="2">
        <f t="shared" ref="BI11:BI42" si="3">AN11/1.24</f>
        <v>0</v>
      </c>
      <c r="BJ11" s="2">
        <v>2</v>
      </c>
      <c r="BK11" s="2">
        <v>2</v>
      </c>
      <c r="BL11" s="2">
        <f t="shared" ref="BL11:BL42" si="4">AG11/BK11</f>
        <v>6</v>
      </c>
      <c r="BM11" s="2">
        <f t="shared" ref="BM11:BM42" si="5">AH11/BK11</f>
        <v>6</v>
      </c>
      <c r="BN11" s="2">
        <f t="shared" ref="BN11:BN74" si="6">IF(AJ11 &gt; 0, (AJ11)/MAX(BJ11-1, 1), -1)</f>
        <v>-1</v>
      </c>
      <c r="BO11" s="2">
        <f t="shared" ref="BO11:BO42" si="7">(AG11)/MAX(BJ11-1, 1)</f>
        <v>12</v>
      </c>
      <c r="BP11" s="2">
        <f t="shared" ref="BP11:BP74" si="8">IF(AI11 &gt; 0, (AI11)/MAX(BJ11-1, 1), -1)</f>
        <v>-1</v>
      </c>
      <c r="BQ11" s="2">
        <f t="shared" ref="BQ11:BQ42" si="9">IF(AH11 &gt; 0, (AH11)/MAX(BJ11-1, 1), -1)</f>
        <v>12</v>
      </c>
      <c r="BR11" s="3"/>
      <c r="BS11" s="3"/>
      <c r="BT11" s="3"/>
      <c r="BU11">
        <f>F11-F5</f>
        <v>1800</v>
      </c>
      <c r="BV11" s="2" t="str">
        <f>CONCATENATE(
ROUND(BR11*VLOOKUP(I11,'ID Scheme'!$A$2:$E$7,3),0), "x",
ROUND(BS11*VLOOKUP(I11,'ID Scheme'!$A$2:$E$7,5),0), "x",
ROUND(BT11*VLOOKUP(I11,'ID Scheme'!$A$2:$E$7,4),0))</f>
        <v>0x0x0</v>
      </c>
    </row>
    <row r="12" spans="1:75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45</v>
      </c>
      <c r="L12">
        <v>20</v>
      </c>
      <c r="M12">
        <v>4</v>
      </c>
      <c r="N12">
        <v>4</v>
      </c>
      <c r="O12">
        <v>30</v>
      </c>
      <c r="P12">
        <v>20</v>
      </c>
      <c r="Q12">
        <v>1</v>
      </c>
      <c r="R12" t="s">
        <v>298</v>
      </c>
      <c r="S12">
        <v>2</v>
      </c>
      <c r="T12" s="2" t="s">
        <v>275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G12">
        <v>22</v>
      </c>
      <c r="AU12" t="s">
        <v>359</v>
      </c>
      <c r="AZ12" s="2">
        <f>(SQRT(J12*AG12)*POWER((MIN(L12,20)+SQRT(MAX(L12-20,0))),0.9)*Data!$B$1)*(1-(Q12-1))</f>
        <v>22.122583982050454</v>
      </c>
      <c r="BA12" s="2">
        <f>(POWER((J12*J12*AG12), 0.33)*LOG10(O12)*10*Data!$B$1)*Q12</f>
        <v>20.699351945933547</v>
      </c>
      <c r="BB12" s="2"/>
      <c r="BC12" s="2"/>
      <c r="BD12" s="2">
        <f>IFERROR((SQRT($J12*$AH12)*POWER((MIN($L12,20)+SQRT(MAX($L12-20,0))),0.9)*Data!$B$1)*(1 - (Q12-1)),AZ12)</f>
        <v>0</v>
      </c>
      <c r="BE12" s="2">
        <f>IFERROR(((POWER(($J12*$J12*$AH12), 0.33)*LOG10($AE12)*10*Data!$B$1)*Q12),BA12)</f>
        <v>20.699351945933547</v>
      </c>
      <c r="BF12" s="2">
        <f t="shared" si="0"/>
        <v>14.516129032258064</v>
      </c>
      <c r="BG12" s="2">
        <f t="shared" si="1"/>
        <v>0</v>
      </c>
      <c r="BH12" s="2">
        <f t="shared" si="2"/>
        <v>0</v>
      </c>
      <c r="BI12" s="2">
        <f t="shared" si="3"/>
        <v>0</v>
      </c>
      <c r="BJ12" s="2">
        <v>1</v>
      </c>
      <c r="BK12" s="2">
        <v>1</v>
      </c>
      <c r="BL12" s="2">
        <f t="shared" si="4"/>
        <v>22</v>
      </c>
      <c r="BM12" s="2">
        <f t="shared" si="5"/>
        <v>0</v>
      </c>
      <c r="BN12" s="2">
        <f t="shared" si="6"/>
        <v>-1</v>
      </c>
      <c r="BO12" s="2">
        <f t="shared" si="7"/>
        <v>22</v>
      </c>
      <c r="BP12" s="2">
        <f t="shared" si="8"/>
        <v>-1</v>
      </c>
      <c r="BQ12" s="2">
        <f t="shared" si="9"/>
        <v>-1</v>
      </c>
      <c r="BR12" s="3"/>
      <c r="BS12" s="3"/>
      <c r="BT12" s="3"/>
      <c r="BU12">
        <f t="shared" ref="BU12:BU36" si="10">F12-F11</f>
        <v>33</v>
      </c>
      <c r="BV12" s="2" t="str">
        <f>CONCATENATE(
ROUND(BR12*VLOOKUP(I12,'ID Scheme'!$A$2:$E$7,3),0), "x",
ROUND(BS12*VLOOKUP(I12,'ID Scheme'!$A$2:$E$7,5),0), "x",
ROUND(BT12*VLOOKUP(I12,'ID Scheme'!$A$2:$E$7,4),0))</f>
        <v>0x0x0</v>
      </c>
    </row>
    <row r="13" spans="1:75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20</v>
      </c>
      <c r="L13">
        <v>15</v>
      </c>
      <c r="M13">
        <v>5</v>
      </c>
      <c r="N13">
        <v>5</v>
      </c>
      <c r="O13">
        <v>30</v>
      </c>
      <c r="P13">
        <v>20</v>
      </c>
      <c r="Q13">
        <v>1</v>
      </c>
      <c r="R13" t="s">
        <v>299</v>
      </c>
      <c r="S13">
        <v>3</v>
      </c>
      <c r="T13" s="2" t="s">
        <v>276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G13">
        <v>36</v>
      </c>
      <c r="AU13" t="s">
        <v>359</v>
      </c>
      <c r="AZ13" s="2">
        <f>(SQRT(J13*AG13)*POWER((MIN(L13,20)+SQRT(MAX(L13-20,0))),0.9)*Data!$B$1)*(1-(Q13-1))</f>
        <v>24.149380110174171</v>
      </c>
      <c r="BA13" s="2">
        <f>(POWER((J13*J13*AG13), 0.33)*LOG10(O13)*10*Data!$B$1)*Q13</f>
        <v>27.800730349293211</v>
      </c>
      <c r="BB13" s="2"/>
      <c r="BC13" s="2"/>
      <c r="BD13" s="2">
        <f>IFERROR((SQRT($J13*$AH13)*POWER((MIN($L13,20)+SQRT(MAX($L13-20,0))),0.9)*Data!$B$1)*(1 - (Q13-1)),AZ13)</f>
        <v>0</v>
      </c>
      <c r="BE13" s="2">
        <f>IFERROR(((POWER(($J13*$J13*$AH13), 0.33)*LOG10($AE13)*10*Data!$B$1)*Q13),BA13)</f>
        <v>27.800730349293211</v>
      </c>
      <c r="BF13" s="2">
        <f t="shared" si="0"/>
        <v>17.741935483870968</v>
      </c>
      <c r="BG13" s="2">
        <f t="shared" si="1"/>
        <v>0</v>
      </c>
      <c r="BH13" s="2">
        <f t="shared" si="2"/>
        <v>0</v>
      </c>
      <c r="BI13" s="2">
        <f t="shared" si="3"/>
        <v>0</v>
      </c>
      <c r="BJ13" s="2">
        <v>1</v>
      </c>
      <c r="BK13" s="2">
        <v>1</v>
      </c>
      <c r="BL13" s="2">
        <f t="shared" si="4"/>
        <v>36</v>
      </c>
      <c r="BM13" s="2">
        <f t="shared" si="5"/>
        <v>0</v>
      </c>
      <c r="BN13" s="2">
        <f t="shared" si="6"/>
        <v>-1</v>
      </c>
      <c r="BO13" s="2">
        <f t="shared" si="7"/>
        <v>36</v>
      </c>
      <c r="BP13" s="2">
        <f t="shared" si="8"/>
        <v>-1</v>
      </c>
      <c r="BQ13" s="2">
        <f t="shared" si="9"/>
        <v>-1</v>
      </c>
      <c r="BR13" s="3"/>
      <c r="BS13" s="3"/>
      <c r="BT13" s="3"/>
      <c r="BU13">
        <f t="shared" si="10"/>
        <v>78</v>
      </c>
      <c r="BV13" s="2" t="str">
        <f>CONCATENATE(
ROUND(BR13*VLOOKUP(I13,'ID Scheme'!$A$2:$E$7,3),0), "x",
ROUND(BS13*VLOOKUP(I13,'ID Scheme'!$A$2:$E$7,5),0), "x",
ROUND(BT13*VLOOKUP(I13,'ID Scheme'!$A$2:$E$7,4),0))</f>
        <v>0x0x0</v>
      </c>
    </row>
    <row r="14" spans="1:75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20</v>
      </c>
      <c r="L14">
        <v>16</v>
      </c>
      <c r="M14">
        <v>5</v>
      </c>
      <c r="N14">
        <v>5</v>
      </c>
      <c r="O14">
        <v>30</v>
      </c>
      <c r="P14">
        <v>20</v>
      </c>
      <c r="Q14">
        <v>1</v>
      </c>
      <c r="R14" t="s">
        <v>299</v>
      </c>
      <c r="S14">
        <v>3</v>
      </c>
      <c r="T14" s="2" t="s">
        <v>300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G14">
        <v>54</v>
      </c>
      <c r="AU14" t="s">
        <v>359</v>
      </c>
      <c r="AZ14" s="2">
        <f>(SQRT(J14*AG14)*POWER((MIN(L14,20)+SQRT(MAX(L14-20,0))),0.9)*Data!$B$1)*(1-(Q14-1))</f>
        <v>31.345663574572221</v>
      </c>
      <c r="BA14" s="2">
        <f>(POWER((J14*J14*AG14), 0.33)*LOG10(O14)*10*Data!$B$1)*Q14</f>
        <v>31.780909444617688</v>
      </c>
      <c r="BB14" s="2"/>
      <c r="BC14" s="2"/>
      <c r="BD14" s="2">
        <f>IFERROR((SQRT($J14*$AH14)*POWER((MIN($L14,20)+SQRT(MAX($L14-20,0))),0.9)*Data!$B$1)*(1 - (Q14-1)),AZ14)</f>
        <v>0</v>
      </c>
      <c r="BE14" s="2">
        <f>IFERROR(((POWER(($J14*$J14*$AH14), 0.33)*LOG10($AE14)*10*Data!$B$1)*Q14),BA14)</f>
        <v>31.780909444617688</v>
      </c>
      <c r="BF14" s="2">
        <f t="shared" si="0"/>
        <v>17.741935483870968</v>
      </c>
      <c r="BG14" s="2">
        <f t="shared" si="1"/>
        <v>0</v>
      </c>
      <c r="BH14" s="2">
        <f t="shared" si="2"/>
        <v>0</v>
      </c>
      <c r="BI14" s="2">
        <f t="shared" si="3"/>
        <v>0</v>
      </c>
      <c r="BJ14" s="2">
        <v>1</v>
      </c>
      <c r="BK14" s="2">
        <v>1</v>
      </c>
      <c r="BL14" s="2">
        <f t="shared" si="4"/>
        <v>54</v>
      </c>
      <c r="BM14" s="2">
        <f t="shared" si="5"/>
        <v>0</v>
      </c>
      <c r="BN14" s="2">
        <f t="shared" si="6"/>
        <v>-1</v>
      </c>
      <c r="BO14" s="2">
        <f t="shared" si="7"/>
        <v>54</v>
      </c>
      <c r="BP14" s="2">
        <f t="shared" si="8"/>
        <v>-1</v>
      </c>
      <c r="BQ14" s="2">
        <f t="shared" si="9"/>
        <v>-1</v>
      </c>
      <c r="BR14" s="3"/>
      <c r="BS14" s="3"/>
      <c r="BT14" s="3"/>
      <c r="BU14">
        <f t="shared" si="10"/>
        <v>9</v>
      </c>
      <c r="BV14" s="2" t="str">
        <f>CONCATENATE(
ROUND(BR14*VLOOKUP(I14,'ID Scheme'!$A$2:$E$7,3),0), "x",
ROUND(BS14*VLOOKUP(I14,'ID Scheme'!$A$2:$E$7,5),0), "x",
ROUND(BT14*VLOOKUP(I14,'ID Scheme'!$A$2:$E$7,4),0))</f>
        <v>0x0x0</v>
      </c>
    </row>
    <row r="15" spans="1:75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20</v>
      </c>
      <c r="L15">
        <v>17</v>
      </c>
      <c r="M15">
        <v>4</v>
      </c>
      <c r="N15">
        <v>5</v>
      </c>
      <c r="O15">
        <v>94</v>
      </c>
      <c r="P15">
        <v>20</v>
      </c>
      <c r="Q15">
        <v>1</v>
      </c>
      <c r="R15" t="s">
        <v>299</v>
      </c>
      <c r="S15">
        <v>3</v>
      </c>
      <c r="T15" s="2" t="s">
        <v>324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G15">
        <v>35</v>
      </c>
      <c r="AU15" t="s">
        <v>359</v>
      </c>
      <c r="AZ15" s="2">
        <f>(SQRT(J15*AG15)*POWER((MIN(L15,20)+SQRT(MAX(L15-20,0))),0.9)*Data!$B$1)*(1-(Q15-1))</f>
        <v>36.82340631265253</v>
      </c>
      <c r="BA15" s="2">
        <f>(POWER((J15*J15*AG15), 0.33)*LOG10(O15)*10*Data!$B$1)*Q15</f>
        <v>56.377196674747736</v>
      </c>
      <c r="BB15" s="2"/>
      <c r="BC15" s="2"/>
      <c r="BD15" s="2">
        <f>IFERROR((SQRT($J15*$AH15)*POWER((MIN($L15,20)+SQRT(MAX($L15-20,0))),0.9)*Data!$B$1)*(1 - (Q15-1)),AZ15)</f>
        <v>0</v>
      </c>
      <c r="BE15" s="2">
        <f>IFERROR(((POWER(($J15*$J15*$AH15), 0.33)*LOG10($AE15)*10*Data!$B$1)*Q15),BA15)</f>
        <v>56.377196674747736</v>
      </c>
      <c r="BF15" s="2">
        <f t="shared" si="0"/>
        <v>33.870967741935488</v>
      </c>
      <c r="BG15" s="2">
        <f t="shared" si="1"/>
        <v>0</v>
      </c>
      <c r="BH15" s="2">
        <f t="shared" si="2"/>
        <v>0</v>
      </c>
      <c r="BI15" s="2">
        <f t="shared" si="3"/>
        <v>0</v>
      </c>
      <c r="BJ15" s="2">
        <v>1</v>
      </c>
      <c r="BK15" s="2">
        <v>1</v>
      </c>
      <c r="BL15" s="2">
        <f t="shared" si="4"/>
        <v>35</v>
      </c>
      <c r="BM15" s="2">
        <f t="shared" si="5"/>
        <v>0</v>
      </c>
      <c r="BN15" s="2">
        <f t="shared" si="6"/>
        <v>-1</v>
      </c>
      <c r="BO15" s="2">
        <f t="shared" si="7"/>
        <v>35</v>
      </c>
      <c r="BP15" s="2">
        <f t="shared" si="8"/>
        <v>-1</v>
      </c>
      <c r="BQ15" s="2">
        <f t="shared" si="9"/>
        <v>-1</v>
      </c>
      <c r="BR15" s="3"/>
      <c r="BS15" s="3"/>
      <c r="BT15" s="3"/>
      <c r="BU15">
        <f t="shared" si="10"/>
        <v>7</v>
      </c>
      <c r="BV15" s="2" t="str">
        <f>CONCATENATE(
ROUND(BR15*VLOOKUP(I15,'ID Scheme'!$A$2:$E$7,3),0), "x",
ROUND(BS15*VLOOKUP(I15,'ID Scheme'!$A$2:$E$7,5),0), "x",
ROUND(BT15*VLOOKUP(I15,'ID Scheme'!$A$2:$E$7,4),0))</f>
        <v>0x0x0</v>
      </c>
    </row>
    <row r="16" spans="1:75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20</v>
      </c>
      <c r="L16">
        <v>20</v>
      </c>
      <c r="M16">
        <v>7</v>
      </c>
      <c r="N16">
        <v>7</v>
      </c>
      <c r="O16">
        <v>90</v>
      </c>
      <c r="P16">
        <v>20</v>
      </c>
      <c r="Q16">
        <v>1</v>
      </c>
      <c r="R16" t="s">
        <v>299</v>
      </c>
      <c r="S16">
        <v>3</v>
      </c>
      <c r="T16" s="2" t="s">
        <v>323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G16">
        <v>50</v>
      </c>
      <c r="AU16" t="s">
        <v>359</v>
      </c>
      <c r="AZ16" s="2">
        <f>(SQRT(J16*AG16)*POWER((MIN(L16,20)+SQRT(MAX(L16-20,0))),0.9)*Data!$B$1)*(1-(Q16-1))</f>
        <v>42.332338540034662</v>
      </c>
      <c r="BA16" s="2">
        <f>(POWER((J16*J16*AG16), 0.33)*LOG10(O16)*10*Data!$B$1)*Q16</f>
        <v>49.190642990058024</v>
      </c>
      <c r="BB16" s="2"/>
      <c r="BC16" s="2"/>
      <c r="BD16" s="2">
        <f>IFERROR((SQRT($J16*$AH16)*POWER((MIN($L16,20)+SQRT(MAX($L16-20,0))),0.9)*Data!$B$1)*(1 - (Q16-1)),AZ16)</f>
        <v>0</v>
      </c>
      <c r="BE16" s="2">
        <f>IFERROR(((POWER(($J16*$J16*$AH16), 0.33)*LOG10($AE16)*10*Data!$B$1)*Q16),BA16)</f>
        <v>49.190642990058024</v>
      </c>
      <c r="BF16" s="2">
        <f t="shared" si="0"/>
        <v>23.387096774193548</v>
      </c>
      <c r="BG16" s="2">
        <f t="shared" si="1"/>
        <v>0</v>
      </c>
      <c r="BH16" s="2">
        <f t="shared" si="2"/>
        <v>0</v>
      </c>
      <c r="BI16" s="2">
        <f t="shared" si="3"/>
        <v>0</v>
      </c>
      <c r="BJ16" s="2">
        <v>1</v>
      </c>
      <c r="BK16" s="2">
        <v>1</v>
      </c>
      <c r="BL16" s="2">
        <f t="shared" si="4"/>
        <v>50</v>
      </c>
      <c r="BM16" s="2">
        <f t="shared" si="5"/>
        <v>0</v>
      </c>
      <c r="BN16" s="2">
        <f t="shared" si="6"/>
        <v>-1</v>
      </c>
      <c r="BO16" s="2">
        <f t="shared" si="7"/>
        <v>50</v>
      </c>
      <c r="BP16" s="2">
        <f t="shared" si="8"/>
        <v>-1</v>
      </c>
      <c r="BQ16" s="2">
        <f t="shared" si="9"/>
        <v>-1</v>
      </c>
      <c r="BR16" s="3"/>
      <c r="BS16" s="3"/>
      <c r="BT16" s="3"/>
      <c r="BU16">
        <f t="shared" si="10"/>
        <v>2</v>
      </c>
      <c r="BV16" s="2" t="str">
        <f>CONCATENATE(
ROUND(BR16*VLOOKUP(I16,'ID Scheme'!$A$2:$E$7,3),0), "x",
ROUND(BS16*VLOOKUP(I16,'ID Scheme'!$A$2:$E$7,5),0), "x",
ROUND(BT16*VLOOKUP(I16,'ID Scheme'!$A$2:$E$7,4),0))</f>
        <v>0x0x0</v>
      </c>
    </row>
    <row r="17" spans="1:75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18</v>
      </c>
      <c r="L17">
        <v>19</v>
      </c>
      <c r="M17">
        <v>5</v>
      </c>
      <c r="N17">
        <v>5</v>
      </c>
      <c r="O17">
        <v>100</v>
      </c>
      <c r="P17">
        <v>20</v>
      </c>
      <c r="Q17">
        <v>1</v>
      </c>
      <c r="R17" t="s">
        <v>298</v>
      </c>
      <c r="S17">
        <v>-3</v>
      </c>
      <c r="T17" s="2" t="s">
        <v>322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G17">
        <v>32</v>
      </c>
      <c r="AU17" t="s">
        <v>359</v>
      </c>
      <c r="AZ17" s="2">
        <f>(SQRT(J17*AG17)*POWER((MIN(L17,20)+SQRT(MAX(L17-20,0))),0.9)*Data!$B$1)*(1-(Q17-1))</f>
        <v>36.030122922747744</v>
      </c>
      <c r="BA17" s="2">
        <f>(POWER((J17*J17*AG17), 0.33)*LOG10(O17)*10*Data!$B$1)*Q17</f>
        <v>50.112999997180935</v>
      </c>
      <c r="BB17" s="2"/>
      <c r="BC17" s="2"/>
      <c r="BD17" s="2">
        <f>IFERROR((SQRT($J17*$AH17)*POWER((MIN($L17,20)+SQRT(MAX($L17-20,0))),0.9)*Data!$B$1)*(1 - (Q17-1)),AZ17)</f>
        <v>0</v>
      </c>
      <c r="BE17" s="2">
        <f>IFERROR(((POWER(($J17*$J17*$AH17), 0.33)*LOG10($AE17)*10*Data!$B$1)*Q17),BA17)</f>
        <v>50.112999997180935</v>
      </c>
      <c r="BF17" s="2">
        <f t="shared" si="0"/>
        <v>29.032258064516128</v>
      </c>
      <c r="BG17" s="2">
        <f t="shared" si="1"/>
        <v>0</v>
      </c>
      <c r="BH17" s="2">
        <f t="shared" si="2"/>
        <v>0</v>
      </c>
      <c r="BI17" s="2">
        <f t="shared" si="3"/>
        <v>0</v>
      </c>
      <c r="BJ17" s="2">
        <v>1</v>
      </c>
      <c r="BK17" s="2">
        <v>1</v>
      </c>
      <c r="BL17" s="2">
        <f t="shared" si="4"/>
        <v>32</v>
      </c>
      <c r="BM17" s="2">
        <f t="shared" si="5"/>
        <v>0</v>
      </c>
      <c r="BN17" s="2">
        <f t="shared" si="6"/>
        <v>-1</v>
      </c>
      <c r="BO17" s="2">
        <f t="shared" si="7"/>
        <v>32</v>
      </c>
      <c r="BP17" s="2">
        <f t="shared" si="8"/>
        <v>-1</v>
      </c>
      <c r="BQ17" s="2">
        <f t="shared" si="9"/>
        <v>-1</v>
      </c>
      <c r="BR17" s="3"/>
      <c r="BS17" s="3"/>
      <c r="BT17" s="3"/>
      <c r="BU17">
        <f t="shared" si="10"/>
        <v>2</v>
      </c>
      <c r="BV17" s="2" t="str">
        <f>CONCATENATE(
ROUND(BR17*VLOOKUP(I17,'ID Scheme'!$A$2:$E$7,3),0), "x",
ROUND(BS17*VLOOKUP(I17,'ID Scheme'!$A$2:$E$7,5),0), "x",
ROUND(BT17*VLOOKUP(I17,'ID Scheme'!$A$2:$E$7,4),0))</f>
        <v>0x0x0</v>
      </c>
    </row>
    <row r="18" spans="1:75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20</v>
      </c>
      <c r="L18">
        <v>16</v>
      </c>
      <c r="M18">
        <v>4</v>
      </c>
      <c r="N18">
        <v>6</v>
      </c>
      <c r="O18">
        <v>102</v>
      </c>
      <c r="P18">
        <v>20</v>
      </c>
      <c r="Q18">
        <v>1</v>
      </c>
      <c r="R18" t="s">
        <v>299</v>
      </c>
      <c r="S18">
        <v>3</v>
      </c>
      <c r="T18" s="2" t="s">
        <v>321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G18">
        <v>44</v>
      </c>
      <c r="AU18" t="s">
        <v>359</v>
      </c>
      <c r="AZ18" s="2">
        <f>(SQRT(J18*AG18)*POWER((MIN(L18,20)+SQRT(MAX(L18-20,0))),0.9)*Data!$B$1)*(1-(Q18-1))</f>
        <v>38.152726710580495</v>
      </c>
      <c r="BA18" s="2">
        <f>(POWER((J18*J18*AG18), 0.33)*LOG10(O18)*10*Data!$B$1)*Q18</f>
        <v>59.931305258252422</v>
      </c>
      <c r="BB18" s="2"/>
      <c r="BC18" s="2"/>
      <c r="BD18" s="2">
        <f>IFERROR((SQRT($J18*$AH18)*POWER((MIN($L18,20)+SQRT(MAX($L18-20,0))),0.9)*Data!$B$1)*(1 - (Q18-1)),AZ18)</f>
        <v>0</v>
      </c>
      <c r="BE18" s="2">
        <f>IFERROR(((POWER(($J18*$J18*$AH18), 0.33)*LOG10($AE18)*10*Data!$B$1)*Q18),BA18)</f>
        <v>59.931305258252422</v>
      </c>
      <c r="BF18" s="2">
        <f t="shared" si="0"/>
        <v>32.258064516129032</v>
      </c>
      <c r="BG18" s="2">
        <f t="shared" si="1"/>
        <v>0</v>
      </c>
      <c r="BH18" s="2">
        <f t="shared" si="2"/>
        <v>0</v>
      </c>
      <c r="BI18" s="2">
        <f t="shared" si="3"/>
        <v>0</v>
      </c>
      <c r="BJ18" s="2">
        <v>1</v>
      </c>
      <c r="BK18" s="2">
        <v>1</v>
      </c>
      <c r="BL18" s="2">
        <f t="shared" si="4"/>
        <v>44</v>
      </c>
      <c r="BM18" s="2">
        <f t="shared" si="5"/>
        <v>0</v>
      </c>
      <c r="BN18" s="2">
        <f t="shared" si="6"/>
        <v>-1</v>
      </c>
      <c r="BO18" s="2">
        <f t="shared" si="7"/>
        <v>44</v>
      </c>
      <c r="BP18" s="2">
        <f t="shared" si="8"/>
        <v>-1</v>
      </c>
      <c r="BQ18" s="2">
        <f t="shared" si="9"/>
        <v>-1</v>
      </c>
      <c r="BR18" s="3"/>
      <c r="BS18" s="3"/>
      <c r="BT18" s="3"/>
      <c r="BU18">
        <f t="shared" si="10"/>
        <v>2</v>
      </c>
      <c r="BV18" s="2" t="str">
        <f>CONCATENATE(
ROUND(BR18*VLOOKUP(I18,'ID Scheme'!$A$2:$E$7,3),0), "x",
ROUND(BS18*VLOOKUP(I18,'ID Scheme'!$A$2:$E$7,5),0), "x",
ROUND(BT18*VLOOKUP(I18,'ID Scheme'!$A$2:$E$7,4),0))</f>
        <v>0x0x0</v>
      </c>
    </row>
    <row r="19" spans="1:75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25</v>
      </c>
      <c r="L19">
        <v>15</v>
      </c>
      <c r="M19">
        <v>5</v>
      </c>
      <c r="N19">
        <v>4</v>
      </c>
      <c r="O19">
        <v>90</v>
      </c>
      <c r="P19">
        <v>20</v>
      </c>
      <c r="Q19">
        <v>1</v>
      </c>
      <c r="R19" t="s">
        <v>299</v>
      </c>
      <c r="S19">
        <v>0</v>
      </c>
      <c r="T19" s="2" t="s">
        <v>320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G19">
        <v>20</v>
      </c>
      <c r="AU19" t="s">
        <v>359</v>
      </c>
      <c r="AZ19" s="2">
        <f>(SQRT(J19*AG19)*POWER((MIN(L19,20)+SQRT(MAX(L19-20,0))),0.9)*Data!$B$1)*(1-(Q19-1))</f>
        <v>26.587592451565005</v>
      </c>
      <c r="BA19" s="2">
        <f>(POWER((J19*J19*AG19), 0.33)*LOG10(O19)*10*Data!$B$1)*Q19</f>
        <v>50.698934782631881</v>
      </c>
      <c r="BB19" s="2"/>
      <c r="BC19" s="2"/>
      <c r="BD19" s="2">
        <f>IFERROR((SQRT($J19*$AH19)*POWER((MIN($L19,20)+SQRT(MAX($L19-20,0))),0.9)*Data!$B$1)*(1 - (Q19-1)),AZ19)</f>
        <v>0</v>
      </c>
      <c r="BE19" s="2">
        <f>IFERROR(((POWER(($J19*$J19*$AH19), 0.33)*LOG10($AE19)*10*Data!$B$1)*Q19),BA19)</f>
        <v>50.698934782631881</v>
      </c>
      <c r="BF19" s="2">
        <f t="shared" si="0"/>
        <v>38.70967741935484</v>
      </c>
      <c r="BG19" s="2">
        <f t="shared" si="1"/>
        <v>0</v>
      </c>
      <c r="BH19" s="2">
        <f t="shared" si="2"/>
        <v>0</v>
      </c>
      <c r="BI19" s="2">
        <f t="shared" si="3"/>
        <v>0</v>
      </c>
      <c r="BJ19" s="2">
        <v>1</v>
      </c>
      <c r="BK19" s="2">
        <v>1</v>
      </c>
      <c r="BL19" s="2">
        <f t="shared" si="4"/>
        <v>20</v>
      </c>
      <c r="BM19" s="2">
        <f t="shared" si="5"/>
        <v>0</v>
      </c>
      <c r="BN19" s="2">
        <f t="shared" si="6"/>
        <v>-1</v>
      </c>
      <c r="BO19" s="2">
        <f t="shared" si="7"/>
        <v>20</v>
      </c>
      <c r="BP19" s="2">
        <f t="shared" si="8"/>
        <v>-1</v>
      </c>
      <c r="BQ19" s="2">
        <f t="shared" si="9"/>
        <v>-1</v>
      </c>
      <c r="BT19" s="3"/>
      <c r="BU19">
        <f t="shared" si="10"/>
        <v>0</v>
      </c>
      <c r="BV19" s="2" t="str">
        <f>CONCATENATE(
ROUND(BR19*VLOOKUP(I19,'ID Scheme'!$A$2:$E$7,3),0), "x",
ROUND(BS19*VLOOKUP(I19,'ID Scheme'!$A$2:$E$7,5),0), "x",
ROUND(BT19*VLOOKUP(I19,'ID Scheme'!$A$2:$E$7,4),0))</f>
        <v>0x0x0</v>
      </c>
    </row>
    <row r="20" spans="1:75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15</v>
      </c>
      <c r="L20">
        <v>15</v>
      </c>
      <c r="M20">
        <v>4</v>
      </c>
      <c r="N20">
        <v>5</v>
      </c>
      <c r="O20">
        <v>100</v>
      </c>
      <c r="P20">
        <v>20</v>
      </c>
      <c r="Q20">
        <v>1</v>
      </c>
      <c r="R20" t="s">
        <v>299</v>
      </c>
      <c r="S20">
        <v>1</v>
      </c>
      <c r="T20" s="2" t="s">
        <v>319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G20">
        <v>38</v>
      </c>
      <c r="AU20" t="s">
        <v>359</v>
      </c>
      <c r="AZ20" s="2">
        <f>(SQRT(J20*AG20)*POWER((MIN(L20,20)+SQRT(MAX(L20-20,0))),0.9)*Data!$B$1)*(1-(Q20-1))</f>
        <v>35.088235816466785</v>
      </c>
      <c r="BA20" s="2">
        <f>(POWER((J20*J20*AG20), 0.33)*LOG10(O20)*10*Data!$B$1)*Q20</f>
        <v>60.547834117089934</v>
      </c>
      <c r="BB20" s="2"/>
      <c r="BC20" s="2"/>
      <c r="BD20" s="2">
        <f>IFERROR((SQRT($J20*$AH20)*POWER((MIN($L20,20)+SQRT(MAX($L20-20,0))),0.9)*Data!$B$1)*(1 - (Q20-1)),AZ20)</f>
        <v>0</v>
      </c>
      <c r="BE20" s="2">
        <f>IFERROR(((POWER(($J20*$J20*$AH20), 0.33)*LOG10($AE20)*10*Data!$B$1)*Q20),BA20)</f>
        <v>60.547834117089934</v>
      </c>
      <c r="BF20" s="2">
        <f t="shared" si="0"/>
        <v>35.483870967741936</v>
      </c>
      <c r="BG20" s="2">
        <f t="shared" si="1"/>
        <v>0</v>
      </c>
      <c r="BH20" s="2">
        <f t="shared" si="2"/>
        <v>0</v>
      </c>
      <c r="BI20" s="2">
        <f t="shared" si="3"/>
        <v>0</v>
      </c>
      <c r="BJ20" s="2">
        <v>1</v>
      </c>
      <c r="BK20" s="2">
        <v>1</v>
      </c>
      <c r="BL20" s="2">
        <f t="shared" si="4"/>
        <v>38</v>
      </c>
      <c r="BM20" s="2">
        <f t="shared" si="5"/>
        <v>0</v>
      </c>
      <c r="BN20" s="2">
        <f t="shared" si="6"/>
        <v>-1</v>
      </c>
      <c r="BO20" s="2">
        <f t="shared" si="7"/>
        <v>38</v>
      </c>
      <c r="BP20" s="2">
        <f t="shared" si="8"/>
        <v>-1</v>
      </c>
      <c r="BQ20" s="2">
        <f t="shared" si="9"/>
        <v>-1</v>
      </c>
      <c r="BR20" s="3">
        <v>8.4</v>
      </c>
      <c r="BS20" s="3">
        <v>2.4</v>
      </c>
      <c r="BT20" s="3">
        <v>2.6</v>
      </c>
      <c r="BU20">
        <f t="shared" si="10"/>
        <v>4</v>
      </c>
      <c r="BV20" s="2" t="str">
        <f>CONCATENATE(
ROUND(BR20*VLOOKUP(I20,'ID Scheme'!$A$2:$E$7,3),0), "x",
ROUND(BS20*VLOOKUP(I20,'ID Scheme'!$A$2:$E$7,5),0), "x",
ROUND(BT20*VLOOKUP(I20,'ID Scheme'!$A$2:$E$7,4),0))</f>
        <v>78x35x25</v>
      </c>
    </row>
    <row r="21" spans="1:75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20</v>
      </c>
      <c r="L21">
        <v>20</v>
      </c>
      <c r="M21">
        <v>7</v>
      </c>
      <c r="N21">
        <v>7</v>
      </c>
      <c r="O21">
        <v>115</v>
      </c>
      <c r="P21">
        <v>20</v>
      </c>
      <c r="Q21">
        <v>1</v>
      </c>
      <c r="R21" t="s">
        <v>299</v>
      </c>
      <c r="S21">
        <v>3</v>
      </c>
      <c r="T21" s="2" t="s">
        <v>318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G21">
        <v>57</v>
      </c>
      <c r="AU21" t="s">
        <v>359</v>
      </c>
      <c r="AZ21" s="2">
        <f>(SQRT(J21*AG21)*POWER((MIN(L21,20)+SQRT(MAX(L21-20,0))),0.9)*Data!$B$1)*(1-(Q21-1))</f>
        <v>51.738935086655786</v>
      </c>
      <c r="BA21" s="2">
        <f>(POWER((J21*J21*AG21), 0.33)*LOG10(O21)*10*Data!$B$1)*Q21</f>
        <v>64.739815215748749</v>
      </c>
      <c r="BB21" s="2"/>
      <c r="BC21" s="2"/>
      <c r="BD21" s="2">
        <f>IFERROR((SQRT($J21*$AH21)*POWER((MIN($L21,20)+SQRT(MAX($L21-20,0))),0.9)*Data!$B$1)*(1 - (Q21-1)),AZ21)</f>
        <v>0</v>
      </c>
      <c r="BE21" s="2">
        <f>IFERROR(((POWER(($J21*$J21*$AH21), 0.33)*LOG10($AE21)*10*Data!$B$1)*Q21),BA21)</f>
        <v>64.739815215748749</v>
      </c>
      <c r="BF21" s="2">
        <f t="shared" si="0"/>
        <v>30.64516129032258</v>
      </c>
      <c r="BG21" s="2">
        <f t="shared" si="1"/>
        <v>0</v>
      </c>
      <c r="BH21" s="2">
        <f t="shared" si="2"/>
        <v>0</v>
      </c>
      <c r="BI21" s="2">
        <f t="shared" si="3"/>
        <v>0</v>
      </c>
      <c r="BJ21" s="2">
        <v>1</v>
      </c>
      <c r="BK21" s="2">
        <v>1</v>
      </c>
      <c r="BL21" s="2">
        <f t="shared" si="4"/>
        <v>57</v>
      </c>
      <c r="BM21" s="2">
        <f t="shared" si="5"/>
        <v>0</v>
      </c>
      <c r="BN21" s="2">
        <f t="shared" si="6"/>
        <v>-1</v>
      </c>
      <c r="BO21" s="2">
        <f t="shared" si="7"/>
        <v>57</v>
      </c>
      <c r="BP21" s="2">
        <f t="shared" si="8"/>
        <v>-1</v>
      </c>
      <c r="BQ21" s="2">
        <f t="shared" si="9"/>
        <v>-1</v>
      </c>
      <c r="BR21" s="3"/>
      <c r="BS21" s="3"/>
      <c r="BT21" s="3"/>
      <c r="BU21">
        <f t="shared" si="10"/>
        <v>8</v>
      </c>
      <c r="BV21" s="2" t="str">
        <f>CONCATENATE(
ROUND(BR21*VLOOKUP(I21,'ID Scheme'!$A$2:$E$7,3),0), "x",
ROUND(BS21*VLOOKUP(I21,'ID Scheme'!$A$2:$E$7,5),0), "x",
ROUND(BT21*VLOOKUP(I21,'ID Scheme'!$A$2:$E$7,4),0))</f>
        <v>0x0x0</v>
      </c>
    </row>
    <row r="22" spans="1:75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20</v>
      </c>
      <c r="L22">
        <v>18</v>
      </c>
      <c r="M22">
        <v>6</v>
      </c>
      <c r="N22">
        <v>6.5</v>
      </c>
      <c r="O22">
        <v>120</v>
      </c>
      <c r="P22">
        <v>20</v>
      </c>
      <c r="Q22">
        <v>1</v>
      </c>
      <c r="R22" t="s">
        <v>299</v>
      </c>
      <c r="S22">
        <v>3</v>
      </c>
      <c r="T22" s="2" t="s">
        <v>302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G22">
        <v>58</v>
      </c>
      <c r="AU22" t="s">
        <v>359</v>
      </c>
      <c r="AZ22" s="2">
        <f>(SQRT(J22*AG22)*POWER((MIN(L22,20)+SQRT(MAX(L22-20,0))),0.9)*Data!$B$1)*(1-(Q22-1))</f>
        <v>49.905126406384355</v>
      </c>
      <c r="BA22" s="2">
        <f>(POWER((J22*J22*AG22), 0.33)*LOG10(O22)*10*Data!$B$1)*Q22</f>
        <v>70.182588528436455</v>
      </c>
      <c r="BB22" s="2"/>
      <c r="BC22" s="2"/>
      <c r="BD22" s="2">
        <f>IFERROR((SQRT($J22*$AH22)*POWER((MIN($L22,20)+SQRT(MAX($L22-20,0))),0.9)*Data!$B$1)*(1 - (Q22-1)),AZ22)</f>
        <v>0</v>
      </c>
      <c r="BE22" s="2">
        <f>IFERROR(((POWER(($J22*$J22*$AH22), 0.33)*LOG10($AE22)*10*Data!$B$1)*Q22),BA22)</f>
        <v>70.182588528436455</v>
      </c>
      <c r="BF22" s="2">
        <f t="shared" si="0"/>
        <v>33.870967741935488</v>
      </c>
      <c r="BG22" s="2">
        <f t="shared" si="1"/>
        <v>0</v>
      </c>
      <c r="BH22" s="2">
        <f t="shared" si="2"/>
        <v>0</v>
      </c>
      <c r="BI22" s="2">
        <f t="shared" si="3"/>
        <v>0</v>
      </c>
      <c r="BJ22" s="2">
        <v>1</v>
      </c>
      <c r="BK22" s="2">
        <v>1</v>
      </c>
      <c r="BL22" s="2">
        <f t="shared" si="4"/>
        <v>58</v>
      </c>
      <c r="BM22" s="2">
        <f t="shared" si="5"/>
        <v>0</v>
      </c>
      <c r="BN22" s="2">
        <f t="shared" si="6"/>
        <v>-1</v>
      </c>
      <c r="BO22" s="2">
        <f t="shared" si="7"/>
        <v>58</v>
      </c>
      <c r="BP22" s="2">
        <f t="shared" si="8"/>
        <v>-1</v>
      </c>
      <c r="BQ22" s="2">
        <f t="shared" si="9"/>
        <v>-1</v>
      </c>
      <c r="BR22" s="3">
        <v>9.1</v>
      </c>
      <c r="BS22" s="3">
        <v>2.4</v>
      </c>
      <c r="BT22" s="3">
        <v>3.9</v>
      </c>
      <c r="BU22">
        <f t="shared" si="10"/>
        <v>4</v>
      </c>
      <c r="BV22" s="2" t="str">
        <f>CONCATENATE(
ROUND(BR22*VLOOKUP(I22,'ID Scheme'!$A$2:$E$7,3),0), "x",
ROUND(BS22*VLOOKUP(I22,'ID Scheme'!$A$2:$E$7,5),0), "x",
ROUND(BT22*VLOOKUP(I22,'ID Scheme'!$A$2:$E$7,4),0))</f>
        <v>85x35x38</v>
      </c>
      <c r="BW22" t="s">
        <v>87</v>
      </c>
    </row>
    <row r="23" spans="1:75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15</v>
      </c>
      <c r="L23">
        <v>17</v>
      </c>
      <c r="M23">
        <v>4</v>
      </c>
      <c r="N23">
        <v>5</v>
      </c>
      <c r="O23">
        <v>120</v>
      </c>
      <c r="P23">
        <v>20</v>
      </c>
      <c r="Q23">
        <v>1</v>
      </c>
      <c r="R23" t="s">
        <v>299</v>
      </c>
      <c r="S23">
        <v>1</v>
      </c>
      <c r="T23" s="2" t="s">
        <v>303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G23">
        <v>42</v>
      </c>
      <c r="AU23" t="s">
        <v>359</v>
      </c>
      <c r="AZ23" s="2">
        <f>(SQRT(J23*AG23)*POWER((MIN(L23,20)+SQRT(MAX(L23-20,0))),0.9)*Data!$B$1)*(1-(Q23-1))</f>
        <v>41.753818084099102</v>
      </c>
      <c r="BA23" s="2">
        <f>(POWER((J23*J23*AG23), 0.33)*LOG10(O23)*10*Data!$B$1)*Q23</f>
        <v>66.030735917412429</v>
      </c>
      <c r="BB23" s="2"/>
      <c r="BC23" s="2"/>
      <c r="BD23" s="2">
        <f>IFERROR((SQRT($J23*$AH23)*POWER((MIN($L23,20)+SQRT(MAX($L23-20,0))),0.9)*Data!$B$1)*(1 - (Q23-1)),AZ23)</f>
        <v>0</v>
      </c>
      <c r="BE23" s="2">
        <f>IFERROR(((POWER(($J23*$J23*$AH23), 0.33)*LOG10($AE23)*10*Data!$B$1)*Q23),BA23)</f>
        <v>66.030735917412429</v>
      </c>
      <c r="BF23" s="2">
        <f t="shared" si="0"/>
        <v>36.29032258064516</v>
      </c>
      <c r="BG23" s="2">
        <f t="shared" si="1"/>
        <v>0</v>
      </c>
      <c r="BH23" s="2">
        <f t="shared" si="2"/>
        <v>0</v>
      </c>
      <c r="BI23" s="2">
        <f t="shared" si="3"/>
        <v>0</v>
      </c>
      <c r="BJ23" s="2">
        <v>1</v>
      </c>
      <c r="BK23" s="2">
        <v>1</v>
      </c>
      <c r="BL23" s="2">
        <f t="shared" si="4"/>
        <v>42</v>
      </c>
      <c r="BM23" s="2">
        <f t="shared" si="5"/>
        <v>0</v>
      </c>
      <c r="BN23" s="2">
        <f t="shared" si="6"/>
        <v>-1</v>
      </c>
      <c r="BO23" s="2">
        <f t="shared" si="7"/>
        <v>42</v>
      </c>
      <c r="BP23" s="2">
        <f t="shared" si="8"/>
        <v>-1</v>
      </c>
      <c r="BQ23" s="2">
        <f t="shared" si="9"/>
        <v>-1</v>
      </c>
      <c r="BR23" s="3">
        <v>9.1</v>
      </c>
      <c r="BS23" s="3">
        <v>2.4</v>
      </c>
      <c r="BT23" s="3">
        <v>2.6</v>
      </c>
      <c r="BU23">
        <f t="shared" si="10"/>
        <v>1</v>
      </c>
      <c r="BV23" s="2" t="str">
        <f>CONCATENATE(
ROUND(BR23*VLOOKUP(I23,'ID Scheme'!$A$2:$E$7,3),0), "x",
ROUND(BS23*VLOOKUP(I23,'ID Scheme'!$A$2:$E$7,5),0), "x",
ROUND(BT23*VLOOKUP(I23,'ID Scheme'!$A$2:$E$7,4),0))</f>
        <v>85x35x25</v>
      </c>
      <c r="BW23" t="s">
        <v>87</v>
      </c>
    </row>
    <row r="24" spans="1:75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40</v>
      </c>
      <c r="L24">
        <v>25</v>
      </c>
      <c r="M24">
        <v>7</v>
      </c>
      <c r="N24">
        <v>7.5</v>
      </c>
      <c r="O24">
        <v>115</v>
      </c>
      <c r="P24">
        <v>20</v>
      </c>
      <c r="Q24">
        <v>1</v>
      </c>
      <c r="R24" t="s">
        <v>299</v>
      </c>
      <c r="S24">
        <v>3</v>
      </c>
      <c r="T24" s="2" t="s">
        <v>317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G24">
        <v>72</v>
      </c>
      <c r="AU24" t="s">
        <v>359</v>
      </c>
      <c r="AZ24" s="2">
        <f>(SQRT(J24*AG24)*POWER((MIN(L24,20)+SQRT(MAX(L24-20,0))),0.9)*Data!$B$1)*(1-(Q24-1))</f>
        <v>65.631102684772316</v>
      </c>
      <c r="BA24" s="2">
        <f>(POWER((J24*J24*AG24), 0.33)*LOG10(O24)*10*Data!$B$1)*Q24</f>
        <v>72.3360679145528</v>
      </c>
      <c r="BB24" s="2"/>
      <c r="BC24" s="2"/>
      <c r="BD24" s="2">
        <f>IFERROR((SQRT($J24*$AH24)*POWER((MIN($L24,20)+SQRT(MAX($L24-20,0))),0.9)*Data!$B$1)*(1 - (Q24-1)),AZ24)</f>
        <v>0</v>
      </c>
      <c r="BE24" s="2">
        <f>IFERROR(((POWER(($J24*$J24*$AH24), 0.33)*LOG10($AE24)*10*Data!$B$1)*Q24),BA24)</f>
        <v>72.3360679145528</v>
      </c>
      <c r="BF24" s="2">
        <f t="shared" si="0"/>
        <v>32.258064516129032</v>
      </c>
      <c r="BG24" s="2">
        <f t="shared" si="1"/>
        <v>0</v>
      </c>
      <c r="BH24" s="2">
        <f t="shared" si="2"/>
        <v>0</v>
      </c>
      <c r="BI24" s="2">
        <f t="shared" si="3"/>
        <v>0</v>
      </c>
      <c r="BJ24" s="2">
        <v>1</v>
      </c>
      <c r="BK24" s="2">
        <v>1</v>
      </c>
      <c r="BL24" s="2">
        <f t="shared" si="4"/>
        <v>72</v>
      </c>
      <c r="BM24" s="2">
        <f t="shared" si="5"/>
        <v>0</v>
      </c>
      <c r="BN24" s="2">
        <f t="shared" si="6"/>
        <v>-1</v>
      </c>
      <c r="BO24" s="2">
        <f t="shared" si="7"/>
        <v>72</v>
      </c>
      <c r="BP24" s="2">
        <f t="shared" si="8"/>
        <v>-1</v>
      </c>
      <c r="BQ24" s="2">
        <f t="shared" si="9"/>
        <v>-1</v>
      </c>
      <c r="BR24" s="3"/>
      <c r="BS24" s="3"/>
      <c r="BT24" s="3"/>
      <c r="BU24">
        <f t="shared" si="10"/>
        <v>4</v>
      </c>
      <c r="BV24" s="2" t="str">
        <f>CONCATENATE(
ROUND(BR24*VLOOKUP(I24,'ID Scheme'!$A$2:$E$7,3),0), "x",
ROUND(BS24*VLOOKUP(I24,'ID Scheme'!$A$2:$E$7,5),0), "x",
ROUND(BT24*VLOOKUP(I24,'ID Scheme'!$A$2:$E$7,4),0))</f>
        <v>0x0x0</v>
      </c>
    </row>
    <row r="25" spans="1:75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15</v>
      </c>
      <c r="L25">
        <v>16</v>
      </c>
      <c r="M25">
        <v>4</v>
      </c>
      <c r="N25">
        <v>6</v>
      </c>
      <c r="O25">
        <v>138</v>
      </c>
      <c r="P25">
        <v>24</v>
      </c>
      <c r="Q25">
        <v>1.1000000000000001</v>
      </c>
      <c r="R25" t="s">
        <v>305</v>
      </c>
      <c r="S25">
        <v>2</v>
      </c>
      <c r="T25" s="2" t="s">
        <v>306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G25">
        <v>34</v>
      </c>
      <c r="AM25">
        <v>62</v>
      </c>
      <c r="AN25">
        <v>70</v>
      </c>
      <c r="AU25" t="s">
        <v>359</v>
      </c>
      <c r="AZ25" s="2">
        <f>(SQRT(J25*AG25)*POWER((MIN(L25,20)+SQRT(MAX(L25-20,0))),0.9)*Data!$B$1)*(1-(Q25-1))</f>
        <v>41.606196119796323</v>
      </c>
      <c r="BA25" s="2">
        <f>(POWER((J25*J25*AG25), 0.33)*LOG10(O25)*10*Data!$B$1)*Q25</f>
        <v>98.529935018135305</v>
      </c>
      <c r="BB25" s="2"/>
      <c r="BC25" s="2"/>
      <c r="BD25" s="2">
        <f>IFERROR((SQRT($J25*$AH25)*POWER((MIN($L25,20)+SQRT(MAX($L25-20,0))),0.9)*Data!$B$1)*(1 - (Q25-1)),AZ25)</f>
        <v>0</v>
      </c>
      <c r="BE25" s="2">
        <f>IFERROR(((POWER(($J25*$J25*$AH25), 0.33)*LOG10($AE25)*10*Data!$B$1)*Q25),BA25)</f>
        <v>98.529935018135305</v>
      </c>
      <c r="BF25" s="2">
        <f t="shared" si="0"/>
        <v>61.29032258064516</v>
      </c>
      <c r="BG25" s="2">
        <f t="shared" si="1"/>
        <v>0</v>
      </c>
      <c r="BH25" s="2">
        <f t="shared" si="2"/>
        <v>50</v>
      </c>
      <c r="BI25" s="2">
        <f t="shared" si="3"/>
        <v>56.451612903225808</v>
      </c>
      <c r="BJ25" s="2">
        <v>1</v>
      </c>
      <c r="BK25" s="2">
        <v>1</v>
      </c>
      <c r="BL25" s="2">
        <f t="shared" si="4"/>
        <v>34</v>
      </c>
      <c r="BM25" s="2">
        <f t="shared" si="5"/>
        <v>0</v>
      </c>
      <c r="BN25" s="2">
        <f t="shared" si="6"/>
        <v>-1</v>
      </c>
      <c r="BO25" s="2">
        <f t="shared" si="7"/>
        <v>34</v>
      </c>
      <c r="BP25" s="2">
        <f t="shared" si="8"/>
        <v>-1</v>
      </c>
      <c r="BQ25" s="2">
        <f t="shared" si="9"/>
        <v>-1</v>
      </c>
      <c r="BR25" s="3"/>
      <c r="BS25" s="3"/>
      <c r="BT25" s="3"/>
      <c r="BU25">
        <f t="shared" si="10"/>
        <v>4</v>
      </c>
      <c r="BV25" s="2" t="str">
        <f>CONCATENATE(
ROUND(BR25*VLOOKUP(I25,'ID Scheme'!$A$2:$E$7,3),0), "x",
ROUND(BS25*VLOOKUP(I25,'ID Scheme'!$A$2:$E$7,5),0), "x",
ROUND(BT25*VLOOKUP(I25,'ID Scheme'!$A$2:$E$7,4),0))</f>
        <v>0x0x0</v>
      </c>
    </row>
    <row r="26" spans="1:75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30</v>
      </c>
      <c r="L26">
        <v>25</v>
      </c>
      <c r="M26">
        <v>4</v>
      </c>
      <c r="N26">
        <v>7</v>
      </c>
      <c r="O26">
        <v>140</v>
      </c>
      <c r="P26">
        <v>20</v>
      </c>
      <c r="Q26">
        <v>1</v>
      </c>
      <c r="R26" t="s">
        <v>311</v>
      </c>
      <c r="S26">
        <v>3</v>
      </c>
      <c r="T26" s="2" t="s">
        <v>312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G26">
        <v>57</v>
      </c>
      <c r="AU26" t="s">
        <v>359</v>
      </c>
      <c r="AZ26" s="2">
        <f>(SQRT(J26*AG26)*POWER((MIN(L26,20)+SQRT(MAX(L26-20,0))),0.9)*Data!$B$1)*(1-(Q26-1))</f>
        <v>68.475029766042482</v>
      </c>
      <c r="BA26" s="2">
        <f>(POWER((J26*J26*AG26), 0.33)*LOG10(O26)*10*Data!$B$1)*Q26</f>
        <v>86.05873713759469</v>
      </c>
      <c r="BB26" s="2"/>
      <c r="BC26" s="2"/>
      <c r="BD26" s="2">
        <f>IFERROR((SQRT($J26*$AH26)*POWER((MIN($L26,20)+SQRT(MAX($L26-20,0))),0.9)*Data!$B$1)*(1 - (Q26-1)),AZ26)</f>
        <v>0</v>
      </c>
      <c r="BE26" s="2">
        <f>IFERROR(((POWER(($J26*$J26*$AH26), 0.33)*LOG10($AE26)*10*Data!$B$1)*Q26),BA26)</f>
        <v>86.05873713759469</v>
      </c>
      <c r="BF26" s="2">
        <f t="shared" si="0"/>
        <v>44.354838709677416</v>
      </c>
      <c r="BG26" s="2">
        <f t="shared" si="1"/>
        <v>0</v>
      </c>
      <c r="BH26" s="2">
        <f t="shared" si="2"/>
        <v>0</v>
      </c>
      <c r="BI26" s="2">
        <f t="shared" si="3"/>
        <v>0</v>
      </c>
      <c r="BJ26" s="2">
        <v>1</v>
      </c>
      <c r="BK26" s="2">
        <v>1</v>
      </c>
      <c r="BL26" s="2">
        <f t="shared" si="4"/>
        <v>57</v>
      </c>
      <c r="BM26" s="2">
        <f t="shared" si="5"/>
        <v>0</v>
      </c>
      <c r="BN26" s="2">
        <f t="shared" si="6"/>
        <v>-1</v>
      </c>
      <c r="BO26" s="2">
        <f t="shared" si="7"/>
        <v>57</v>
      </c>
      <c r="BP26" s="2">
        <f t="shared" si="8"/>
        <v>-1</v>
      </c>
      <c r="BQ26" s="2">
        <f t="shared" si="9"/>
        <v>-1</v>
      </c>
      <c r="BR26" s="3"/>
      <c r="BS26" s="3"/>
      <c r="BT26" s="3"/>
      <c r="BU26">
        <f t="shared" si="10"/>
        <v>0</v>
      </c>
      <c r="BV26" s="2" t="str">
        <f>CONCATENATE(
ROUND(BR26*VLOOKUP(I26,'ID Scheme'!$A$2:$E$7,3),0), "x",
ROUND(BS26*VLOOKUP(I26,'ID Scheme'!$A$2:$E$7,5),0), "x",
ROUND(BT26*VLOOKUP(I26,'ID Scheme'!$A$2:$E$7,4),0))</f>
        <v>0x0x0</v>
      </c>
    </row>
    <row r="27" spans="1:75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20</v>
      </c>
      <c r="L27">
        <v>18</v>
      </c>
      <c r="M27">
        <v>4</v>
      </c>
      <c r="N27">
        <v>10</v>
      </c>
      <c r="O27">
        <v>143</v>
      </c>
      <c r="P27">
        <v>20</v>
      </c>
      <c r="Q27">
        <v>1</v>
      </c>
      <c r="R27" t="s">
        <v>311</v>
      </c>
      <c r="S27">
        <v>3</v>
      </c>
      <c r="T27" s="2" t="s">
        <v>313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G27">
        <v>52</v>
      </c>
      <c r="AU27" t="s">
        <v>359</v>
      </c>
      <c r="AZ27" s="2">
        <f>(SQRT(J27*AG27)*POWER((MIN(L27,20)+SQRT(MAX(L27-20,0))),0.9)*Data!$B$1)*(1-(Q27-1))</f>
        <v>54.074129222607461</v>
      </c>
      <c r="BA27" s="2">
        <f>(POWER((J27*J27*AG27), 0.33)*LOG10(O27)*10*Data!$B$1)*Q27</f>
        <v>83.848776966287019</v>
      </c>
      <c r="BB27" s="2"/>
      <c r="BC27" s="2"/>
      <c r="BD27" s="2">
        <f>IFERROR((SQRT($J27*$AH27)*POWER((MIN($L27,20)+SQRT(MAX($L27-20,0))),0.9)*Data!$B$1)*(1 - (Q27-1)),AZ27)</f>
        <v>0</v>
      </c>
      <c r="BE27" s="2">
        <f>IFERROR(((POWER(($J27*$J27*$AH27), 0.33)*LOG10($AE27)*10*Data!$B$1)*Q27),BA27)</f>
        <v>83.848776966287019</v>
      </c>
      <c r="BF27" s="2">
        <f t="shared" si="0"/>
        <v>44.354838709677416</v>
      </c>
      <c r="BG27" s="2">
        <f t="shared" si="1"/>
        <v>0</v>
      </c>
      <c r="BH27" s="2">
        <f t="shared" si="2"/>
        <v>0</v>
      </c>
      <c r="BI27" s="2">
        <f t="shared" si="3"/>
        <v>0</v>
      </c>
      <c r="BJ27" s="2">
        <v>1</v>
      </c>
      <c r="BK27" s="2">
        <v>1</v>
      </c>
      <c r="BL27" s="2">
        <f t="shared" si="4"/>
        <v>52</v>
      </c>
      <c r="BM27" s="2">
        <f t="shared" si="5"/>
        <v>0</v>
      </c>
      <c r="BN27" s="2">
        <f t="shared" si="6"/>
        <v>-1</v>
      </c>
      <c r="BO27" s="2">
        <f t="shared" si="7"/>
        <v>52</v>
      </c>
      <c r="BP27" s="2">
        <f t="shared" si="8"/>
        <v>-1</v>
      </c>
      <c r="BQ27" s="2">
        <f t="shared" si="9"/>
        <v>-1</v>
      </c>
      <c r="BR27" s="3">
        <v>11</v>
      </c>
      <c r="BS27" s="3">
        <v>2.5</v>
      </c>
      <c r="BT27" s="3"/>
      <c r="BU27">
        <f t="shared" si="10"/>
        <v>5</v>
      </c>
      <c r="BV27" s="2" t="str">
        <f>CONCATENATE(
ROUND(BR27*VLOOKUP(I27,'ID Scheme'!$A$2:$E$7,3),0), "x",
ROUND(BS27*VLOOKUP(I27,'ID Scheme'!$A$2:$E$7,5),0), "x",
ROUND(BT27*VLOOKUP(I27,'ID Scheme'!$A$2:$E$7,4),0))</f>
        <v>103x36x0</v>
      </c>
    </row>
    <row r="28" spans="1:75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23</v>
      </c>
      <c r="L28">
        <v>22</v>
      </c>
      <c r="M28">
        <v>5</v>
      </c>
      <c r="N28">
        <v>7</v>
      </c>
      <c r="O28">
        <v>165</v>
      </c>
      <c r="P28">
        <v>20</v>
      </c>
      <c r="Q28">
        <v>1</v>
      </c>
      <c r="R28" t="s">
        <v>299</v>
      </c>
      <c r="S28">
        <v>3</v>
      </c>
      <c r="T28" s="2" t="s">
        <v>314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G28">
        <v>58</v>
      </c>
      <c r="AU28" t="s">
        <v>359</v>
      </c>
      <c r="AZ28" s="2">
        <f>(SQRT(J28*AG28)*POWER((MIN(L28,20)+SQRT(MAX(L28-20,0))),0.9)*Data!$B$1)*(1-(Q28-1))</f>
        <v>64.924535113354011</v>
      </c>
      <c r="BA28" s="2">
        <f>(POWER((J28*J28*AG28), 0.33)*LOG10(O28)*10*Data!$B$1)*Q28</f>
        <v>86.181726874059862</v>
      </c>
      <c r="BB28" s="2"/>
      <c r="BC28" s="2"/>
      <c r="BD28" s="2">
        <f>IFERROR((SQRT($J28*$AH28)*POWER((MIN($L28,20)+SQRT(MAX($L28-20,0))),0.9)*Data!$B$1)*(1 - (Q28-1)),AZ28)</f>
        <v>0</v>
      </c>
      <c r="BE28" s="2">
        <f>IFERROR(((POWER(($J28*$J28*$AH28), 0.33)*LOG10($AE28)*10*Data!$B$1)*Q28),BA28)</f>
        <v>86.181726874059862</v>
      </c>
      <c r="BF28" s="2">
        <f t="shared" si="0"/>
        <v>41.935483870967744</v>
      </c>
      <c r="BG28" s="2">
        <f t="shared" si="1"/>
        <v>0</v>
      </c>
      <c r="BH28" s="2">
        <f t="shared" si="2"/>
        <v>0</v>
      </c>
      <c r="BI28" s="2">
        <f t="shared" si="3"/>
        <v>0</v>
      </c>
      <c r="BJ28" s="2">
        <v>1</v>
      </c>
      <c r="BK28" s="2">
        <v>1</v>
      </c>
      <c r="BL28" s="2">
        <f t="shared" si="4"/>
        <v>58</v>
      </c>
      <c r="BM28" s="2">
        <f t="shared" si="5"/>
        <v>0</v>
      </c>
      <c r="BN28" s="2">
        <f t="shared" si="6"/>
        <v>-1</v>
      </c>
      <c r="BO28" s="2">
        <f t="shared" si="7"/>
        <v>58</v>
      </c>
      <c r="BP28" s="2">
        <f t="shared" si="8"/>
        <v>-1</v>
      </c>
      <c r="BQ28" s="2">
        <f t="shared" si="9"/>
        <v>-1</v>
      </c>
      <c r="BR28" s="3">
        <v>11.3</v>
      </c>
      <c r="BS28" s="3">
        <v>2.5</v>
      </c>
      <c r="BT28" s="3"/>
      <c r="BU28">
        <f t="shared" si="10"/>
        <v>9</v>
      </c>
      <c r="BV28" s="2" t="str">
        <f>CONCATENATE(
ROUND(BR28*VLOOKUP(I28,'ID Scheme'!$A$2:$E$7,3),0), "x",
ROUND(BS28*VLOOKUP(I28,'ID Scheme'!$A$2:$E$7,5),0), "x",
ROUND(BT28*VLOOKUP(I28,'ID Scheme'!$A$2:$E$7,4),0))</f>
        <v>106x36x0</v>
      </c>
    </row>
    <row r="29" spans="1:75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12</v>
      </c>
      <c r="L29">
        <v>19</v>
      </c>
      <c r="M29">
        <v>7</v>
      </c>
      <c r="N29">
        <v>10</v>
      </c>
      <c r="O29">
        <v>210</v>
      </c>
      <c r="P29">
        <v>20</v>
      </c>
      <c r="Q29">
        <v>1</v>
      </c>
      <c r="R29" t="s">
        <v>311</v>
      </c>
      <c r="S29">
        <v>3</v>
      </c>
      <c r="T29" s="2" t="s">
        <v>315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G29">
        <v>71</v>
      </c>
      <c r="AU29" t="s">
        <v>359</v>
      </c>
      <c r="AZ29" s="2">
        <f>(SQRT(J29*AG29)*POWER((MIN(L29,20)+SQRT(MAX(L29-20,0))),0.9)*Data!$B$1)*(1-(Q29-1))</f>
        <v>60.003272308491312</v>
      </c>
      <c r="BA29" s="2">
        <f>(POWER((J29*J29*AG29), 0.33)*LOG10(O29)*10*Data!$B$1)*Q29</f>
        <v>87.700083475967674</v>
      </c>
      <c r="BB29" s="2"/>
      <c r="BC29" s="2"/>
      <c r="BD29" s="2">
        <f>IFERROR((SQRT($J29*$AH29)*POWER((MIN($L29,20)+SQRT(MAX($L29-20,0))),0.9)*Data!$B$1)*(1 - (Q29-1)),AZ29)</f>
        <v>0</v>
      </c>
      <c r="BE29" s="2">
        <f>IFERROR(((POWER(($J29*$J29*$AH29), 0.33)*LOG10($AE29)*10*Data!$B$1)*Q29),BA29)</f>
        <v>87.700083475967674</v>
      </c>
      <c r="BF29" s="2">
        <f t="shared" si="0"/>
        <v>36.29032258064516</v>
      </c>
      <c r="BG29" s="2">
        <f t="shared" si="1"/>
        <v>0</v>
      </c>
      <c r="BH29" s="2">
        <f t="shared" si="2"/>
        <v>0</v>
      </c>
      <c r="BI29" s="2">
        <f t="shared" si="3"/>
        <v>0</v>
      </c>
      <c r="BJ29" s="2">
        <v>1</v>
      </c>
      <c r="BK29" s="2">
        <v>1</v>
      </c>
      <c r="BL29" s="2">
        <f t="shared" si="4"/>
        <v>71</v>
      </c>
      <c r="BM29" s="2">
        <f t="shared" si="5"/>
        <v>0</v>
      </c>
      <c r="BN29" s="2">
        <f t="shared" si="6"/>
        <v>-1</v>
      </c>
      <c r="BO29" s="2">
        <f t="shared" si="7"/>
        <v>71</v>
      </c>
      <c r="BP29" s="2">
        <f t="shared" si="8"/>
        <v>-1</v>
      </c>
      <c r="BQ29" s="2">
        <f t="shared" si="9"/>
        <v>-1</v>
      </c>
      <c r="BR29" s="3">
        <v>12</v>
      </c>
      <c r="BS29" s="3">
        <v>2.5</v>
      </c>
      <c r="BT29" s="3">
        <v>4.2</v>
      </c>
      <c r="BU29">
        <f t="shared" si="10"/>
        <v>5</v>
      </c>
      <c r="BV29" s="2" t="str">
        <f>CONCATENATE(
ROUND(BR29*VLOOKUP(I29,'ID Scheme'!$A$2:$E$7,3),0), "x",
ROUND(BS29*VLOOKUP(I29,'ID Scheme'!$A$2:$E$7,5),0), "x",
ROUND(BT29*VLOOKUP(I29,'ID Scheme'!$A$2:$E$7,4),0))</f>
        <v>112x36x41</v>
      </c>
    </row>
    <row r="30" spans="1:75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25</v>
      </c>
      <c r="L30">
        <v>22</v>
      </c>
      <c r="M30">
        <v>4</v>
      </c>
      <c r="N30">
        <v>12</v>
      </c>
      <c r="O30">
        <v>245</v>
      </c>
      <c r="P30">
        <v>18</v>
      </c>
      <c r="Q30">
        <v>1</v>
      </c>
      <c r="R30" t="s">
        <v>305</v>
      </c>
      <c r="S30">
        <v>3</v>
      </c>
      <c r="T30" s="2" t="s">
        <v>316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G30">
        <v>55</v>
      </c>
      <c r="AN30">
        <v>60</v>
      </c>
      <c r="AU30" t="s">
        <v>359</v>
      </c>
      <c r="AZ30" s="2">
        <f>(SQRT(J30*AG30)*POWER((MIN(L30,20)+SQRT(MAX(L30-20,0))),0.9)*Data!$B$1)*(1-(Q30-1))</f>
        <v>69.035165364270128</v>
      </c>
      <c r="BA30" s="2">
        <f>(POWER((J30*J30*AG30), 0.33)*LOG10(O30)*10*Data!$B$1)*Q30</f>
        <v>102.47214024912293</v>
      </c>
      <c r="BB30" s="2"/>
      <c r="BC30" s="2"/>
      <c r="BD30" s="2">
        <f>IFERROR((SQRT($J30*$AH30)*POWER((MIN($L30,20)+SQRT(MAX($L30-20,0))),0.9)*Data!$B$1)*(1 - (Q30-1)),AZ30)</f>
        <v>0</v>
      </c>
      <c r="BE30" s="2">
        <f>IFERROR(((POWER(($J30*$J30*$AH30), 0.33)*LOG10($AE30)*10*Data!$B$1)*Q30),BA30)</f>
        <v>102.47214024912293</v>
      </c>
      <c r="BF30" s="2">
        <f t="shared" si="0"/>
        <v>50</v>
      </c>
      <c r="BG30" s="2">
        <f t="shared" si="1"/>
        <v>0</v>
      </c>
      <c r="BH30" s="2">
        <f t="shared" si="2"/>
        <v>0</v>
      </c>
      <c r="BI30" s="2">
        <f t="shared" si="3"/>
        <v>48.387096774193552</v>
      </c>
      <c r="BJ30" s="2">
        <v>1</v>
      </c>
      <c r="BK30" s="2">
        <v>1</v>
      </c>
      <c r="BL30" s="2">
        <f t="shared" si="4"/>
        <v>55</v>
      </c>
      <c r="BM30" s="2">
        <f t="shared" si="5"/>
        <v>0</v>
      </c>
      <c r="BN30" s="2">
        <f t="shared" si="6"/>
        <v>-1</v>
      </c>
      <c r="BO30" s="2">
        <f t="shared" si="7"/>
        <v>55</v>
      </c>
      <c r="BP30" s="2">
        <f t="shared" si="8"/>
        <v>-1</v>
      </c>
      <c r="BQ30" s="2">
        <f t="shared" si="9"/>
        <v>-1</v>
      </c>
      <c r="BR30" s="3">
        <v>12</v>
      </c>
      <c r="BS30" s="3">
        <v>2.5</v>
      </c>
      <c r="BT30" s="3">
        <v>3.3</v>
      </c>
      <c r="BU30">
        <f t="shared" si="10"/>
        <v>1</v>
      </c>
      <c r="BV30" s="2" t="str">
        <f>CONCATENATE(
ROUND(BR30*VLOOKUP(I30,'ID Scheme'!$A$2:$E$7,3),0), "x",
ROUND(BS30*VLOOKUP(I30,'ID Scheme'!$A$2:$E$7,5),0), "x",
ROUND(BT30*VLOOKUP(I30,'ID Scheme'!$A$2:$E$7,4),0))</f>
        <v>112x36x32</v>
      </c>
    </row>
    <row r="31" spans="1:75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13</v>
      </c>
      <c r="L31">
        <v>22</v>
      </c>
      <c r="M31">
        <v>7</v>
      </c>
      <c r="N31">
        <v>10</v>
      </c>
      <c r="O31">
        <v>180</v>
      </c>
      <c r="P31">
        <v>20</v>
      </c>
      <c r="Q31">
        <v>1</v>
      </c>
      <c r="R31" t="s">
        <v>299</v>
      </c>
      <c r="S31">
        <v>3</v>
      </c>
      <c r="T31" s="2" t="s">
        <v>325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G31">
        <v>73</v>
      </c>
      <c r="AU31" t="s">
        <v>359</v>
      </c>
      <c r="AZ31" s="2">
        <f>(SQRT(J31*AG31)*POWER((MIN(L31,20)+SQRT(MAX(L31-20,0))),0.9)*Data!$B$1)*(1-(Q31-1))</f>
        <v>69.247410718668419</v>
      </c>
      <c r="BA31" s="2">
        <f>(POWER((J31*J31*AG31), 0.33)*LOG10(O31)*10*Data!$B$1)*Q31</f>
        <v>88.458876415134782</v>
      </c>
      <c r="BB31" s="2"/>
      <c r="BC31" s="2"/>
      <c r="BD31" s="2">
        <f>IFERROR((SQRT($J31*$AH31)*POWER((MIN($L31,20)+SQRT(MAX($L31-20,0))),0.9)*Data!$B$1)*(1 - (Q31-1)),AZ31)</f>
        <v>0</v>
      </c>
      <c r="BE31" s="2">
        <f>IFERROR(((POWER(($J31*$J31*$AH31), 0.33)*LOG10($AE31)*10*Data!$B$1)*Q31),BA31)</f>
        <v>88.458876415134782</v>
      </c>
      <c r="BF31" s="2">
        <f t="shared" si="0"/>
        <v>37.903225806451616</v>
      </c>
      <c r="BG31" s="2">
        <f t="shared" si="1"/>
        <v>0</v>
      </c>
      <c r="BH31" s="2">
        <f t="shared" si="2"/>
        <v>0</v>
      </c>
      <c r="BI31" s="2">
        <f t="shared" si="3"/>
        <v>0</v>
      </c>
      <c r="BJ31" s="2">
        <v>1</v>
      </c>
      <c r="BK31" s="2">
        <v>1</v>
      </c>
      <c r="BL31" s="2">
        <f t="shared" si="4"/>
        <v>73</v>
      </c>
      <c r="BM31" s="2">
        <f t="shared" si="5"/>
        <v>0</v>
      </c>
      <c r="BN31" s="2">
        <f t="shared" si="6"/>
        <v>-1</v>
      </c>
      <c r="BO31" s="2">
        <f t="shared" si="7"/>
        <v>73</v>
      </c>
      <c r="BP31" s="2">
        <f t="shared" si="8"/>
        <v>-1</v>
      </c>
      <c r="BQ31" s="2">
        <f t="shared" si="9"/>
        <v>-1</v>
      </c>
      <c r="BR31" s="3">
        <v>12</v>
      </c>
      <c r="BS31" s="3">
        <v>2.5</v>
      </c>
      <c r="BT31" s="3">
        <v>4.2</v>
      </c>
      <c r="BU31">
        <f t="shared" si="10"/>
        <v>2</v>
      </c>
      <c r="BV31" s="2" t="str">
        <f>CONCATENATE(
ROUND(BR31*VLOOKUP(I31,'ID Scheme'!$A$2:$E$7,3),0), "x",
ROUND(BS31*VLOOKUP(I31,'ID Scheme'!$A$2:$E$7,5),0), "x",
ROUND(BT31*VLOOKUP(I31,'ID Scheme'!$A$2:$E$7,4),0))</f>
        <v>112x36x41</v>
      </c>
    </row>
    <row r="32" spans="1:75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14</v>
      </c>
      <c r="L32">
        <v>11</v>
      </c>
      <c r="M32">
        <v>5</v>
      </c>
      <c r="N32">
        <v>6</v>
      </c>
      <c r="O32">
        <v>130</v>
      </c>
      <c r="P32">
        <v>24</v>
      </c>
      <c r="Q32">
        <v>1</v>
      </c>
      <c r="R32" t="s">
        <v>299</v>
      </c>
      <c r="S32">
        <v>2</v>
      </c>
      <c r="T32" s="2" t="s">
        <v>523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G32">
        <v>33</v>
      </c>
      <c r="AU32" t="s">
        <v>359</v>
      </c>
      <c r="AZ32" s="2">
        <f>(SQRT(J32*AG32)*POWER((MIN(L32,20)+SQRT(MAX(L32-20,0))),0.9)*Data!$B$1)*(1-(Q32-1))</f>
        <v>29.830575842658725</v>
      </c>
      <c r="BA32" s="2">
        <f>(POWER((J32*J32*AG32), 0.33)*LOG10(O32)*10*Data!$B$1)*Q32</f>
        <v>78.224535261541249</v>
      </c>
      <c r="BB32" s="2"/>
      <c r="BC32" s="2"/>
      <c r="BD32" s="2">
        <f>IFERROR((SQRT($J32*$AH32)*POWER((MIN($L32,20)+SQRT(MAX($L32-20,0))),0.9)*Data!$B$1)*(1 - (Q32-1)),AZ32)</f>
        <v>0</v>
      </c>
      <c r="BE32" s="2">
        <f>IFERROR(((POWER(($J32*$J32*$AH32), 0.33)*LOG10($AE32)*10*Data!$B$1)*Q32),BA32)</f>
        <v>78.224535261541249</v>
      </c>
      <c r="BF32" s="2">
        <f t="shared" si="0"/>
        <v>51.612903225806456</v>
      </c>
      <c r="BG32" s="2">
        <f t="shared" si="1"/>
        <v>0</v>
      </c>
      <c r="BH32" s="2">
        <f t="shared" si="2"/>
        <v>0</v>
      </c>
      <c r="BI32" s="2">
        <f t="shared" si="3"/>
        <v>0</v>
      </c>
      <c r="BJ32" s="2">
        <v>1</v>
      </c>
      <c r="BK32" s="2">
        <v>1</v>
      </c>
      <c r="BL32" s="2">
        <f t="shared" si="4"/>
        <v>33</v>
      </c>
      <c r="BM32" s="2">
        <f t="shared" si="5"/>
        <v>0</v>
      </c>
      <c r="BN32" s="2">
        <f t="shared" si="6"/>
        <v>-1</v>
      </c>
      <c r="BO32" s="2">
        <f t="shared" si="7"/>
        <v>33</v>
      </c>
      <c r="BP32" s="2">
        <f t="shared" si="8"/>
        <v>-1</v>
      </c>
      <c r="BQ32" s="2">
        <f t="shared" si="9"/>
        <v>-1</v>
      </c>
      <c r="BR32" s="3">
        <v>8.4</v>
      </c>
      <c r="BS32" s="3">
        <v>2.2999999999999998</v>
      </c>
      <c r="BT32" s="3">
        <v>2.7</v>
      </c>
      <c r="BU32">
        <f t="shared" si="10"/>
        <v>6</v>
      </c>
      <c r="BV32" s="2" t="str">
        <f>CONCATENATE(
ROUND(BR32*VLOOKUP(I32,'ID Scheme'!$A$2:$E$7,3),0), "x",
ROUND(BS32*VLOOKUP(I32,'ID Scheme'!$A$2:$E$7,5),0), "x",
ROUND(BT32*VLOOKUP(I32,'ID Scheme'!$A$2:$E$7,4),0))</f>
        <v>78x33x26</v>
      </c>
    </row>
    <row r="33" spans="1:75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19</v>
      </c>
      <c r="L33">
        <v>21</v>
      </c>
      <c r="M33">
        <v>5</v>
      </c>
      <c r="N33">
        <v>6</v>
      </c>
      <c r="O33">
        <v>130</v>
      </c>
      <c r="P33">
        <v>20</v>
      </c>
      <c r="Q33">
        <v>1</v>
      </c>
      <c r="R33" t="s">
        <v>299</v>
      </c>
      <c r="S33">
        <v>3</v>
      </c>
      <c r="T33" s="2" t="s">
        <v>326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G33">
        <v>50</v>
      </c>
      <c r="AU33" t="s">
        <v>359</v>
      </c>
      <c r="AZ33" s="2">
        <f>(SQRT(J33*AG33)*POWER((MIN(L33,20)+SQRT(MAX(L33-20,0))),0.9)*Data!$B$1)*(1-(Q33-1))</f>
        <v>61.466381101342122</v>
      </c>
      <c r="BA33" s="2">
        <f>(POWER((J33*J33*AG33), 0.33)*LOG10(O33)*10*Data!$B$1)*Q33</f>
        <v>82.152126183000618</v>
      </c>
      <c r="BB33" s="2"/>
      <c r="BC33" s="2"/>
      <c r="BD33" s="2">
        <f>IFERROR((SQRT($J33*$AH33)*POWER((MIN($L33,20)+SQRT(MAX($L33-20,0))),0.9)*Data!$B$1)*(1 - (Q33-1)),AZ33)</f>
        <v>0</v>
      </c>
      <c r="BE33" s="2">
        <f>IFERROR(((POWER(($J33*$J33*$AH33), 0.33)*LOG10($AE33)*10*Data!$B$1)*Q33),BA33)</f>
        <v>82.152126183000618</v>
      </c>
      <c r="BF33" s="2">
        <f t="shared" si="0"/>
        <v>45.161290322580648</v>
      </c>
      <c r="BG33" s="2">
        <f t="shared" si="1"/>
        <v>0</v>
      </c>
      <c r="BH33" s="2">
        <f t="shared" si="2"/>
        <v>0</v>
      </c>
      <c r="BI33" s="2">
        <f t="shared" si="3"/>
        <v>0</v>
      </c>
      <c r="BJ33" s="2">
        <v>1</v>
      </c>
      <c r="BK33" s="2">
        <v>1</v>
      </c>
      <c r="BL33" s="2">
        <f t="shared" si="4"/>
        <v>50</v>
      </c>
      <c r="BM33" s="2">
        <f t="shared" si="5"/>
        <v>0</v>
      </c>
      <c r="BN33" s="2">
        <f t="shared" si="6"/>
        <v>-1</v>
      </c>
      <c r="BO33" s="2">
        <f t="shared" si="7"/>
        <v>50</v>
      </c>
      <c r="BP33" s="2">
        <f t="shared" si="8"/>
        <v>-1</v>
      </c>
      <c r="BQ33" s="2">
        <f t="shared" si="9"/>
        <v>-1</v>
      </c>
      <c r="BR33" s="3">
        <v>10.199999999999999</v>
      </c>
      <c r="BS33" s="3">
        <v>2.4</v>
      </c>
      <c r="BT33" s="3">
        <v>2.7</v>
      </c>
      <c r="BU33">
        <f t="shared" si="10"/>
        <v>3</v>
      </c>
      <c r="BV33" s="2" t="str">
        <f>CONCATENATE(
ROUND(BR33*VLOOKUP(I33,'ID Scheme'!$A$2:$E$7,3),0), "x",
ROUND(BS33*VLOOKUP(I33,'ID Scheme'!$A$2:$E$7,5),0), "x",
ROUND(BT33*VLOOKUP(I33,'ID Scheme'!$A$2:$E$7,4),0))</f>
        <v>95x35x26</v>
      </c>
    </row>
    <row r="34" spans="1:75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21</v>
      </c>
      <c r="L34">
        <v>17</v>
      </c>
      <c r="M34">
        <v>5</v>
      </c>
      <c r="N34">
        <v>6.5</v>
      </c>
      <c r="O34">
        <v>249</v>
      </c>
      <c r="P34">
        <v>20</v>
      </c>
      <c r="Q34">
        <v>1</v>
      </c>
      <c r="R34" t="s">
        <v>299</v>
      </c>
      <c r="S34">
        <v>3</v>
      </c>
      <c r="T34" s="2" t="s">
        <v>327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G34">
        <v>53</v>
      </c>
      <c r="AU34" t="s">
        <v>359</v>
      </c>
      <c r="AZ34" s="2">
        <f>(SQRT(J34*AG34)*POWER((MIN(L34,20)+SQRT(MAX(L34-20,0))),0.9)*Data!$B$1)*(1-(Q34-1))</f>
        <v>54.160024560908056</v>
      </c>
      <c r="BA34" s="2">
        <f>(POWER((J34*J34*AG34), 0.33)*LOG10(O34)*10*Data!$B$1)*Q34</f>
        <v>99.351647021851662</v>
      </c>
      <c r="BB34" s="2"/>
      <c r="BC34" s="2"/>
      <c r="BD34" s="2">
        <f>IFERROR((SQRT($J34*$AH34)*POWER((MIN($L34,20)+SQRT(MAX($L34-20,0))),0.9)*Data!$B$1)*(1 - (Q34-1)),AZ34)</f>
        <v>0</v>
      </c>
      <c r="BE34" s="2">
        <f>IFERROR(((POWER(($J34*$J34*$AH34), 0.33)*LOG10($AE34)*10*Data!$B$1)*Q34),BA34)</f>
        <v>99.351647021851662</v>
      </c>
      <c r="BF34" s="2">
        <f t="shared" si="0"/>
        <v>48.387096774193552</v>
      </c>
      <c r="BG34" s="2">
        <f t="shared" si="1"/>
        <v>0</v>
      </c>
      <c r="BH34" s="2">
        <f t="shared" si="2"/>
        <v>0</v>
      </c>
      <c r="BI34" s="2">
        <f t="shared" si="3"/>
        <v>0</v>
      </c>
      <c r="BJ34" s="2">
        <v>1</v>
      </c>
      <c r="BK34" s="2">
        <v>1</v>
      </c>
      <c r="BL34" s="2">
        <f t="shared" si="4"/>
        <v>53</v>
      </c>
      <c r="BM34" s="2">
        <f t="shared" si="5"/>
        <v>0</v>
      </c>
      <c r="BN34" s="2">
        <f t="shared" si="6"/>
        <v>-1</v>
      </c>
      <c r="BO34" s="2">
        <f t="shared" si="7"/>
        <v>53</v>
      </c>
      <c r="BP34" s="2">
        <f t="shared" si="8"/>
        <v>-1</v>
      </c>
      <c r="BQ34" s="2">
        <f t="shared" si="9"/>
        <v>-1</v>
      </c>
      <c r="BR34" s="3">
        <v>10.199999999999999</v>
      </c>
      <c r="BS34" s="3">
        <v>2.4</v>
      </c>
      <c r="BT34" s="3">
        <v>2.7</v>
      </c>
      <c r="BU34">
        <f t="shared" si="10"/>
        <v>6</v>
      </c>
      <c r="BV34" s="2" t="str">
        <f>CONCATENATE(
ROUND(BR34*VLOOKUP(I34,'ID Scheme'!$A$2:$E$7,3),0), "x",
ROUND(BS34*VLOOKUP(I34,'ID Scheme'!$A$2:$E$7,5),0), "x",
ROUND(BT34*VLOOKUP(I34,'ID Scheme'!$A$2:$E$7,4),0))</f>
        <v>95x35x26</v>
      </c>
      <c r="BW34" t="s">
        <v>98</v>
      </c>
    </row>
    <row r="35" spans="1:75" x14ac:dyDescent="0.25">
      <c r="A35" t="s">
        <v>524</v>
      </c>
      <c r="B35" t="s">
        <v>526</v>
      </c>
      <c r="C35" t="s">
        <v>295</v>
      </c>
      <c r="D35">
        <f>IF(F35 &gt; 2020, ((F35-2020)*4)+1610+H35,IF(F35 &gt; 1900, ((F35-1900)*10)+400+H35, ((F35-1730)*2)+H35))+VLOOKUP(I35,'ID Scheme'!$A$2:$B$7,2, FALSE)</f>
        <v>1971</v>
      </c>
      <c r="F35">
        <v>1997</v>
      </c>
      <c r="G35">
        <v>1</v>
      </c>
      <c r="H35">
        <v>1</v>
      </c>
      <c r="I35" t="s">
        <v>12</v>
      </c>
      <c r="J35">
        <v>55</v>
      </c>
      <c r="K35">
        <v>21</v>
      </c>
      <c r="L35">
        <v>21</v>
      </c>
      <c r="M35">
        <v>5</v>
      </c>
      <c r="N35">
        <v>10</v>
      </c>
      <c r="O35">
        <v>220</v>
      </c>
      <c r="P35">
        <v>20</v>
      </c>
      <c r="Q35">
        <v>1</v>
      </c>
      <c r="R35" t="s">
        <v>311</v>
      </c>
      <c r="S35">
        <v>3</v>
      </c>
      <c r="T35" s="2" t="s">
        <v>525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G35">
        <v>82</v>
      </c>
      <c r="AU35" t="s">
        <v>359</v>
      </c>
      <c r="AZ35" s="2">
        <f>(SQRT(J35*AG35)*POWER((MIN(L35,20)+SQRT(MAX(L35-20,0))),0.9)*Data!$B$1)*(1-(Q35-1))</f>
        <v>78.009393174536498</v>
      </c>
      <c r="BA35" s="2">
        <f>(POWER((J35*J35*AG35), 0.33)*LOG10(O35)*10*Data!$B$1)*Q35</f>
        <v>105.90695322593139</v>
      </c>
      <c r="BB35" s="2"/>
      <c r="BC35" s="2"/>
      <c r="BD35" s="2">
        <f>IFERROR((SQRT($J35*$AH35)*POWER((MIN($L35,20)+SQRT(MAX($L35-20,0))),0.9)*Data!$B$1)*(1 - (Q35-1)),AZ35)</f>
        <v>0</v>
      </c>
      <c r="BE35" s="2">
        <f>IFERROR(((POWER(($J35*$J35*$AH35), 0.33)*LOG10($AE35)*10*Data!$B$1)*Q35),BA35)</f>
        <v>105.90695322593139</v>
      </c>
      <c r="BF35" s="2">
        <f t="shared" si="0"/>
        <v>44.354838709677416</v>
      </c>
      <c r="BG35" s="2">
        <f t="shared" si="1"/>
        <v>0</v>
      </c>
      <c r="BH35" s="2">
        <f t="shared" si="2"/>
        <v>0</v>
      </c>
      <c r="BI35" s="2">
        <f t="shared" si="3"/>
        <v>0</v>
      </c>
      <c r="BJ35" s="2">
        <v>1</v>
      </c>
      <c r="BK35" s="2">
        <v>1</v>
      </c>
      <c r="BL35" s="2">
        <f t="shared" si="4"/>
        <v>82</v>
      </c>
      <c r="BM35" s="2">
        <f t="shared" si="5"/>
        <v>0</v>
      </c>
      <c r="BN35" s="2">
        <f t="shared" si="6"/>
        <v>-1</v>
      </c>
      <c r="BO35" s="2">
        <f t="shared" si="7"/>
        <v>82</v>
      </c>
      <c r="BP35" s="2">
        <f t="shared" si="8"/>
        <v>-1</v>
      </c>
      <c r="BQ35" s="2">
        <f t="shared" si="9"/>
        <v>-1</v>
      </c>
      <c r="BR35" s="3">
        <v>11</v>
      </c>
      <c r="BS35" s="3">
        <v>2.5499999999999998</v>
      </c>
      <c r="BT35" s="3">
        <v>4.4000000000000004</v>
      </c>
      <c r="BU35">
        <f t="shared" si="10"/>
        <v>2</v>
      </c>
      <c r="BV35" s="2" t="str">
        <f>CONCATENATE(
ROUND(BR35*VLOOKUP(I35,'ID Scheme'!$A$2:$E$7,3),0), "x",
ROUND(BS35*VLOOKUP(I35,'ID Scheme'!$A$2:$E$7,5),0), "x",
ROUND(BT35*VLOOKUP(I35,'ID Scheme'!$A$2:$E$7,4),0))</f>
        <v>103x37x43</v>
      </c>
    </row>
    <row r="36" spans="1:75" x14ac:dyDescent="0.25">
      <c r="A36" t="s">
        <v>64</v>
      </c>
      <c r="B36" t="s">
        <v>185</v>
      </c>
      <c r="C36" t="s">
        <v>295</v>
      </c>
      <c r="D36">
        <f>IF(F36 &gt; 2020, ((F36-2020)*4)+1610+H36,IF(F36 &gt; 1900, ((F36-1900)*10)+400+H36, ((F36-1730)*2)+H36))+VLOOKUP(I36,'ID Scheme'!$A$2:$B$7,2, FALSE)</f>
        <v>1981</v>
      </c>
      <c r="F36">
        <v>1998</v>
      </c>
      <c r="G36">
        <v>1</v>
      </c>
      <c r="H36">
        <v>1</v>
      </c>
      <c r="I36" t="s">
        <v>12</v>
      </c>
      <c r="J36">
        <v>59</v>
      </c>
      <c r="K36">
        <v>15</v>
      </c>
      <c r="L36">
        <v>15</v>
      </c>
      <c r="M36">
        <v>5</v>
      </c>
      <c r="N36">
        <v>7</v>
      </c>
      <c r="O36">
        <v>110</v>
      </c>
      <c r="P36">
        <v>20</v>
      </c>
      <c r="Q36">
        <v>1</v>
      </c>
      <c r="R36" t="s">
        <v>311</v>
      </c>
      <c r="S36">
        <v>2</v>
      </c>
      <c r="T36" s="2" t="s">
        <v>328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G36">
        <v>33</v>
      </c>
      <c r="AU36" t="s">
        <v>359</v>
      </c>
      <c r="AZ36" s="2">
        <f>(SQRT(J36*AG36)*POWER((MIN(L36,20)+SQRT(MAX(L36-20,0))),0.9)*Data!$B$1)*(1-(Q36-1))</f>
        <v>37.863989611191968</v>
      </c>
      <c r="BA36" s="2">
        <f>(POWER((J36*J36*AG36), 0.33)*LOG10(O36)*10*Data!$B$1)*Q36</f>
        <v>71.591217050010968</v>
      </c>
      <c r="BB36" s="2"/>
      <c r="BC36" s="2"/>
      <c r="BD36" s="2">
        <f>IFERROR((SQRT($J36*$AH36)*POWER((MIN($L36,20)+SQRT(MAX($L36-20,0))),0.9)*Data!$B$1)*(1 - (Q36-1)),AZ36)</f>
        <v>0</v>
      </c>
      <c r="BE36" s="2">
        <f>IFERROR(((POWER(($J36*$J36*$AH36), 0.33)*LOG10($AE36)*10*Data!$B$1)*Q36),BA36)</f>
        <v>71.591217050010968</v>
      </c>
      <c r="BF36" s="2">
        <f t="shared" si="0"/>
        <v>47.58064516129032</v>
      </c>
      <c r="BG36" s="2">
        <f t="shared" si="1"/>
        <v>0</v>
      </c>
      <c r="BH36" s="2">
        <f t="shared" si="2"/>
        <v>0</v>
      </c>
      <c r="BI36" s="2">
        <f t="shared" si="3"/>
        <v>0</v>
      </c>
      <c r="BJ36" s="2">
        <v>1</v>
      </c>
      <c r="BK36" s="2">
        <v>1</v>
      </c>
      <c r="BL36" s="2">
        <f t="shared" si="4"/>
        <v>33</v>
      </c>
      <c r="BM36" s="2">
        <f t="shared" si="5"/>
        <v>0</v>
      </c>
      <c r="BN36" s="2">
        <f t="shared" si="6"/>
        <v>-1</v>
      </c>
      <c r="BO36" s="2">
        <f t="shared" si="7"/>
        <v>33</v>
      </c>
      <c r="BP36" s="2">
        <f t="shared" si="8"/>
        <v>-1</v>
      </c>
      <c r="BQ36" s="2">
        <f t="shared" si="9"/>
        <v>-1</v>
      </c>
      <c r="BR36" s="3">
        <v>10.199999999999999</v>
      </c>
      <c r="BS36" s="3">
        <v>2.2999999999999998</v>
      </c>
      <c r="BT36" s="3">
        <v>2.7</v>
      </c>
      <c r="BU36">
        <f t="shared" si="10"/>
        <v>1</v>
      </c>
      <c r="BV36" s="2" t="str">
        <f>CONCATENATE(
ROUND(BR36*VLOOKUP(I36,'ID Scheme'!$A$2:$E$7,3),0), "x",
ROUND(BS36*VLOOKUP(I36,'ID Scheme'!$A$2:$E$7,5),0), "x",
ROUND(BT36*VLOOKUP(I36,'ID Scheme'!$A$2:$E$7,4),0))</f>
        <v>95x33x26</v>
      </c>
    </row>
    <row r="37" spans="1:75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-1</v>
      </c>
      <c r="L37">
        <v>22</v>
      </c>
      <c r="M37">
        <v>4</v>
      </c>
      <c r="N37">
        <v>12</v>
      </c>
      <c r="O37">
        <v>320</v>
      </c>
      <c r="P37">
        <v>18</v>
      </c>
      <c r="Q37">
        <v>1</v>
      </c>
      <c r="R37" t="s">
        <v>305</v>
      </c>
      <c r="S37">
        <v>3</v>
      </c>
      <c r="T37" s="2" t="s">
        <v>330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G37">
        <v>58</v>
      </c>
      <c r="AM37">
        <v>62</v>
      </c>
      <c r="AN37">
        <v>60</v>
      </c>
      <c r="AU37" t="s">
        <v>359</v>
      </c>
      <c r="AZ37" s="2">
        <f>(SQRT(J37*AG37)*POWER((MIN(L37,20)+SQRT(MAX(L37-20,0))),0.9)*Data!$B$1)*(1-(Q37-1))</f>
        <v>75.327958362845649</v>
      </c>
      <c r="BA37" s="2">
        <f>(POWER((J37*J37*AG37), 0.33)*LOG10(O37)*10*Data!$B$1)*Q37</f>
        <v>118.46524010653438</v>
      </c>
      <c r="BB37" s="2"/>
      <c r="BC37" s="2"/>
      <c r="BD37" s="2">
        <f>IFERROR((SQRT($J37*$AH37)*POWER((MIN($L37,20)+SQRT(MAX($L37-20,0))),0.9)*Data!$B$1)*(1 - (Q37-1)),AZ37)</f>
        <v>0</v>
      </c>
      <c r="BE37" s="2">
        <f>IFERROR(((POWER(($J37*$J37*$AH37), 0.33)*LOG10($AE37)*10*Data!$B$1)*Q37),BA37)</f>
        <v>118.46524010653438</v>
      </c>
      <c r="BF37" s="2">
        <f t="shared" si="0"/>
        <v>56.451612903225808</v>
      </c>
      <c r="BG37" s="2">
        <f t="shared" si="1"/>
        <v>0</v>
      </c>
      <c r="BH37" s="2">
        <f t="shared" si="2"/>
        <v>50</v>
      </c>
      <c r="BI37" s="2">
        <f t="shared" si="3"/>
        <v>48.387096774193552</v>
      </c>
      <c r="BJ37" s="2">
        <v>1</v>
      </c>
      <c r="BK37" s="2">
        <v>1</v>
      </c>
      <c r="BL37" s="2">
        <f t="shared" si="4"/>
        <v>58</v>
      </c>
      <c r="BM37" s="2">
        <f t="shared" si="5"/>
        <v>0</v>
      </c>
      <c r="BN37" s="2">
        <f t="shared" si="6"/>
        <v>-1</v>
      </c>
      <c r="BO37" s="2">
        <f t="shared" si="7"/>
        <v>58</v>
      </c>
      <c r="BP37" s="2">
        <f t="shared" si="8"/>
        <v>-1</v>
      </c>
      <c r="BQ37" s="2">
        <f t="shared" si="9"/>
        <v>-1</v>
      </c>
      <c r="BR37" s="3">
        <v>12</v>
      </c>
      <c r="BS37" s="3">
        <v>2.5</v>
      </c>
      <c r="BT37" s="3">
        <v>3.3</v>
      </c>
      <c r="BU37">
        <f>F37-F35</f>
        <v>4</v>
      </c>
      <c r="BV37" s="2" t="str">
        <f>CONCATENATE(
ROUND(BR37*VLOOKUP(I37,'ID Scheme'!$A$2:$E$7,3),0), "x",
ROUND(BS37*VLOOKUP(I37,'ID Scheme'!$A$2:$E$7,5),0), "x",
ROUND(BT37*VLOOKUP(I37,'ID Scheme'!$A$2:$E$7,4),0))</f>
        <v>112x36x32</v>
      </c>
    </row>
    <row r="38" spans="1:75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-1</v>
      </c>
      <c r="L38">
        <v>11</v>
      </c>
      <c r="M38">
        <v>10</v>
      </c>
      <c r="N38">
        <v>14</v>
      </c>
      <c r="O38">
        <v>320</v>
      </c>
      <c r="P38">
        <v>25</v>
      </c>
      <c r="Q38">
        <v>1</v>
      </c>
      <c r="R38" t="s">
        <v>299</v>
      </c>
      <c r="S38">
        <v>3</v>
      </c>
      <c r="T38" s="2" t="s">
        <v>337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G38">
        <v>140</v>
      </c>
      <c r="AO38" t="s">
        <v>398</v>
      </c>
      <c r="AP38" t="s">
        <v>428</v>
      </c>
      <c r="AR38" t="s">
        <v>396</v>
      </c>
      <c r="AS38" t="s">
        <v>398</v>
      </c>
      <c r="AT38" t="s">
        <v>400</v>
      </c>
      <c r="AU38" t="s">
        <v>359</v>
      </c>
      <c r="AZ38" s="2">
        <f>(SQRT(J38*AG38)*POWER((MIN(L38,20)+SQRT(MAX(L38-20,0))),0.9)*Data!$B$1)*(1-(Q38-1))</f>
        <v>56.95869659296028</v>
      </c>
      <c r="BA38" s="2">
        <f>(POWER((J38*J38*AG38), 0.33)*LOG10(O38)*10*Data!$B$1)*Q38</f>
        <v>135.13150745681415</v>
      </c>
      <c r="BB38" s="2"/>
      <c r="BC38" s="2"/>
      <c r="BD38" s="2">
        <f>IFERROR((SQRT($J38*$AH38)*POWER((MIN($L38,20)+SQRT(MAX($L38-20,0))),0.9)*Data!$B$1)*(1 - (Q38-1)),AZ38)</f>
        <v>0</v>
      </c>
      <c r="BE38" s="2">
        <f>IFERROR(((POWER(($J38*$J38*$AH38), 0.33)*LOG10($AE38)*10*Data!$B$1)*Q38),BA38)</f>
        <v>135.13150745681415</v>
      </c>
      <c r="BF38" s="2">
        <f t="shared" si="0"/>
        <v>44.354838709677416</v>
      </c>
      <c r="BG38" s="2">
        <f t="shared" si="1"/>
        <v>0</v>
      </c>
      <c r="BH38" s="2">
        <f t="shared" si="2"/>
        <v>0</v>
      </c>
      <c r="BI38" s="2">
        <f t="shared" si="3"/>
        <v>0</v>
      </c>
      <c r="BJ38" s="2">
        <v>2</v>
      </c>
      <c r="BK38" s="2">
        <v>2</v>
      </c>
      <c r="BL38" s="2">
        <f t="shared" si="4"/>
        <v>70</v>
      </c>
      <c r="BM38" s="2">
        <f t="shared" si="5"/>
        <v>0</v>
      </c>
      <c r="BN38" s="2">
        <f t="shared" si="6"/>
        <v>-1</v>
      </c>
      <c r="BO38" s="2">
        <f t="shared" si="7"/>
        <v>140</v>
      </c>
      <c r="BP38" s="2">
        <f t="shared" si="8"/>
        <v>-1</v>
      </c>
      <c r="BQ38" s="2">
        <f t="shared" si="9"/>
        <v>-1</v>
      </c>
      <c r="BR38" s="3">
        <v>18</v>
      </c>
      <c r="BS38" s="3">
        <v>2.5</v>
      </c>
      <c r="BT38" s="3">
        <v>3.2</v>
      </c>
      <c r="BU38">
        <f>F38-F37</f>
        <v>0</v>
      </c>
      <c r="BV38" s="2" t="str">
        <f>CONCATENATE(
ROUND(BR38*VLOOKUP(I38,'ID Scheme'!$A$2:$E$7,3),0), "x",
ROUND(BS38*VLOOKUP(I38,'ID Scheme'!$A$2:$E$7,5),0), "x",
ROUND(BT38*VLOOKUP(I38,'ID Scheme'!$A$2:$E$7,4),0))</f>
        <v>168x36x31</v>
      </c>
    </row>
    <row r="39" spans="1:75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-1</v>
      </c>
      <c r="L39">
        <v>20</v>
      </c>
      <c r="M39">
        <v>7</v>
      </c>
      <c r="N39">
        <v>11</v>
      </c>
      <c r="O39">
        <v>185</v>
      </c>
      <c r="P39">
        <v>20</v>
      </c>
      <c r="Q39">
        <v>1</v>
      </c>
      <c r="R39" t="s">
        <v>305</v>
      </c>
      <c r="S39">
        <v>3</v>
      </c>
      <c r="T39" s="2" t="s">
        <v>331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G39">
        <v>90</v>
      </c>
      <c r="AU39" t="s">
        <v>359</v>
      </c>
      <c r="AZ39" s="2">
        <f>(SQRT(J39*AG39)*POWER((MIN(L39,20)+SQRT(MAX(L39-20,0))),0.9)*Data!$B$1)*(1-(Q39-1))</f>
        <v>81.693055399982839</v>
      </c>
      <c r="BA39" s="2">
        <f>(POWER((J39*J39*AG39), 0.33)*LOG10(O39)*10*Data!$B$1)*Q39</f>
        <v>111.95037019981191</v>
      </c>
      <c r="BB39" s="2"/>
      <c r="BC39" s="2"/>
      <c r="BD39" s="2">
        <f>IFERROR((SQRT($J39*$AH39)*POWER((MIN($L39,20)+SQRT(MAX($L39-20,0))),0.9)*Data!$B$1)*(1 - (Q39-1)),AZ39)</f>
        <v>0</v>
      </c>
      <c r="BE39" s="2">
        <f>IFERROR(((POWER(($J39*$J39*$AH39), 0.33)*LOG10($AE39)*10*Data!$B$1)*Q39),BA39)</f>
        <v>111.95037019981191</v>
      </c>
      <c r="BF39" s="2">
        <f t="shared" si="0"/>
        <v>48.387096774193552</v>
      </c>
      <c r="BG39" s="2">
        <f t="shared" si="1"/>
        <v>0</v>
      </c>
      <c r="BH39" s="2">
        <f t="shared" si="2"/>
        <v>0</v>
      </c>
      <c r="BI39" s="2">
        <f t="shared" si="3"/>
        <v>0</v>
      </c>
      <c r="BJ39" s="2">
        <v>1</v>
      </c>
      <c r="BK39" s="2">
        <v>1</v>
      </c>
      <c r="BL39" s="2">
        <f t="shared" si="4"/>
        <v>90</v>
      </c>
      <c r="BM39" s="2">
        <f t="shared" si="5"/>
        <v>0</v>
      </c>
      <c r="BN39" s="2">
        <f t="shared" si="6"/>
        <v>-1</v>
      </c>
      <c r="BO39" s="2">
        <f t="shared" si="7"/>
        <v>90</v>
      </c>
      <c r="BP39" s="2">
        <f t="shared" si="8"/>
        <v>-1</v>
      </c>
      <c r="BQ39" s="2">
        <f t="shared" si="9"/>
        <v>-1</v>
      </c>
      <c r="BR39" s="3">
        <v>11.4</v>
      </c>
      <c r="BS39" s="3">
        <v>2.5499999999999998</v>
      </c>
      <c r="BT39" s="3">
        <v>4.2</v>
      </c>
      <c r="BU39">
        <f>F39-F38</f>
        <v>4</v>
      </c>
      <c r="BV39" s="2" t="str">
        <f>CONCATENATE(
ROUND(BR39*VLOOKUP(I39,'ID Scheme'!$A$2:$E$7,3),0), "x",
ROUND(BS39*VLOOKUP(I39,'ID Scheme'!$A$2:$E$7,5),0), "x",
ROUND(BT39*VLOOKUP(I39,'ID Scheme'!$A$2:$E$7,4),0))</f>
        <v>106x37x41</v>
      </c>
    </row>
    <row r="40" spans="1:75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-1</v>
      </c>
      <c r="L40">
        <v>16</v>
      </c>
      <c r="M40">
        <v>6</v>
      </c>
      <c r="N40">
        <v>10</v>
      </c>
      <c r="O40">
        <v>101</v>
      </c>
      <c r="P40">
        <v>22</v>
      </c>
      <c r="Q40">
        <v>1</v>
      </c>
      <c r="R40" t="s">
        <v>333</v>
      </c>
      <c r="S40">
        <v>3</v>
      </c>
      <c r="T40" s="2" t="s">
        <v>334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G40">
        <v>72</v>
      </c>
      <c r="AU40" t="s">
        <v>359</v>
      </c>
      <c r="AZ40" s="2">
        <f>(SQRT(J40*AG40)*POWER((MIN(L40,20)+SQRT(MAX(L40-20,0))),0.9)*Data!$B$1)*(1-(Q40-1))</f>
        <v>54.565796394374324</v>
      </c>
      <c r="BA40" s="2">
        <f>(POWER((J40*J40*AG40), 0.33)*LOG10(O40)*10*Data!$B$1)*Q40</f>
        <v>81.520821564001579</v>
      </c>
      <c r="BB40" s="2"/>
      <c r="BC40" s="2"/>
      <c r="BD40" s="2">
        <f>IFERROR((SQRT($J40*$AH40)*POWER((MIN($L40,20)+SQRT(MAX($L40-20,0))),0.9)*Data!$B$1)*(1 - (Q40-1)),AZ40)</f>
        <v>0</v>
      </c>
      <c r="BE40" s="2">
        <f>IFERROR(((POWER(($J40*$J40*$AH40), 0.33)*LOG10($AE40)*10*Data!$B$1)*Q40),BA40)</f>
        <v>81.520821564001579</v>
      </c>
      <c r="BF40" s="2">
        <f t="shared" si="0"/>
        <v>40.322580645161288</v>
      </c>
      <c r="BG40" s="2">
        <f t="shared" si="1"/>
        <v>0</v>
      </c>
      <c r="BH40" s="2">
        <f t="shared" si="2"/>
        <v>0</v>
      </c>
      <c r="BI40" s="2">
        <f t="shared" si="3"/>
        <v>0</v>
      </c>
      <c r="BJ40" s="2">
        <v>1</v>
      </c>
      <c r="BK40" s="2">
        <v>1</v>
      </c>
      <c r="BL40" s="2">
        <f t="shared" si="4"/>
        <v>72</v>
      </c>
      <c r="BM40" s="2">
        <f t="shared" si="5"/>
        <v>0</v>
      </c>
      <c r="BN40" s="2">
        <f t="shared" si="6"/>
        <v>-1</v>
      </c>
      <c r="BO40" s="2">
        <f t="shared" si="7"/>
        <v>72</v>
      </c>
      <c r="BP40" s="2">
        <f t="shared" si="8"/>
        <v>-1</v>
      </c>
      <c r="BQ40" s="2">
        <f t="shared" si="9"/>
        <v>-1</v>
      </c>
      <c r="BR40" s="3"/>
      <c r="BS40" s="3"/>
      <c r="BT40" s="3"/>
      <c r="BU40">
        <f>F40-F38</f>
        <v>10</v>
      </c>
      <c r="BV40" s="2" t="str">
        <f>CONCATENATE(
ROUND(BR40*VLOOKUP(I40,'ID Scheme'!$A$2:$E$7,3),0), "x",
ROUND(BS40*VLOOKUP(I40,'ID Scheme'!$A$2:$E$7,5),0), "x",
ROUND(BT40*VLOOKUP(I40,'ID Scheme'!$A$2:$E$7,4),0))</f>
        <v>0x0x0</v>
      </c>
    </row>
    <row r="41" spans="1:75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-1</v>
      </c>
      <c r="L41">
        <v>20</v>
      </c>
      <c r="M41">
        <v>7</v>
      </c>
      <c r="N41">
        <v>12.5</v>
      </c>
      <c r="O41">
        <v>185</v>
      </c>
      <c r="P41">
        <v>23</v>
      </c>
      <c r="Q41">
        <v>1</v>
      </c>
      <c r="R41" t="s">
        <v>311</v>
      </c>
      <c r="S41">
        <v>3</v>
      </c>
      <c r="T41" s="2" t="s">
        <v>335</v>
      </c>
      <c r="U41" s="2"/>
      <c r="V41" s="2"/>
      <c r="W41" s="2"/>
      <c r="X41" s="2"/>
      <c r="Y41" s="2"/>
      <c r="Z41" s="2"/>
      <c r="AA41" s="2"/>
      <c r="AB41" s="2"/>
      <c r="AC41" s="2"/>
      <c r="AD41" s="2"/>
      <c r="AG41">
        <v>87</v>
      </c>
      <c r="AU41" t="s">
        <v>359</v>
      </c>
      <c r="AZ41" s="2">
        <f>(SQRT(J41*AG41)*POWER((MIN(L41,20)+SQRT(MAX(L41-20,0))),0.9)*Data!$B$1)*(1-(Q41-1))</f>
        <v>73.321761154546138</v>
      </c>
      <c r="BA41" s="2">
        <f>(POWER((J41*J41*AG41), 0.33)*LOG10(O41)*10*Data!$B$1)*Q41</f>
        <v>98.153826904979823</v>
      </c>
      <c r="BB41" s="2"/>
      <c r="BC41" s="2"/>
      <c r="BD41" s="2">
        <f>IFERROR((SQRT($J41*$AH41)*POWER((MIN($L41,20)+SQRT(MAX($L41-20,0))),0.9)*Data!$B$1)*(1 - (Q41-1)),AZ41)</f>
        <v>0</v>
      </c>
      <c r="BE41" s="2">
        <f>IFERROR(((POWER(($J41*$J41*$AH41), 0.33)*LOG10($AE41)*10*Data!$B$1)*Q41),BA41)</f>
        <v>98.153826904979823</v>
      </c>
      <c r="BF41" s="2">
        <f t="shared" si="0"/>
        <v>40.322580645161288</v>
      </c>
      <c r="BG41" s="2">
        <f t="shared" si="1"/>
        <v>0</v>
      </c>
      <c r="BH41" s="2">
        <f t="shared" si="2"/>
        <v>0</v>
      </c>
      <c r="BI41" s="2">
        <f t="shared" si="3"/>
        <v>0</v>
      </c>
      <c r="BJ41" s="2">
        <v>1</v>
      </c>
      <c r="BK41" s="2">
        <v>1</v>
      </c>
      <c r="BL41" s="2">
        <f t="shared" si="4"/>
        <v>87</v>
      </c>
      <c r="BM41" s="2">
        <f t="shared" si="5"/>
        <v>0</v>
      </c>
      <c r="BN41" s="2">
        <f t="shared" si="6"/>
        <v>-1</v>
      </c>
      <c r="BO41" s="2">
        <f t="shared" si="7"/>
        <v>87</v>
      </c>
      <c r="BP41" s="2">
        <f t="shared" si="8"/>
        <v>-1</v>
      </c>
      <c r="BQ41" s="2">
        <f t="shared" si="9"/>
        <v>-1</v>
      </c>
      <c r="BR41" s="3"/>
      <c r="BS41" s="3"/>
      <c r="BT41" s="3"/>
      <c r="BU41">
        <f t="shared" ref="BU41:BU53" si="11">F41-F40</f>
        <v>1</v>
      </c>
      <c r="BV41" s="2" t="str">
        <f>CONCATENATE(
ROUND(BR41*VLOOKUP(I41,'ID Scheme'!$A$2:$E$7,3),0), "x",
ROUND(BS41*VLOOKUP(I41,'ID Scheme'!$A$2:$E$7,5),0), "x",
ROUND(BT41*VLOOKUP(I41,'ID Scheme'!$A$2:$E$7,4),0))</f>
        <v>0x0x0</v>
      </c>
    </row>
    <row r="42" spans="1:75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-1</v>
      </c>
      <c r="L42">
        <v>16</v>
      </c>
      <c r="M42">
        <v>5</v>
      </c>
      <c r="N42">
        <v>7.5</v>
      </c>
      <c r="O42">
        <v>110</v>
      </c>
      <c r="P42">
        <v>20</v>
      </c>
      <c r="Q42">
        <v>0.95</v>
      </c>
      <c r="R42" t="s">
        <v>311</v>
      </c>
      <c r="S42">
        <v>2</v>
      </c>
      <c r="T42" s="2" t="s">
        <v>329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G42">
        <v>35</v>
      </c>
      <c r="AU42" t="s">
        <v>359</v>
      </c>
      <c r="AZ42" s="2">
        <f>(SQRT(J42*AG42)*POWER((MIN(L42,20)+SQRT(MAX(L42-20,0))),0.9)*Data!$B$1)*(1-(Q42-1))</f>
        <v>43.759081158234544</v>
      </c>
      <c r="BA42" s="2">
        <f>(POWER((J42*J42*AG42), 0.33)*LOG10(O42)*10*Data!$B$1)*Q42</f>
        <v>70.118675319420305</v>
      </c>
      <c r="BB42" s="2"/>
      <c r="BC42" s="2"/>
      <c r="BD42" s="2">
        <f>IFERROR((SQRT($J42*$AH42)*POWER((MIN($L42,20)+SQRT(MAX($L42-20,0))),0.9)*Data!$B$1)*(1 - (Q42-1)),AZ42)</f>
        <v>0</v>
      </c>
      <c r="BE42" s="2">
        <f>IFERROR(((POWER(($J42*$J42*$AH42), 0.33)*LOG10($AE42)*10*Data!$B$1)*Q42),BA42)</f>
        <v>70.118675319420305</v>
      </c>
      <c r="BF42" s="2">
        <f t="shared" si="0"/>
        <v>48.387096774193552</v>
      </c>
      <c r="BG42" s="2">
        <f t="shared" si="1"/>
        <v>0</v>
      </c>
      <c r="BH42" s="2">
        <f t="shared" si="2"/>
        <v>0</v>
      </c>
      <c r="BI42" s="2">
        <f t="shared" si="3"/>
        <v>0</v>
      </c>
      <c r="BJ42" s="2">
        <v>1</v>
      </c>
      <c r="BK42" s="2">
        <v>1</v>
      </c>
      <c r="BL42" s="2">
        <f t="shared" si="4"/>
        <v>35</v>
      </c>
      <c r="BM42" s="2">
        <f t="shared" si="5"/>
        <v>0</v>
      </c>
      <c r="BN42" s="2">
        <f t="shared" si="6"/>
        <v>-1</v>
      </c>
      <c r="BO42" s="2">
        <f t="shared" si="7"/>
        <v>35</v>
      </c>
      <c r="BP42" s="2">
        <f t="shared" si="8"/>
        <v>-1</v>
      </c>
      <c r="BQ42" s="2">
        <f t="shared" si="9"/>
        <v>-1</v>
      </c>
      <c r="BR42" s="3">
        <v>10.199999999999999</v>
      </c>
      <c r="BS42" s="3">
        <v>2.2999999999999998</v>
      </c>
      <c r="BT42" s="3">
        <v>2.7</v>
      </c>
      <c r="BU42">
        <f t="shared" si="11"/>
        <v>0</v>
      </c>
      <c r="BV42" s="2" t="str">
        <f>CONCATENATE(
ROUND(BR42*VLOOKUP(I42,'ID Scheme'!$A$2:$E$7,3),0), "x",
ROUND(BS42*VLOOKUP(I42,'ID Scheme'!$A$2:$E$7,5),0), "x",
ROUND(BT42*VLOOKUP(I42,'ID Scheme'!$A$2:$E$7,4),0))</f>
        <v>95x33x26</v>
      </c>
    </row>
    <row r="43" spans="1:75" x14ac:dyDescent="0.25">
      <c r="A43" t="s">
        <v>529</v>
      </c>
      <c r="B43" t="s">
        <v>531</v>
      </c>
      <c r="C43" t="s">
        <v>295</v>
      </c>
      <c r="D43">
        <f>IF(F43 &gt; 2020, ((F43-2020)*4)+1610+H43,IF(F43 &gt; 1900, ((F43-1900)*10)+400+H43, ((F43-1730)*2)+H43))+VLOOKUP(I43,'ID Scheme'!$A$2:$B$7,2, FALSE)</f>
        <v>2141</v>
      </c>
      <c r="F43">
        <v>2014</v>
      </c>
      <c r="G43">
        <v>10</v>
      </c>
      <c r="H43">
        <v>1</v>
      </c>
      <c r="I43" t="s">
        <v>12</v>
      </c>
      <c r="J43">
        <v>60</v>
      </c>
      <c r="K43">
        <v>-1</v>
      </c>
      <c r="L43">
        <v>20</v>
      </c>
      <c r="M43">
        <v>7</v>
      </c>
      <c r="N43">
        <v>11</v>
      </c>
      <c r="O43">
        <v>240</v>
      </c>
      <c r="P43">
        <v>20</v>
      </c>
      <c r="Q43">
        <v>0.9</v>
      </c>
      <c r="R43" t="s">
        <v>311</v>
      </c>
      <c r="S43">
        <v>3</v>
      </c>
      <c r="T43" s="2" t="s">
        <v>530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G43">
        <v>90</v>
      </c>
      <c r="AU43" t="s">
        <v>359</v>
      </c>
      <c r="AZ43" s="2">
        <f>(SQRT(J43*AG43)*POWER((MIN(L43,20)+SQRT(MAX(L43-20,0))),0.9)*Data!$B$1)*(1-(Q43-1))</f>
        <v>89.86236093998113</v>
      </c>
      <c r="BA43" s="2">
        <f>(POWER((J43*J43*AG43), 0.33)*LOG10(O43)*10*Data!$B$1)*Q43</f>
        <v>105.77891991708935</v>
      </c>
      <c r="BB43" s="2"/>
      <c r="BC43" s="2"/>
      <c r="BD43" s="2">
        <f>IFERROR((SQRT($J43*$AH43)*POWER((MIN($L43,20)+SQRT(MAX($L43-20,0))),0.9)*Data!$B$1)*(1 - (Q43-1)),AZ43)</f>
        <v>0</v>
      </c>
      <c r="BE43" s="2">
        <f>IFERROR(((POWER(($J43*$J43*$AH43), 0.33)*LOG10($AE43)*10*Data!$B$1)*Q43),BA43)</f>
        <v>105.77891991708935</v>
      </c>
      <c r="BF43" s="2">
        <f t="shared" ref="BF43:BF74" si="12">J43/1.24</f>
        <v>48.387096774193552</v>
      </c>
      <c r="BG43" s="2">
        <f t="shared" ref="BG43:BG74" si="13">AF43/1.24</f>
        <v>0</v>
      </c>
      <c r="BH43" s="2">
        <f t="shared" ref="BH43:BH74" si="14">AM43/1.24</f>
        <v>0</v>
      </c>
      <c r="BI43" s="2">
        <f t="shared" ref="BI43:BI74" si="15">AN43/1.24</f>
        <v>0</v>
      </c>
      <c r="BJ43" s="2">
        <v>1</v>
      </c>
      <c r="BK43" s="2">
        <v>1</v>
      </c>
      <c r="BL43" s="2">
        <f t="shared" ref="BL43:BL74" si="16">AG43/BK43</f>
        <v>90</v>
      </c>
      <c r="BM43" s="2">
        <f t="shared" ref="BM43:BM74" si="17">AH43/BK43</f>
        <v>0</v>
      </c>
      <c r="BN43" s="2">
        <f t="shared" si="6"/>
        <v>-1</v>
      </c>
      <c r="BO43" s="2">
        <f t="shared" ref="BO43:BO74" si="18">(AG43)/MAX(BJ43-1, 1)</f>
        <v>90</v>
      </c>
      <c r="BP43" s="2">
        <f t="shared" si="8"/>
        <v>-1</v>
      </c>
      <c r="BQ43" s="2">
        <f t="shared" ref="BQ43:BQ74" si="19">IF(AH43 &gt; 0, (AH43)/MAX(BJ43-1, 1), -1)</f>
        <v>-1</v>
      </c>
      <c r="BR43" s="3">
        <v>11.4</v>
      </c>
      <c r="BS43" s="3">
        <v>2.5499999999999998</v>
      </c>
      <c r="BT43" s="3">
        <v>4.2</v>
      </c>
      <c r="BU43">
        <f t="shared" si="11"/>
        <v>2</v>
      </c>
      <c r="BV43" s="2" t="str">
        <f>CONCATENATE(
ROUND(BR43*VLOOKUP(I43,'ID Scheme'!$A$2:$E$7,3),0), "x",
ROUND(BS43*VLOOKUP(I43,'ID Scheme'!$A$2:$E$7,5),0), "x",
ROUND(BT43*VLOOKUP(I43,'ID Scheme'!$A$2:$E$7,4),0))</f>
        <v>106x37x41</v>
      </c>
    </row>
    <row r="44" spans="1:75" x14ac:dyDescent="0.25">
      <c r="A44" t="s">
        <v>368</v>
      </c>
      <c r="B44" t="s">
        <v>195</v>
      </c>
      <c r="C44" t="s">
        <v>369</v>
      </c>
      <c r="D44">
        <f>IF(F44 &gt; 2020, ((F44-2020)*4)+1610+H44,IF(F44 &gt; 1900, ((F44-1900)*10)+400+H44, ((F44-1730)*2)+H44))+VLOOKUP(I44,'ID Scheme'!$A$2:$B$7,2, FALSE)</f>
        <v>2741</v>
      </c>
      <c r="F44">
        <v>1800</v>
      </c>
      <c r="G44">
        <v>1</v>
      </c>
      <c r="H44">
        <v>1</v>
      </c>
      <c r="I44" t="s">
        <v>13</v>
      </c>
      <c r="J44">
        <v>16</v>
      </c>
      <c r="K44">
        <v>120</v>
      </c>
      <c r="L44">
        <v>12</v>
      </c>
      <c r="M44">
        <v>4</v>
      </c>
      <c r="N44">
        <v>1</v>
      </c>
      <c r="O44">
        <v>15</v>
      </c>
      <c r="P44">
        <v>20</v>
      </c>
      <c r="Q44">
        <v>1</v>
      </c>
      <c r="R44" t="s">
        <v>297</v>
      </c>
      <c r="T44" s="2" t="s">
        <v>366</v>
      </c>
      <c r="U44" s="2"/>
      <c r="V44" s="2"/>
      <c r="W44" s="2"/>
      <c r="X44" s="2"/>
      <c r="Y44" s="2" t="s">
        <v>343</v>
      </c>
      <c r="Z44" s="2"/>
      <c r="AA44" s="2" t="s">
        <v>343</v>
      </c>
      <c r="AB44" s="2"/>
      <c r="AC44" s="2" t="s">
        <v>444</v>
      </c>
      <c r="AD44" s="2"/>
      <c r="AE44">
        <v>5</v>
      </c>
      <c r="AF44">
        <v>10</v>
      </c>
      <c r="AG44">
        <v>12</v>
      </c>
      <c r="AH44">
        <v>2</v>
      </c>
      <c r="AI44" s="7">
        <f>AH44*3</f>
        <v>6</v>
      </c>
      <c r="AJ44" s="7">
        <f>(AG44*1.75)-MOD((AG44*1.75), BJ44)</f>
        <v>20</v>
      </c>
      <c r="AK44" s="7">
        <f>(BL44*1.75)-MOD((BL44*1.75), BK44)</f>
        <v>10</v>
      </c>
      <c r="AL44" s="8">
        <f>AI44/BK44</f>
        <v>3</v>
      </c>
      <c r="AS44" t="s">
        <v>433</v>
      </c>
      <c r="AT44" t="s">
        <v>408</v>
      </c>
      <c r="AU44" t="s">
        <v>360</v>
      </c>
      <c r="AY44" t="s">
        <v>279</v>
      </c>
      <c r="AZ44" s="2">
        <f>(SQRT(J44*AG44)*POWER((MIN(L44,20)+SQRT(MAX(L44-20,0))),0.9)*Data!$B$1)*(1-(Q44-1))</f>
        <v>9.7269122773484167</v>
      </c>
      <c r="BA44" s="2">
        <f>(POWER((J44*J44*AG44), 0.33)*LOG10(O44)*10*Data!$B$1)*Q44</f>
        <v>12.483928865764204</v>
      </c>
      <c r="BB44" s="2"/>
      <c r="BC44" s="2"/>
      <c r="BD44" s="2">
        <f>IFERROR((SQRT($J44*$AH44)*POWER((MIN($L44,20)+SQRT(MAX($L44-20,0))),0.9)*Data!$B$1)*(1 - (Q44-1)),AZ44)</f>
        <v>3.9709953087194521</v>
      </c>
      <c r="BE44" s="2">
        <f>IFERROR(((POWER(($J44*$J44*$AH44), 0.33)*LOG10($AE44)*10*Data!$B$1)*Q44),BA44)</f>
        <v>4.1075124579067142</v>
      </c>
      <c r="BF44" s="2">
        <f t="shared" si="12"/>
        <v>12.903225806451614</v>
      </c>
      <c r="BG44" s="2">
        <f t="shared" si="13"/>
        <v>8.064516129032258</v>
      </c>
      <c r="BH44" s="2">
        <f t="shared" si="14"/>
        <v>0</v>
      </c>
      <c r="BI44" s="2">
        <f t="shared" si="15"/>
        <v>0</v>
      </c>
      <c r="BJ44" s="2">
        <v>2</v>
      </c>
      <c r="BK44" s="2">
        <v>2</v>
      </c>
      <c r="BL44" s="2">
        <f t="shared" si="16"/>
        <v>6</v>
      </c>
      <c r="BM44" s="2">
        <f t="shared" si="17"/>
        <v>1</v>
      </c>
      <c r="BN44" s="2">
        <f>IF(AJ44 &gt; 0, (AJ44)/MAX(BJ44-1, 1), -1)</f>
        <v>20</v>
      </c>
      <c r="BO44" s="2">
        <f t="shared" si="18"/>
        <v>12</v>
      </c>
      <c r="BP44" s="2">
        <f t="shared" si="8"/>
        <v>6</v>
      </c>
      <c r="BQ44" s="2">
        <f t="shared" si="19"/>
        <v>2</v>
      </c>
      <c r="BR44" s="3"/>
      <c r="BS44" s="3"/>
      <c r="BT44" s="3"/>
      <c r="BU44">
        <f t="shared" si="11"/>
        <v>-214</v>
      </c>
      <c r="BV44" s="2" t="str">
        <f>CONCATENATE(
ROUND(BR44*VLOOKUP(I44,'ID Scheme'!$A$2:$E$7,3),0), "x",
ROUND(BS44*VLOOKUP(I44,'ID Scheme'!$A$2:$E$7,5),0), "x",
ROUND(BT44*VLOOKUP(I44,'ID Scheme'!$A$2:$E$7,4),0))</f>
        <v>0x0x0</v>
      </c>
    </row>
    <row r="45" spans="1:75" x14ac:dyDescent="0.25">
      <c r="A45" t="s">
        <v>39</v>
      </c>
      <c r="B45" t="s">
        <v>229</v>
      </c>
      <c r="C45" t="s">
        <v>339</v>
      </c>
      <c r="D45">
        <f>IF(F45 &gt; 2020, ((F45-2020)*4)+1610+H45,IF(F45 &gt; 1900, ((F45-1900)*10)+400+H45, ((F45-1730)*2)+H45))+VLOOKUP(I45,'ID Scheme'!$A$2:$B$7,2, FALSE)</f>
        <v>2935</v>
      </c>
      <c r="F45">
        <v>1897</v>
      </c>
      <c r="G45">
        <v>1</v>
      </c>
      <c r="H45">
        <v>1</v>
      </c>
      <c r="I45" t="s">
        <v>13</v>
      </c>
      <c r="J45">
        <v>18</v>
      </c>
      <c r="K45">
        <v>20</v>
      </c>
      <c r="L45">
        <v>15</v>
      </c>
      <c r="M45">
        <v>5</v>
      </c>
      <c r="N45">
        <v>4</v>
      </c>
      <c r="O45">
        <v>20</v>
      </c>
      <c r="P45">
        <v>20</v>
      </c>
      <c r="Q45">
        <v>1</v>
      </c>
      <c r="R45" t="s">
        <v>298</v>
      </c>
      <c r="S45">
        <v>-3</v>
      </c>
      <c r="T45" s="2" t="s">
        <v>341</v>
      </c>
      <c r="U45" s="2"/>
      <c r="V45" s="2"/>
      <c r="W45" s="2"/>
      <c r="X45" s="2"/>
      <c r="Y45" s="2" t="s">
        <v>343</v>
      </c>
      <c r="Z45" s="2"/>
      <c r="AA45" s="2" t="s">
        <v>343</v>
      </c>
      <c r="AB45" s="2"/>
      <c r="AC45" s="2"/>
      <c r="AD45" s="2"/>
      <c r="AG45">
        <v>14</v>
      </c>
      <c r="AH45">
        <v>4</v>
      </c>
      <c r="AI45" s="7">
        <f>AH45*3</f>
        <v>12</v>
      </c>
      <c r="AJ45" s="7">
        <f>(AG45*1.75)-MOD((AG45*1.75), BJ45)</f>
        <v>24</v>
      </c>
      <c r="AK45" s="7">
        <f>(BL45*1.75)-MOD((BL45*1.75), BK45)</f>
        <v>24</v>
      </c>
      <c r="AL45" s="8">
        <f t="shared" ref="AL45:AL108" si="20">AI45/BK45</f>
        <v>12</v>
      </c>
      <c r="AU45" t="s">
        <v>360</v>
      </c>
      <c r="AZ45" s="2">
        <f>(SQRT(J45*AG45)*POWER((MIN(L45,20)+SQRT(MAX(L45-20,0))),0.9)*Data!$B$1)*(1-(Q45-1))</f>
        <v>13.622087541829282</v>
      </c>
      <c r="BA45" s="2">
        <f>(POWER((J45*J45*AG45), 0.33)*LOG10(O45)*10*Data!$B$1)*Q45</f>
        <v>15.705460613345815</v>
      </c>
      <c r="BB45" s="2"/>
      <c r="BC45" s="2"/>
      <c r="BD45" s="2">
        <f>IFERROR((SQRT($J45*$AH45)*POWER((MIN($L45,20)+SQRT(MAX($L45-20,0))),0.9)*Data!$B$1)*(1 - (Q45-1)),AZ45)</f>
        <v>7.2813120677381153</v>
      </c>
      <c r="BE45" s="2">
        <f>IFERROR(((POWER(($J45*$J45*$AH45), 0.33)*LOG10($AE45)*10*Data!$B$1)*Q45),BA45)</f>
        <v>15.705460613345815</v>
      </c>
      <c r="BF45" s="2">
        <f t="shared" si="12"/>
        <v>14.516129032258064</v>
      </c>
      <c r="BG45" s="2">
        <f t="shared" si="13"/>
        <v>0</v>
      </c>
      <c r="BH45" s="2">
        <f t="shared" si="14"/>
        <v>0</v>
      </c>
      <c r="BI45" s="2">
        <f t="shared" si="15"/>
        <v>0</v>
      </c>
      <c r="BJ45" s="2">
        <v>1</v>
      </c>
      <c r="BK45" s="2">
        <v>1</v>
      </c>
      <c r="BL45" s="2">
        <f t="shared" si="16"/>
        <v>14</v>
      </c>
      <c r="BM45" s="2">
        <f t="shared" si="17"/>
        <v>4</v>
      </c>
      <c r="BN45" s="2">
        <f t="shared" si="6"/>
        <v>24</v>
      </c>
      <c r="BO45" s="2">
        <f t="shared" si="18"/>
        <v>14</v>
      </c>
      <c r="BP45" s="2">
        <f t="shared" si="8"/>
        <v>12</v>
      </c>
      <c r="BQ45" s="2">
        <f t="shared" si="19"/>
        <v>4</v>
      </c>
      <c r="BR45" s="3"/>
      <c r="BS45" s="3"/>
      <c r="BT45" s="3"/>
      <c r="BU45">
        <f t="shared" si="11"/>
        <v>97</v>
      </c>
      <c r="BV45" s="2" t="str">
        <f>CONCATENATE(
ROUND(BR45*VLOOKUP(I45,'ID Scheme'!$A$2:$E$7,3),0), "x",
ROUND(BS45*VLOOKUP(I45,'ID Scheme'!$A$2:$E$7,5),0), "x",
ROUND(BT45*VLOOKUP(I45,'ID Scheme'!$A$2:$E$7,4),0))</f>
        <v>0x0x0</v>
      </c>
    </row>
    <row r="46" spans="1:75" x14ac:dyDescent="0.25">
      <c r="A46" t="s">
        <v>8</v>
      </c>
      <c r="B46" t="s">
        <v>198</v>
      </c>
      <c r="C46" t="s">
        <v>339</v>
      </c>
      <c r="D46">
        <f>IF(F46 &gt; 2020, ((F46-2020)*4)+1610+H46,IF(F46 &gt; 1900, ((F46-1900)*10)+400+H46, ((F46-1730)*2)+H46))+VLOOKUP(I46,'ID Scheme'!$A$2:$B$7,2, FALSE)</f>
        <v>3021</v>
      </c>
      <c r="F46">
        <v>1902</v>
      </c>
      <c r="G46">
        <v>1</v>
      </c>
      <c r="H46">
        <v>1</v>
      </c>
      <c r="I46" t="s">
        <v>13</v>
      </c>
      <c r="J46">
        <v>18</v>
      </c>
      <c r="K46">
        <v>20</v>
      </c>
      <c r="L46">
        <v>15</v>
      </c>
      <c r="M46">
        <v>5</v>
      </c>
      <c r="N46">
        <v>5</v>
      </c>
      <c r="O46">
        <v>35</v>
      </c>
      <c r="P46">
        <v>20</v>
      </c>
      <c r="Q46">
        <v>1</v>
      </c>
      <c r="R46" t="s">
        <v>298</v>
      </c>
      <c r="S46">
        <v>-3</v>
      </c>
      <c r="T46" s="2" t="s">
        <v>344</v>
      </c>
      <c r="U46" s="2"/>
      <c r="V46" s="2"/>
      <c r="W46" s="2"/>
      <c r="X46" s="2"/>
      <c r="Y46" s="2" t="s">
        <v>343</v>
      </c>
      <c r="Z46" s="2"/>
      <c r="AA46" s="2" t="s">
        <v>343</v>
      </c>
      <c r="AB46" s="2"/>
      <c r="AC46" s="2"/>
      <c r="AD46" s="2"/>
      <c r="AG46">
        <v>16</v>
      </c>
      <c r="AH46">
        <v>5</v>
      </c>
      <c r="AI46" s="6">
        <f t="shared" ref="AI46:AI47" si="21">AH46*2</f>
        <v>10</v>
      </c>
      <c r="AJ46" s="6">
        <f t="shared" ref="AJ46:AJ53" si="22">(AG46*1.5)-MOD((AG46*1.5), BJ45)</f>
        <v>24</v>
      </c>
      <c r="AK46" s="6">
        <f>(BL46*1.5)-MOD((BL46*1.5), BK46)</f>
        <v>24</v>
      </c>
      <c r="AL46" s="8">
        <f t="shared" si="20"/>
        <v>10</v>
      </c>
      <c r="AU46" t="s">
        <v>360</v>
      </c>
      <c r="AZ46" s="2">
        <f>(SQRT(J46*AG46)*POWER((MIN(L46,20)+SQRT(MAX(L46-20,0))),0.9)*Data!$B$1)*(1-(Q46-1))</f>
        <v>14.562624135476231</v>
      </c>
      <c r="BA46" s="2">
        <f>(POWER((J46*J46*AG46), 0.33)*LOG10(O46)*10*Data!$B$1)*Q46</f>
        <v>19.479021908256488</v>
      </c>
      <c r="BB46" s="2"/>
      <c r="BC46" s="2"/>
      <c r="BD46" s="2">
        <f>IFERROR((SQRT($J46*$AH46)*POWER((MIN($L46,20)+SQRT(MAX($L46-20,0))),0.9)*Data!$B$1)*(1 - (Q46-1)),AZ46)</f>
        <v>8.14075437442599</v>
      </c>
      <c r="BE46" s="2">
        <f>IFERROR(((POWER(($J46*$J46*$AH46), 0.33)*LOG10($AE46)*10*Data!$B$1)*Q46),BA46)</f>
        <v>19.479021908256488</v>
      </c>
      <c r="BF46" s="2">
        <f t="shared" si="12"/>
        <v>14.516129032258064</v>
      </c>
      <c r="BG46" s="2">
        <f t="shared" si="13"/>
        <v>0</v>
      </c>
      <c r="BH46" s="2">
        <f t="shared" si="14"/>
        <v>0</v>
      </c>
      <c r="BI46" s="2">
        <f t="shared" si="15"/>
        <v>0</v>
      </c>
      <c r="BJ46" s="2">
        <v>1</v>
      </c>
      <c r="BK46" s="2">
        <v>1</v>
      </c>
      <c r="BL46" s="2">
        <f t="shared" si="16"/>
        <v>16</v>
      </c>
      <c r="BM46" s="2">
        <f t="shared" si="17"/>
        <v>5</v>
      </c>
      <c r="BN46" s="2">
        <f t="shared" si="6"/>
        <v>24</v>
      </c>
      <c r="BO46" s="2">
        <f t="shared" si="18"/>
        <v>16</v>
      </c>
      <c r="BP46" s="2">
        <f t="shared" si="8"/>
        <v>10</v>
      </c>
      <c r="BQ46" s="2">
        <f t="shared" si="19"/>
        <v>5</v>
      </c>
      <c r="BR46" s="3"/>
      <c r="BS46" s="3"/>
      <c r="BT46" s="3"/>
      <c r="BU46">
        <f t="shared" si="11"/>
        <v>5</v>
      </c>
      <c r="BV46" s="2" t="str">
        <f>CONCATENATE(
ROUND(BR46*VLOOKUP(I46,'ID Scheme'!$A$2:$E$7,3),0), "x",
ROUND(BS46*VLOOKUP(I46,'ID Scheme'!$A$2:$E$7,5),0), "x",
ROUND(BT46*VLOOKUP(I46,'ID Scheme'!$A$2:$E$7,4),0))</f>
        <v>0x0x0</v>
      </c>
    </row>
    <row r="47" spans="1:75" x14ac:dyDescent="0.25">
      <c r="A47" t="s">
        <v>22</v>
      </c>
      <c r="B47" t="s">
        <v>230</v>
      </c>
      <c r="C47" t="s">
        <v>339</v>
      </c>
      <c r="D47">
        <f>IF(F47 &gt; 2020, ((F47-2020)*4)+1610+H47,IF(F47 &gt; 1900, ((F47-1900)*10)+400+H47, ((F47-1730)*2)+H47))+VLOOKUP(I47,'ID Scheme'!$A$2:$B$7,2, FALSE)</f>
        <v>3071</v>
      </c>
      <c r="F47">
        <v>1907</v>
      </c>
      <c r="G47">
        <v>1</v>
      </c>
      <c r="H47">
        <v>1</v>
      </c>
      <c r="I47" t="s">
        <v>13</v>
      </c>
      <c r="J47">
        <v>20</v>
      </c>
      <c r="K47">
        <v>15</v>
      </c>
      <c r="L47">
        <v>15</v>
      </c>
      <c r="M47">
        <v>5</v>
      </c>
      <c r="N47">
        <v>5.5</v>
      </c>
      <c r="O47">
        <v>35</v>
      </c>
      <c r="P47">
        <v>20</v>
      </c>
      <c r="Q47">
        <v>1</v>
      </c>
      <c r="R47" t="s">
        <v>299</v>
      </c>
      <c r="S47">
        <v>2</v>
      </c>
      <c r="T47" s="2" t="s">
        <v>345</v>
      </c>
      <c r="U47" s="2" t="s">
        <v>343</v>
      </c>
      <c r="V47" s="2"/>
      <c r="W47" s="2"/>
      <c r="X47" s="2"/>
      <c r="Y47" s="2" t="s">
        <v>343</v>
      </c>
      <c r="Z47" s="2"/>
      <c r="AA47" s="2" t="s">
        <v>343</v>
      </c>
      <c r="AB47" s="2"/>
      <c r="AC47" s="2"/>
      <c r="AD47" s="2"/>
      <c r="AG47">
        <v>18</v>
      </c>
      <c r="AH47">
        <v>5</v>
      </c>
      <c r="AI47" s="6">
        <f t="shared" si="21"/>
        <v>10</v>
      </c>
      <c r="AJ47" s="6">
        <f t="shared" si="22"/>
        <v>27</v>
      </c>
      <c r="AK47" s="6">
        <f>(BL47*1.5)-MOD((BL47*1.5), BK47)</f>
        <v>27</v>
      </c>
      <c r="AL47" s="8">
        <f t="shared" si="20"/>
        <v>10</v>
      </c>
      <c r="AU47" t="s">
        <v>360</v>
      </c>
      <c r="AZ47" s="2">
        <f>(SQRT(J47*AG47)*POWER((MIN(L47,20)+SQRT(MAX(L47-20,0))),0.9)*Data!$B$1)*(1-(Q47-1))</f>
        <v>16.28150874885198</v>
      </c>
      <c r="BA47" s="2">
        <f>(POWER((J47*J47*AG47), 0.33)*LOG10(O47)*10*Data!$B$1)*Q47</f>
        <v>21.709380082318344</v>
      </c>
      <c r="BB47" s="2"/>
      <c r="BC47" s="2"/>
      <c r="BD47" s="2">
        <f>IFERROR((SQRT($J47*$AH47)*POWER((MIN($L47,20)+SQRT(MAX($L47-20,0))),0.9)*Data!$B$1)*(1 - (Q47-1)),AZ47)</f>
        <v>8.5811085650551053</v>
      </c>
      <c r="BE47" s="2">
        <f>IFERROR(((POWER(($J47*$J47*$AH47), 0.33)*LOG10($AE47)*10*Data!$B$1)*Q47),BA47)</f>
        <v>21.709380082318344</v>
      </c>
      <c r="BF47" s="2">
        <f t="shared" si="12"/>
        <v>16.129032258064516</v>
      </c>
      <c r="BG47" s="2">
        <f t="shared" si="13"/>
        <v>0</v>
      </c>
      <c r="BH47" s="2">
        <f t="shared" si="14"/>
        <v>0</v>
      </c>
      <c r="BI47" s="2">
        <f t="shared" si="15"/>
        <v>0</v>
      </c>
      <c r="BJ47" s="2">
        <v>1</v>
      </c>
      <c r="BK47" s="2">
        <v>1</v>
      </c>
      <c r="BL47" s="2">
        <f t="shared" si="16"/>
        <v>18</v>
      </c>
      <c r="BM47" s="2">
        <f t="shared" si="17"/>
        <v>5</v>
      </c>
      <c r="BN47" s="2">
        <f t="shared" si="6"/>
        <v>27</v>
      </c>
      <c r="BO47" s="2">
        <f t="shared" si="18"/>
        <v>18</v>
      </c>
      <c r="BP47" s="2">
        <f t="shared" si="8"/>
        <v>10</v>
      </c>
      <c r="BQ47" s="2">
        <f t="shared" si="19"/>
        <v>5</v>
      </c>
      <c r="BR47" s="3"/>
      <c r="BS47" s="3"/>
      <c r="BT47" s="3"/>
      <c r="BU47">
        <f t="shared" si="11"/>
        <v>5</v>
      </c>
      <c r="BV47" s="2" t="str">
        <f>CONCATENATE(
ROUND(BR47*VLOOKUP(I47,'ID Scheme'!$A$2:$E$7,3),0), "x",
ROUND(BS47*VLOOKUP(I47,'ID Scheme'!$A$2:$E$7,5),0), "x",
ROUND(BT47*VLOOKUP(I47,'ID Scheme'!$A$2:$E$7,4),0))</f>
        <v>0x0x0</v>
      </c>
    </row>
    <row r="48" spans="1:75" x14ac:dyDescent="0.25">
      <c r="A48" t="s">
        <v>236</v>
      </c>
      <c r="B48" t="s">
        <v>235</v>
      </c>
      <c r="C48" t="s">
        <v>339</v>
      </c>
      <c r="D48">
        <f>IF(F48 &gt; 2020, ((F48-2020)*4)+1610+H48,IF(F48 &gt; 1900, ((F48-1900)*10)+400+H48, ((F48-1730)*2)+H48))+VLOOKUP(I48,'ID Scheme'!$A$2:$B$7,2, FALSE)</f>
        <v>3131</v>
      </c>
      <c r="F48">
        <v>1913</v>
      </c>
      <c r="G48">
        <v>1</v>
      </c>
      <c r="H48">
        <v>1</v>
      </c>
      <c r="I48" t="s">
        <v>13</v>
      </c>
      <c r="J48">
        <v>22</v>
      </c>
      <c r="K48">
        <v>20</v>
      </c>
      <c r="L48">
        <v>18</v>
      </c>
      <c r="M48">
        <v>5</v>
      </c>
      <c r="N48">
        <v>4.5</v>
      </c>
      <c r="O48">
        <v>30</v>
      </c>
      <c r="P48">
        <v>20</v>
      </c>
      <c r="Q48">
        <v>1</v>
      </c>
      <c r="R48" t="s">
        <v>299</v>
      </c>
      <c r="S48">
        <v>2</v>
      </c>
      <c r="T48" s="2" t="s">
        <v>517</v>
      </c>
      <c r="U48" s="2" t="s">
        <v>343</v>
      </c>
      <c r="V48" s="2" t="s">
        <v>343</v>
      </c>
      <c r="W48" s="2"/>
      <c r="X48" s="2"/>
      <c r="Y48" s="2" t="s">
        <v>343</v>
      </c>
      <c r="Z48" s="2"/>
      <c r="AA48" s="2" t="s">
        <v>343</v>
      </c>
      <c r="AB48" s="2"/>
      <c r="AC48" s="2"/>
      <c r="AD48" s="2"/>
      <c r="AG48">
        <v>18</v>
      </c>
      <c r="AH48">
        <v>5</v>
      </c>
      <c r="AI48">
        <v>12</v>
      </c>
      <c r="AJ48" s="6">
        <f t="shared" si="22"/>
        <v>27</v>
      </c>
      <c r="AK48" s="6">
        <f t="shared" ref="AK48:AK53" si="23">(BL48*1.5)-MOD((BL48*1.5), BK48)</f>
        <v>27</v>
      </c>
      <c r="AL48" s="8">
        <f t="shared" si="20"/>
        <v>12</v>
      </c>
      <c r="AU48" t="s">
        <v>360</v>
      </c>
      <c r="AZ48" s="2">
        <f>(SQRT(J48*AG48)*POWER((MIN(L48,20)+SQRT(MAX(L48-20,0))),0.9)*Data!$B$1)*(1-(Q48-1))</f>
        <v>20.121210798806025</v>
      </c>
      <c r="BA48" s="2">
        <f>(POWER((J48*J48*AG48), 0.33)*LOG10(O48)*10*Data!$B$1)*Q48</f>
        <v>22.116495267895374</v>
      </c>
      <c r="BB48" s="2"/>
      <c r="BC48" s="2"/>
      <c r="BD48" s="2">
        <f>IFERROR((SQRT($J48*$AH48)*POWER((MIN($L48,20)+SQRT(MAX($L48-20,0))),0.9)*Data!$B$1)*(1 - (Q48-1)),AZ48)</f>
        <v>10.604809234100509</v>
      </c>
      <c r="BE48" s="2">
        <f>IFERROR(((POWER(($J48*$J48*$AH48), 0.33)*LOG10($AE48)*10*Data!$B$1)*Q48),BA48)</f>
        <v>22.116495267895374</v>
      </c>
      <c r="BF48" s="2">
        <f t="shared" si="12"/>
        <v>17.741935483870968</v>
      </c>
      <c r="BG48" s="2">
        <f t="shared" si="13"/>
        <v>0</v>
      </c>
      <c r="BH48" s="2">
        <f t="shared" si="14"/>
        <v>0</v>
      </c>
      <c r="BI48" s="2">
        <f t="shared" si="15"/>
        <v>0</v>
      </c>
      <c r="BJ48" s="2">
        <v>1</v>
      </c>
      <c r="BK48" s="2">
        <v>1</v>
      </c>
      <c r="BL48" s="2">
        <f t="shared" si="16"/>
        <v>18</v>
      </c>
      <c r="BM48" s="2">
        <f t="shared" si="17"/>
        <v>5</v>
      </c>
      <c r="BN48" s="2">
        <f t="shared" si="6"/>
        <v>27</v>
      </c>
      <c r="BO48" s="2">
        <f t="shared" si="18"/>
        <v>18</v>
      </c>
      <c r="BP48" s="2">
        <f t="shared" si="8"/>
        <v>12</v>
      </c>
      <c r="BQ48" s="2">
        <f t="shared" si="19"/>
        <v>5</v>
      </c>
      <c r="BR48" s="3"/>
      <c r="BS48" s="3"/>
      <c r="BT48" s="3"/>
      <c r="BU48">
        <f t="shared" si="11"/>
        <v>6</v>
      </c>
      <c r="BV48" s="2" t="str">
        <f>CONCATENATE(
ROUND(BR48*VLOOKUP(I48,'ID Scheme'!$A$2:$E$7,3),0), "x",
ROUND(BS48*VLOOKUP(I48,'ID Scheme'!$A$2:$E$7,5),0), "x",
ROUND(BT48*VLOOKUP(I48,'ID Scheme'!$A$2:$E$7,4),0))</f>
        <v>0x0x0</v>
      </c>
    </row>
    <row r="49" spans="1:75" x14ac:dyDescent="0.25">
      <c r="A49" t="s">
        <v>70</v>
      </c>
      <c r="B49" t="s">
        <v>231</v>
      </c>
      <c r="C49" t="s">
        <v>369</v>
      </c>
      <c r="D49">
        <f>IF(F49 &gt; 2020, ((F49-2020)*4)+1610+H49,IF(F49 &gt; 1900, ((F49-1900)*10)+400+H49, ((F49-1730)*2)+H49))+VLOOKUP(I49,'ID Scheme'!$A$2:$B$7,2, FALSE)</f>
        <v>3201</v>
      </c>
      <c r="F49">
        <v>1920</v>
      </c>
      <c r="G49">
        <v>4</v>
      </c>
      <c r="H49">
        <v>1</v>
      </c>
      <c r="I49" t="s">
        <v>13</v>
      </c>
      <c r="J49">
        <v>18</v>
      </c>
      <c r="K49">
        <v>20</v>
      </c>
      <c r="L49">
        <v>18</v>
      </c>
      <c r="M49">
        <v>5</v>
      </c>
      <c r="N49">
        <v>5</v>
      </c>
      <c r="O49">
        <v>80</v>
      </c>
      <c r="P49">
        <v>20</v>
      </c>
      <c r="Q49">
        <v>1</v>
      </c>
      <c r="R49" t="s">
        <v>299</v>
      </c>
      <c r="S49">
        <v>-4</v>
      </c>
      <c r="T49" s="2" t="s">
        <v>518</v>
      </c>
      <c r="U49" s="2"/>
      <c r="V49" s="2"/>
      <c r="W49" s="2"/>
      <c r="X49" s="2"/>
      <c r="Y49" s="2" t="s">
        <v>343</v>
      </c>
      <c r="Z49" s="2"/>
      <c r="AA49" s="2"/>
      <c r="AB49" s="2"/>
      <c r="AC49" s="2" t="s">
        <v>371</v>
      </c>
      <c r="AD49" s="2"/>
      <c r="AG49">
        <v>28</v>
      </c>
      <c r="AH49">
        <v>8</v>
      </c>
      <c r="AI49" s="6">
        <f t="shared" ref="AI49:AI53" si="24">AH49*2</f>
        <v>16</v>
      </c>
      <c r="AJ49" s="6">
        <f t="shared" si="22"/>
        <v>42</v>
      </c>
      <c r="AK49" s="6">
        <f t="shared" si="23"/>
        <v>20</v>
      </c>
      <c r="AL49" s="8">
        <f t="shared" si="20"/>
        <v>8</v>
      </c>
      <c r="AP49" t="s">
        <v>429</v>
      </c>
      <c r="AS49" t="s">
        <v>433</v>
      </c>
      <c r="AT49" t="s">
        <v>424</v>
      </c>
      <c r="AU49" t="s">
        <v>360</v>
      </c>
      <c r="AZ49" s="2">
        <f>(SQRT(J49*AG49)*POWER((MIN(L49,20)+SQRT(MAX(L49-20,0))),0.9)*Data!$B$1)*(1-(Q49-1))</f>
        <v>22.69978721594271</v>
      </c>
      <c r="BA49" s="2">
        <f>(POWER((J49*J49*AG49), 0.33)*LOG10(O49)*10*Data!$B$1)*Q49</f>
        <v>28.877699401096308</v>
      </c>
      <c r="BB49" s="2"/>
      <c r="BC49" s="2"/>
      <c r="BD49" s="2">
        <f>IFERROR((SQRT($J49*$AH49)*POWER((MIN($L49,20)+SQRT(MAX($L49-20,0))),0.9)*Data!$B$1)*(1 - (Q49-1)),AZ49)</f>
        <v>12.133546644961246</v>
      </c>
      <c r="BE49" s="2">
        <f>IFERROR(((POWER(($J49*$J49*$AH49), 0.33)*LOG10($AE49)*10*Data!$B$1)*Q49),BA49)</f>
        <v>28.877699401096308</v>
      </c>
      <c r="BF49" s="2">
        <f t="shared" si="12"/>
        <v>14.516129032258064</v>
      </c>
      <c r="BG49" s="2">
        <f t="shared" si="13"/>
        <v>0</v>
      </c>
      <c r="BH49" s="2">
        <f t="shared" si="14"/>
        <v>0</v>
      </c>
      <c r="BI49" s="2">
        <f t="shared" si="15"/>
        <v>0</v>
      </c>
      <c r="BJ49" s="2">
        <v>2</v>
      </c>
      <c r="BK49" s="2">
        <v>2</v>
      </c>
      <c r="BL49" s="2">
        <f t="shared" si="16"/>
        <v>14</v>
      </c>
      <c r="BM49" s="2">
        <f t="shared" si="17"/>
        <v>4</v>
      </c>
      <c r="BN49" s="2">
        <f t="shared" si="6"/>
        <v>42</v>
      </c>
      <c r="BO49" s="2">
        <f t="shared" si="18"/>
        <v>28</v>
      </c>
      <c r="BP49" s="2">
        <f t="shared" si="8"/>
        <v>16</v>
      </c>
      <c r="BQ49" s="2">
        <f t="shared" si="19"/>
        <v>8</v>
      </c>
      <c r="BR49" s="3">
        <v>3.4</v>
      </c>
      <c r="BS49" s="3">
        <v>2</v>
      </c>
      <c r="BT49" s="3">
        <v>2.5</v>
      </c>
      <c r="BU49">
        <f t="shared" si="11"/>
        <v>7</v>
      </c>
      <c r="BV49" s="2" t="str">
        <f>CONCATENATE(
ROUND(BR49*VLOOKUP(I49,'ID Scheme'!$A$2:$E$7,3),0), "x",
ROUND(BS49*VLOOKUP(I49,'ID Scheme'!$A$2:$E$7,5),0), "x",
ROUND(BT49*VLOOKUP(I49,'ID Scheme'!$A$2:$E$7,4),0))</f>
        <v>32x29x24</v>
      </c>
    </row>
    <row r="50" spans="1:75" x14ac:dyDescent="0.25">
      <c r="A50" t="s">
        <v>60</v>
      </c>
      <c r="B50" t="s">
        <v>220</v>
      </c>
      <c r="C50" t="s">
        <v>339</v>
      </c>
      <c r="D50">
        <f>IF(F50 &gt; 2020, ((F50-2020)*4)+1610+H50,IF(F50 &gt; 1900, ((F50-1900)*10)+400+H50, ((F50-1730)*2)+H50))+VLOOKUP(I50,'ID Scheme'!$A$2:$B$7,2, FALSE)</f>
        <v>3281</v>
      </c>
      <c r="F50">
        <v>1928</v>
      </c>
      <c r="G50">
        <v>1</v>
      </c>
      <c r="H50">
        <v>1</v>
      </c>
      <c r="I50" t="s">
        <v>13</v>
      </c>
      <c r="J50">
        <v>37</v>
      </c>
      <c r="K50">
        <v>20</v>
      </c>
      <c r="L50">
        <v>16</v>
      </c>
      <c r="M50">
        <v>5</v>
      </c>
      <c r="N50">
        <v>6</v>
      </c>
      <c r="O50">
        <v>100</v>
      </c>
      <c r="P50">
        <v>20</v>
      </c>
      <c r="Q50">
        <v>1.05</v>
      </c>
      <c r="R50" t="s">
        <v>298</v>
      </c>
      <c r="S50">
        <v>-3</v>
      </c>
      <c r="T50" s="2" t="s">
        <v>346</v>
      </c>
      <c r="U50" s="2" t="s">
        <v>343</v>
      </c>
      <c r="V50" s="2"/>
      <c r="W50" s="2"/>
      <c r="X50" s="2"/>
      <c r="Y50" s="2" t="s">
        <v>343</v>
      </c>
      <c r="Z50" s="2"/>
      <c r="AA50" s="2"/>
      <c r="AB50" s="2"/>
      <c r="AC50" s="2"/>
      <c r="AD50" s="2"/>
      <c r="AG50">
        <v>15</v>
      </c>
      <c r="AH50">
        <v>6</v>
      </c>
      <c r="AI50" s="6">
        <f t="shared" si="24"/>
        <v>12</v>
      </c>
      <c r="AJ50" s="6">
        <f t="shared" si="22"/>
        <v>22</v>
      </c>
      <c r="AK50" s="6">
        <f t="shared" si="23"/>
        <v>22</v>
      </c>
      <c r="AL50" s="8">
        <f t="shared" si="20"/>
        <v>12</v>
      </c>
      <c r="AU50" t="s">
        <v>360</v>
      </c>
      <c r="AZ50" s="2">
        <f>(SQRT(J50*AG50)*POWER((MIN(L50,20)+SQRT(MAX(L50-20,0))),0.9)*Data!$B$1)*(1-(Q50-1))</f>
        <v>20.353511393559973</v>
      </c>
      <c r="BA50" s="2">
        <f>(POWER((J50*J50*AG50), 0.33)*LOG10(O50)*10*Data!$B$1)*Q50</f>
        <v>41.725717318942067</v>
      </c>
      <c r="BB50" s="2"/>
      <c r="BC50" s="2"/>
      <c r="BD50" s="2">
        <f>IFERROR((SQRT($J50*$AH50)*POWER((MIN($L50,20)+SQRT(MAX($L50-20,0))),0.9)*Data!$B$1)*(1 - (Q50-1)),AZ50)</f>
        <v>12.872690877167454</v>
      </c>
      <c r="BE50" s="2">
        <f>IFERROR(((POWER(($J50*$J50*$AH50), 0.33)*LOG10($AE50)*10*Data!$B$1)*Q50),BA50)</f>
        <v>41.725717318942067</v>
      </c>
      <c r="BF50" s="2">
        <f t="shared" si="12"/>
        <v>29.838709677419356</v>
      </c>
      <c r="BG50" s="2">
        <f t="shared" si="13"/>
        <v>0</v>
      </c>
      <c r="BH50" s="2">
        <f t="shared" si="14"/>
        <v>0</v>
      </c>
      <c r="BI50" s="2">
        <f t="shared" si="15"/>
        <v>0</v>
      </c>
      <c r="BJ50" s="2">
        <v>1</v>
      </c>
      <c r="BK50" s="2">
        <v>1</v>
      </c>
      <c r="BL50" s="2">
        <f t="shared" si="16"/>
        <v>15</v>
      </c>
      <c r="BM50" s="2">
        <f t="shared" si="17"/>
        <v>6</v>
      </c>
      <c r="BN50" s="2">
        <f t="shared" si="6"/>
        <v>22</v>
      </c>
      <c r="BO50" s="2">
        <f t="shared" si="18"/>
        <v>15</v>
      </c>
      <c r="BP50" s="2">
        <f t="shared" si="8"/>
        <v>12</v>
      </c>
      <c r="BQ50" s="2">
        <f t="shared" si="19"/>
        <v>6</v>
      </c>
      <c r="BR50" s="3"/>
      <c r="BS50" s="3"/>
      <c r="BT50" s="3"/>
      <c r="BU50">
        <f t="shared" si="11"/>
        <v>8</v>
      </c>
      <c r="BV50" s="2" t="str">
        <f>CONCATENATE(
ROUND(BR50*VLOOKUP(I50,'ID Scheme'!$A$2:$E$7,3),0), "x",
ROUND(BS50*VLOOKUP(I50,'ID Scheme'!$A$2:$E$7,5),0), "x",
ROUND(BT50*VLOOKUP(I50,'ID Scheme'!$A$2:$E$7,4),0))</f>
        <v>0x0x0</v>
      </c>
    </row>
    <row r="51" spans="1:75" x14ac:dyDescent="0.25">
      <c r="A51" t="s">
        <v>532</v>
      </c>
      <c r="B51" t="s">
        <v>533</v>
      </c>
      <c r="C51" t="s">
        <v>369</v>
      </c>
      <c r="D51">
        <f>IF(F51 &gt; 2020, ((F51-2020)*4)+1610+H51,IF(F51 &gt; 1900, ((F51-1900)*10)+400+H51, ((F51-1730)*2)+H51))+VLOOKUP(I51,'ID Scheme'!$A$2:$B$7,2, FALSE)</f>
        <v>3321</v>
      </c>
      <c r="F51">
        <v>1932</v>
      </c>
      <c r="G51">
        <v>6</v>
      </c>
      <c r="H51">
        <v>1</v>
      </c>
      <c r="I51" t="s">
        <v>13</v>
      </c>
      <c r="J51">
        <v>32</v>
      </c>
      <c r="K51">
        <v>20</v>
      </c>
      <c r="L51">
        <v>15</v>
      </c>
      <c r="M51">
        <v>5</v>
      </c>
      <c r="N51">
        <v>4.5</v>
      </c>
      <c r="O51">
        <v>65</v>
      </c>
      <c r="P51">
        <v>20</v>
      </c>
      <c r="Q51">
        <v>1</v>
      </c>
      <c r="R51" t="s">
        <v>299</v>
      </c>
      <c r="S51">
        <v>-4</v>
      </c>
      <c r="T51" s="2" t="s">
        <v>534</v>
      </c>
      <c r="U51" s="2"/>
      <c r="V51" s="2"/>
      <c r="W51" s="2"/>
      <c r="X51" s="2"/>
      <c r="Y51" s="2" t="s">
        <v>343</v>
      </c>
      <c r="Z51" s="2"/>
      <c r="AA51" s="2"/>
      <c r="AB51" s="2"/>
      <c r="AC51" s="2" t="s">
        <v>371</v>
      </c>
      <c r="AD51" s="2"/>
      <c r="AG51">
        <v>30</v>
      </c>
      <c r="AH51">
        <v>12</v>
      </c>
      <c r="AI51" s="6">
        <f t="shared" si="24"/>
        <v>24</v>
      </c>
      <c r="AJ51" s="6">
        <f t="shared" si="22"/>
        <v>45</v>
      </c>
      <c r="AK51" s="6">
        <f t="shared" si="23"/>
        <v>22</v>
      </c>
      <c r="AL51" s="8">
        <f t="shared" si="20"/>
        <v>12</v>
      </c>
      <c r="AP51" t="s">
        <v>429</v>
      </c>
      <c r="AS51" t="s">
        <v>433</v>
      </c>
      <c r="AT51" t="s">
        <v>424</v>
      </c>
      <c r="AU51" t="s">
        <v>360</v>
      </c>
      <c r="AZ51" s="2">
        <f>(SQRT(J51*AG51)*POWER((MIN(L51,20)+SQRT(MAX(L51-20,0))),0.9)*Data!$B$1)*(1-(Q51-1))</f>
        <v>26.587592451565005</v>
      </c>
      <c r="BA51" s="2">
        <f>(POWER((J51*J51*AG51), 0.33)*LOG10(O51)*10*Data!$B$1)*Q51</f>
        <v>41.142181123813366</v>
      </c>
      <c r="BB51" s="2"/>
      <c r="BC51" s="2"/>
      <c r="BD51" s="2">
        <f>IFERROR((SQRT($J51*$AH51)*POWER((MIN($L51,20)+SQRT(MAX($L51-20,0))),0.9)*Data!$B$1)*(1 - (Q51-1)),AZ51)</f>
        <v>16.815469929449083</v>
      </c>
      <c r="BE51" s="2">
        <f>IFERROR(((POWER(($J51*$J51*$AH51), 0.33)*LOG10($AE51)*10*Data!$B$1)*Q51),BA51)</f>
        <v>41.142181123813366</v>
      </c>
      <c r="BF51" s="2">
        <f t="shared" si="12"/>
        <v>25.806451612903228</v>
      </c>
      <c r="BG51" s="2">
        <f t="shared" si="13"/>
        <v>0</v>
      </c>
      <c r="BH51" s="2">
        <f t="shared" si="14"/>
        <v>0</v>
      </c>
      <c r="BI51" s="2">
        <f t="shared" si="15"/>
        <v>0</v>
      </c>
      <c r="BJ51" s="2">
        <v>2</v>
      </c>
      <c r="BK51" s="2">
        <v>2</v>
      </c>
      <c r="BL51" s="2">
        <f t="shared" si="16"/>
        <v>15</v>
      </c>
      <c r="BM51" s="2">
        <f t="shared" si="17"/>
        <v>6</v>
      </c>
      <c r="BN51" s="2">
        <f t="shared" si="6"/>
        <v>45</v>
      </c>
      <c r="BO51" s="2">
        <f t="shared" si="18"/>
        <v>30</v>
      </c>
      <c r="BP51" s="2">
        <f t="shared" si="8"/>
        <v>24</v>
      </c>
      <c r="BQ51" s="2">
        <f t="shared" si="19"/>
        <v>12</v>
      </c>
      <c r="BR51" s="3">
        <v>3.4</v>
      </c>
      <c r="BS51" s="3">
        <v>2</v>
      </c>
      <c r="BT51" s="3">
        <v>2.5</v>
      </c>
      <c r="BU51">
        <f t="shared" si="11"/>
        <v>4</v>
      </c>
      <c r="BV51" s="2" t="str">
        <f>CONCATENATE(
ROUND(BR51*VLOOKUP(I51,'ID Scheme'!$A$2:$E$7,3),0), "x",
ROUND(BS51*VLOOKUP(I51,'ID Scheme'!$A$2:$E$7,5),0), "x",
ROUND(BT51*VLOOKUP(I51,'ID Scheme'!$A$2:$E$7,4),0))</f>
        <v>32x29x24</v>
      </c>
    </row>
    <row r="52" spans="1:75" x14ac:dyDescent="0.25">
      <c r="A52" t="s">
        <v>61</v>
      </c>
      <c r="B52" t="s">
        <v>191</v>
      </c>
      <c r="C52" t="s">
        <v>339</v>
      </c>
      <c r="D52">
        <f>IF(F52 &gt; 2020, ((F52-2020)*4)+1610+H52,IF(F52 &gt; 1900, ((F52-1900)*10)+400+H52, ((F52-1730)*2)+H52))+VLOOKUP(I52,'ID Scheme'!$A$2:$B$7,2, FALSE)</f>
        <v>3351</v>
      </c>
      <c r="F52">
        <v>1935</v>
      </c>
      <c r="G52">
        <v>1</v>
      </c>
      <c r="H52">
        <v>1</v>
      </c>
      <c r="I52" t="s">
        <v>13</v>
      </c>
      <c r="J52">
        <v>29</v>
      </c>
      <c r="K52">
        <v>25</v>
      </c>
      <c r="L52">
        <v>15</v>
      </c>
      <c r="M52">
        <v>5</v>
      </c>
      <c r="N52">
        <v>7</v>
      </c>
      <c r="O52">
        <v>110</v>
      </c>
      <c r="P52">
        <v>20</v>
      </c>
      <c r="Q52">
        <v>1</v>
      </c>
      <c r="R52" t="s">
        <v>299</v>
      </c>
      <c r="S52">
        <v>3</v>
      </c>
      <c r="T52" s="2" t="s">
        <v>347</v>
      </c>
      <c r="U52" s="2" t="s">
        <v>343</v>
      </c>
      <c r="V52" s="2"/>
      <c r="W52" s="2"/>
      <c r="X52" s="2" t="s">
        <v>343</v>
      </c>
      <c r="Y52" s="2"/>
      <c r="Z52" s="2"/>
      <c r="AA52" s="2"/>
      <c r="AB52" s="2"/>
      <c r="AC52" s="2"/>
      <c r="AD52" s="2"/>
      <c r="AG52">
        <v>24</v>
      </c>
      <c r="AH52">
        <v>15</v>
      </c>
      <c r="AI52" s="6">
        <f t="shared" si="24"/>
        <v>30</v>
      </c>
      <c r="AJ52" s="6">
        <f t="shared" si="22"/>
        <v>36</v>
      </c>
      <c r="AK52" s="6">
        <f t="shared" si="23"/>
        <v>36</v>
      </c>
      <c r="AL52" s="8">
        <f t="shared" si="20"/>
        <v>30</v>
      </c>
      <c r="AU52" t="s">
        <v>360</v>
      </c>
      <c r="AZ52" s="2">
        <f>(SQRT(J52*AG52)*POWER((MIN(L52,20)+SQRT(MAX(L52-20,0))),0.9)*Data!$B$1)*(1-(Q52-1))</f>
        <v>22.638519219874436</v>
      </c>
      <c r="BA52" s="2">
        <f>(POWER((J52*J52*AG52), 0.33)*LOG10(O52)*10*Data!$B$1)*Q52</f>
        <v>40.331112889521961</v>
      </c>
      <c r="BB52" s="2"/>
      <c r="BC52" s="2"/>
      <c r="BD52" s="2">
        <f>IFERROR((SQRT($J52*$AH52)*POWER((MIN($L52,20)+SQRT(MAX($L52-20,0))),0.9)*Data!$B$1)*(1 - (Q52-1)),AZ52)</f>
        <v>17.897320897075353</v>
      </c>
      <c r="BE52" s="2">
        <f>IFERROR(((POWER(($J52*$J52*$AH52), 0.33)*LOG10($AE52)*10*Data!$B$1)*Q52),BA52)</f>
        <v>40.331112889521961</v>
      </c>
      <c r="BF52" s="2">
        <f t="shared" si="12"/>
        <v>23.387096774193548</v>
      </c>
      <c r="BG52" s="2">
        <f t="shared" si="13"/>
        <v>0</v>
      </c>
      <c r="BH52" s="2">
        <f t="shared" si="14"/>
        <v>0</v>
      </c>
      <c r="BI52" s="2">
        <f t="shared" si="15"/>
        <v>0</v>
      </c>
      <c r="BJ52" s="2">
        <v>1</v>
      </c>
      <c r="BK52" s="2">
        <v>1</v>
      </c>
      <c r="BL52" s="2">
        <f t="shared" si="16"/>
        <v>24</v>
      </c>
      <c r="BM52" s="2">
        <f t="shared" si="17"/>
        <v>15</v>
      </c>
      <c r="BN52" s="2">
        <f t="shared" si="6"/>
        <v>36</v>
      </c>
      <c r="BO52" s="2">
        <f t="shared" si="18"/>
        <v>24</v>
      </c>
      <c r="BP52" s="2">
        <f t="shared" si="8"/>
        <v>30</v>
      </c>
      <c r="BQ52" s="2">
        <f t="shared" si="19"/>
        <v>15</v>
      </c>
      <c r="BR52" s="3"/>
      <c r="BS52" s="3"/>
      <c r="BT52" s="3"/>
      <c r="BU52">
        <f t="shared" si="11"/>
        <v>3</v>
      </c>
      <c r="BV52" s="2" t="str">
        <f>CONCATENATE(
ROUND(BR52*VLOOKUP(I52,'ID Scheme'!$A$2:$E$7,3),0), "x",
ROUND(BS52*VLOOKUP(I52,'ID Scheme'!$A$2:$E$7,5),0), "x",
ROUND(BT52*VLOOKUP(I52,'ID Scheme'!$A$2:$E$7,4),0))</f>
        <v>0x0x0</v>
      </c>
    </row>
    <row r="53" spans="1:75" x14ac:dyDescent="0.25">
      <c r="A53" t="s">
        <v>0</v>
      </c>
      <c r="B53" t="s">
        <v>208</v>
      </c>
      <c r="C53" t="s">
        <v>339</v>
      </c>
      <c r="D53">
        <f>IF(F53 &gt; 2020, ((F53-2020)*4)+1610+H53,IF(F53 &gt; 1900, ((F53-1900)*10)+400+H53, ((F53-1730)*2)+H53))+VLOOKUP(I53,'ID Scheme'!$A$2:$B$7,2, FALSE)</f>
        <v>3361</v>
      </c>
      <c r="F53">
        <v>1936</v>
      </c>
      <c r="G53">
        <v>1</v>
      </c>
      <c r="H53">
        <v>1</v>
      </c>
      <c r="I53" t="s">
        <v>13</v>
      </c>
      <c r="J53">
        <v>37</v>
      </c>
      <c r="K53">
        <v>20</v>
      </c>
      <c r="L53">
        <v>15</v>
      </c>
      <c r="M53">
        <v>5</v>
      </c>
      <c r="N53">
        <v>5.5</v>
      </c>
      <c r="O53">
        <v>70</v>
      </c>
      <c r="P53">
        <v>20</v>
      </c>
      <c r="Q53">
        <v>1</v>
      </c>
      <c r="R53" t="s">
        <v>299</v>
      </c>
      <c r="S53">
        <v>2</v>
      </c>
      <c r="T53" s="2" t="s">
        <v>348</v>
      </c>
      <c r="U53" s="2" t="s">
        <v>343</v>
      </c>
      <c r="V53" s="2"/>
      <c r="W53" s="2"/>
      <c r="X53" s="2"/>
      <c r="Y53" s="2" t="s">
        <v>343</v>
      </c>
      <c r="Z53" s="2"/>
      <c r="AA53" s="2" t="s">
        <v>343</v>
      </c>
      <c r="AB53" s="2"/>
      <c r="AC53" s="2"/>
      <c r="AD53" s="2"/>
      <c r="AG53">
        <v>20</v>
      </c>
      <c r="AH53">
        <v>12</v>
      </c>
      <c r="AI53" s="6">
        <f t="shared" si="24"/>
        <v>24</v>
      </c>
      <c r="AJ53" s="6">
        <f t="shared" si="22"/>
        <v>30</v>
      </c>
      <c r="AK53" s="6">
        <f t="shared" si="23"/>
        <v>30</v>
      </c>
      <c r="AL53" s="8">
        <f t="shared" si="20"/>
        <v>24</v>
      </c>
      <c r="AU53" t="s">
        <v>360</v>
      </c>
      <c r="AZ53" s="2">
        <f>(SQRT(J53*AG53)*POWER((MIN(L53,20)+SQRT(MAX(L53-20,0))),0.9)*Data!$B$1)*(1-(Q53-1))</f>
        <v>23.343139015970831</v>
      </c>
      <c r="BA53" s="2">
        <f>(POWER((J53*J53*AG53), 0.33)*LOG10(O53)*10*Data!$B$1)*Q53</f>
        <v>40.311944493951287</v>
      </c>
      <c r="BB53" s="2"/>
      <c r="BC53" s="2"/>
      <c r="BD53" s="2">
        <f>IFERROR((SQRT($J53*$AH53)*POWER((MIN($L53,20)+SQRT(MAX($L53-20,0))),0.9)*Data!$B$1)*(1 - (Q53-1)),AZ53)</f>
        <v>18.081517731411921</v>
      </c>
      <c r="BE53" s="2">
        <f>IFERROR(((POWER(($J53*$J53*$AH53), 0.33)*LOG10($AE53)*10*Data!$B$1)*Q53),BA53)</f>
        <v>40.311944493951287</v>
      </c>
      <c r="BF53" s="2">
        <f t="shared" si="12"/>
        <v>29.838709677419356</v>
      </c>
      <c r="BG53" s="2">
        <f t="shared" si="13"/>
        <v>0</v>
      </c>
      <c r="BH53" s="2">
        <f t="shared" si="14"/>
        <v>0</v>
      </c>
      <c r="BI53" s="2">
        <f t="shared" si="15"/>
        <v>0</v>
      </c>
      <c r="BJ53" s="2">
        <v>1</v>
      </c>
      <c r="BK53" s="2">
        <v>1</v>
      </c>
      <c r="BL53" s="2">
        <f t="shared" si="16"/>
        <v>20</v>
      </c>
      <c r="BM53" s="2">
        <f t="shared" si="17"/>
        <v>12</v>
      </c>
      <c r="BN53" s="2">
        <f t="shared" si="6"/>
        <v>30</v>
      </c>
      <c r="BO53" s="2">
        <f t="shared" si="18"/>
        <v>20</v>
      </c>
      <c r="BP53" s="2">
        <f t="shared" si="8"/>
        <v>24</v>
      </c>
      <c r="BQ53" s="2">
        <f t="shared" si="19"/>
        <v>12</v>
      </c>
      <c r="BR53" s="3"/>
      <c r="BS53" s="3"/>
      <c r="BT53" s="3"/>
      <c r="BU53">
        <f t="shared" si="11"/>
        <v>1</v>
      </c>
      <c r="BV53" s="2" t="str">
        <f>CONCATENATE(
ROUND(BR53*VLOOKUP(I53,'ID Scheme'!$A$2:$E$7,3),0), "x",
ROUND(BS53*VLOOKUP(I53,'ID Scheme'!$A$2:$E$7,5),0), "x",
ROUND(BT53*VLOOKUP(I53,'ID Scheme'!$A$2:$E$7,4),0))</f>
        <v>0x0x0</v>
      </c>
    </row>
    <row r="54" spans="1:75" x14ac:dyDescent="0.25">
      <c r="A54" t="s">
        <v>72</v>
      </c>
      <c r="B54" t="s">
        <v>219</v>
      </c>
      <c r="C54" t="s">
        <v>477</v>
      </c>
      <c r="D54">
        <f>IF(F54 &gt; 2020, ((F54-2020)*4)+1610+H54,IF(F54 &gt; 1900, ((F54-1900)*10)+400+H54, ((F54-1730)*2)+H54))+VLOOKUP(I54,'ID Scheme'!$A$2:$B$7,2, FALSE)</f>
        <v>3481</v>
      </c>
      <c r="F54">
        <v>1948</v>
      </c>
      <c r="G54">
        <v>1</v>
      </c>
      <c r="H54">
        <v>1</v>
      </c>
      <c r="I54" t="s">
        <v>13</v>
      </c>
      <c r="J54">
        <v>43</v>
      </c>
      <c r="K54">
        <v>20</v>
      </c>
      <c r="L54">
        <v>25</v>
      </c>
      <c r="M54">
        <v>5</v>
      </c>
      <c r="N54">
        <v>1.5</v>
      </c>
      <c r="O54">
        <v>35</v>
      </c>
      <c r="P54">
        <v>20</v>
      </c>
      <c r="Q54">
        <v>1</v>
      </c>
      <c r="R54" t="s">
        <v>299</v>
      </c>
      <c r="S54">
        <v>-4</v>
      </c>
      <c r="T54" s="2" t="s">
        <v>476</v>
      </c>
      <c r="U54" s="2"/>
      <c r="V54" s="2"/>
      <c r="W54" s="2"/>
      <c r="X54" s="2"/>
      <c r="Y54" s="2"/>
      <c r="Z54" s="2"/>
      <c r="AA54" s="2"/>
      <c r="AB54" s="2"/>
      <c r="AC54" t="s">
        <v>481</v>
      </c>
      <c r="AD54" s="2"/>
      <c r="AG54">
        <v>10</v>
      </c>
      <c r="AH54">
        <v>4</v>
      </c>
      <c r="AI54">
        <v>10</v>
      </c>
      <c r="AJ54">
        <v>24</v>
      </c>
      <c r="AK54">
        <v>12</v>
      </c>
      <c r="AL54" s="8">
        <f t="shared" si="20"/>
        <v>5</v>
      </c>
      <c r="AP54">
        <v>1</v>
      </c>
      <c r="AS54" t="s">
        <v>433</v>
      </c>
      <c r="AT54" t="s">
        <v>478</v>
      </c>
      <c r="AU54" t="s">
        <v>360</v>
      </c>
      <c r="AZ54" s="2">
        <f>(SQRT(J54*AG54)*POWER((MIN(L54,20)+SQRT(MAX(L54-20,0))),0.9)*Data!$B$1)*(1-(Q54-1))</f>
        <v>25.359908655720094</v>
      </c>
      <c r="BA54" s="2">
        <f>(POWER((J54*J54*AG54), 0.33)*LOG10(O54)*10*Data!$B$1)*Q54</f>
        <v>29.635815274828715</v>
      </c>
      <c r="BB54" s="2"/>
      <c r="BC54" s="2"/>
      <c r="BD54" s="2">
        <f>IFERROR((SQRT($J54*$AH54)*POWER((MIN($L54,20)+SQRT(MAX($L54-20,0))),0.9)*Data!$B$1)*(1 - (Q54-1)),AZ54)</f>
        <v>16.039014521178874</v>
      </c>
      <c r="BE54" s="2">
        <f>IFERROR(((POWER(($J54*$J54*$AH54), 0.33)*LOG10($AE54)*10*Data!$B$1)*Q54),BA54)</f>
        <v>29.635815274828715</v>
      </c>
      <c r="BF54" s="2">
        <f t="shared" si="12"/>
        <v>34.677419354838712</v>
      </c>
      <c r="BG54" s="2">
        <f t="shared" si="13"/>
        <v>0</v>
      </c>
      <c r="BH54" s="2">
        <f t="shared" si="14"/>
        <v>0</v>
      </c>
      <c r="BI54" s="2">
        <f t="shared" si="15"/>
        <v>0</v>
      </c>
      <c r="BJ54" s="2">
        <v>2</v>
      </c>
      <c r="BK54" s="2">
        <v>2</v>
      </c>
      <c r="BL54" s="2">
        <f t="shared" si="16"/>
        <v>5</v>
      </c>
      <c r="BM54" s="2">
        <f t="shared" si="17"/>
        <v>2</v>
      </c>
      <c r="BN54" s="2">
        <f t="shared" si="6"/>
        <v>24</v>
      </c>
      <c r="BO54" s="2">
        <f t="shared" si="18"/>
        <v>10</v>
      </c>
      <c r="BP54" s="2">
        <f t="shared" si="8"/>
        <v>10</v>
      </c>
      <c r="BQ54" s="2">
        <f t="shared" si="19"/>
        <v>4</v>
      </c>
      <c r="BT54" s="3"/>
      <c r="BU54">
        <f>F54-F52</f>
        <v>13</v>
      </c>
      <c r="BV54" s="2" t="str">
        <f>CONCATENATE(
ROUND(BR54*VLOOKUP(I54,'ID Scheme'!$A$2:$E$7,3),0), "x",
ROUND(BS54*VLOOKUP(I54,'ID Scheme'!$A$2:$E$7,5),0), "x",
ROUND(BT54*VLOOKUP(I54,'ID Scheme'!$A$2:$E$7,4),0))</f>
        <v>0x0x0</v>
      </c>
    </row>
    <row r="55" spans="1:75" x14ac:dyDescent="0.25">
      <c r="A55" t="s">
        <v>1</v>
      </c>
      <c r="B55" t="s">
        <v>210</v>
      </c>
      <c r="C55" t="s">
        <v>339</v>
      </c>
      <c r="D55">
        <f>IF(F55 &gt; 2020, ((F55-2020)*4)+1610+H55,IF(F55 &gt; 1900, ((F55-1900)*10)+400+H55, ((F55-1730)*2)+H55))+VLOOKUP(I55,'ID Scheme'!$A$2:$B$7,2, FALSE)</f>
        <v>3521</v>
      </c>
      <c r="F55">
        <v>1952</v>
      </c>
      <c r="G55">
        <v>1</v>
      </c>
      <c r="H55">
        <v>1</v>
      </c>
      <c r="I55" t="s">
        <v>13</v>
      </c>
      <c r="J55">
        <v>38</v>
      </c>
      <c r="K55">
        <v>25</v>
      </c>
      <c r="L55">
        <v>15</v>
      </c>
      <c r="M55">
        <v>5</v>
      </c>
      <c r="N55">
        <v>7.5</v>
      </c>
      <c r="O55">
        <v>100</v>
      </c>
      <c r="P55">
        <v>20</v>
      </c>
      <c r="Q55">
        <v>1</v>
      </c>
      <c r="R55" t="s">
        <v>299</v>
      </c>
      <c r="S55">
        <v>3</v>
      </c>
      <c r="T55" s="2" t="s">
        <v>349</v>
      </c>
      <c r="U55" s="2" t="s">
        <v>343</v>
      </c>
      <c r="V55" s="2"/>
      <c r="W55" s="2"/>
      <c r="X55" s="2" t="s">
        <v>343</v>
      </c>
      <c r="Y55" s="2"/>
      <c r="Z55" s="2"/>
      <c r="AA55" s="2"/>
      <c r="AB55" s="2"/>
      <c r="AC55" s="2"/>
      <c r="AD55" s="2"/>
      <c r="AG55">
        <v>25</v>
      </c>
      <c r="AH55">
        <v>18</v>
      </c>
      <c r="AI55" s="6">
        <f t="shared" ref="AI55:AI80" si="25">AH55*2</f>
        <v>36</v>
      </c>
      <c r="AJ55" s="6">
        <f>(AG55*1.5)-MOD((AG55*1.5), BJ54)</f>
        <v>36</v>
      </c>
      <c r="AK55" s="6">
        <f>(BL55*1.5)-MOD((BL55*1.5), BK55)</f>
        <v>37</v>
      </c>
      <c r="AL55" s="8">
        <f t="shared" si="20"/>
        <v>36</v>
      </c>
      <c r="AU55" t="s">
        <v>360</v>
      </c>
      <c r="AZ55" s="2">
        <f>(SQRT(J55*AG55)*POWER((MIN(L55,20)+SQRT(MAX(L55-20,0))),0.9)*Data!$B$1)*(1-(Q55-1))</f>
        <v>26.448752899711359</v>
      </c>
      <c r="BA55" s="2">
        <f>(POWER((J55*J55*AG55), 0.33)*LOG10(O55)*10*Data!$B$1)*Q55</f>
        <v>47.870574076263431</v>
      </c>
      <c r="BB55" s="2"/>
      <c r="BC55" s="2"/>
      <c r="BD55" s="2">
        <f>IFERROR((SQRT($J55*$AH55)*POWER((MIN($L55,20)+SQRT(MAX($L55-20,0))),0.9)*Data!$B$1)*(1 - (Q55-1)),AZ55)</f>
        <v>22.442511035175919</v>
      </c>
      <c r="BE55" s="2">
        <f>IFERROR(((POWER(($J55*$J55*$AH55), 0.33)*LOG10($AE55)*10*Data!$B$1)*Q55),BA55)</f>
        <v>47.870574076263431</v>
      </c>
      <c r="BF55" s="2">
        <f t="shared" si="12"/>
        <v>30.64516129032258</v>
      </c>
      <c r="BG55" s="2">
        <f t="shared" si="13"/>
        <v>0</v>
      </c>
      <c r="BH55" s="2">
        <f t="shared" si="14"/>
        <v>0</v>
      </c>
      <c r="BI55" s="2">
        <f t="shared" si="15"/>
        <v>0</v>
      </c>
      <c r="BJ55" s="2">
        <v>1</v>
      </c>
      <c r="BK55" s="2">
        <v>1</v>
      </c>
      <c r="BL55" s="2">
        <f t="shared" si="16"/>
        <v>25</v>
      </c>
      <c r="BM55" s="2">
        <f t="shared" si="17"/>
        <v>18</v>
      </c>
      <c r="BN55" s="2">
        <f t="shared" si="6"/>
        <v>36</v>
      </c>
      <c r="BO55" s="2">
        <f t="shared" si="18"/>
        <v>25</v>
      </c>
      <c r="BP55" s="2">
        <f t="shared" si="8"/>
        <v>36</v>
      </c>
      <c r="BQ55" s="2">
        <f t="shared" si="19"/>
        <v>18</v>
      </c>
      <c r="BR55" s="3"/>
      <c r="BS55" s="3"/>
      <c r="BT55" s="3"/>
      <c r="BU55">
        <f>F55-F54</f>
        <v>4</v>
      </c>
      <c r="BV55" s="2" t="str">
        <f>CONCATENATE(
ROUND(BR55*VLOOKUP(I55,'ID Scheme'!$A$2:$E$7,3),0), "x",
ROUND(BS55*VLOOKUP(I55,'ID Scheme'!$A$2:$E$7,5),0), "x",
ROUND(BT55*VLOOKUP(I55,'ID Scheme'!$A$2:$E$7,4),0))</f>
        <v>0x0x0</v>
      </c>
    </row>
    <row r="56" spans="1:75" x14ac:dyDescent="0.25">
      <c r="A56" t="s">
        <v>4</v>
      </c>
      <c r="B56" t="s">
        <v>200</v>
      </c>
      <c r="C56" t="s">
        <v>339</v>
      </c>
      <c r="D56">
        <f>IF(F56 &gt; 2020, ((F56-2020)*4)+1610+H56,IF(F56 &gt; 1900, ((F56-1900)*10)+400+H56, ((F56-1730)*2)+H56))+VLOOKUP(I56,'ID Scheme'!$A$2:$B$7,2, FALSE)</f>
        <v>3571</v>
      </c>
      <c r="F56">
        <v>1957</v>
      </c>
      <c r="G56">
        <v>1</v>
      </c>
      <c r="H56">
        <v>1</v>
      </c>
      <c r="I56" t="s">
        <v>13</v>
      </c>
      <c r="J56">
        <v>44</v>
      </c>
      <c r="K56">
        <v>20</v>
      </c>
      <c r="L56">
        <v>15</v>
      </c>
      <c r="M56">
        <v>5</v>
      </c>
      <c r="N56">
        <v>6.5</v>
      </c>
      <c r="O56">
        <v>110</v>
      </c>
      <c r="P56">
        <v>20</v>
      </c>
      <c r="Q56">
        <v>1</v>
      </c>
      <c r="R56" t="s">
        <v>299</v>
      </c>
      <c r="S56">
        <v>2</v>
      </c>
      <c r="T56" s="2" t="s">
        <v>350</v>
      </c>
      <c r="U56" s="2" t="s">
        <v>343</v>
      </c>
      <c r="V56" s="2" t="s">
        <v>343</v>
      </c>
      <c r="W56" s="2"/>
      <c r="X56" s="2" t="s">
        <v>343</v>
      </c>
      <c r="Y56" s="2"/>
      <c r="Z56" s="2"/>
      <c r="AA56" s="2"/>
      <c r="AB56" s="2"/>
      <c r="AC56" s="2"/>
      <c r="AD56" s="2"/>
      <c r="AG56">
        <v>21</v>
      </c>
      <c r="AH56">
        <v>16</v>
      </c>
      <c r="AI56" s="6">
        <f t="shared" si="25"/>
        <v>32</v>
      </c>
      <c r="AJ56" s="6">
        <f>(AG56*1.5)-MOD((AG56*1.5), BJ55)</f>
        <v>31</v>
      </c>
      <c r="AK56" s="6">
        <f>(BL56*1.5)-MOD((BL56*1.5), BK56)</f>
        <v>31</v>
      </c>
      <c r="AL56" s="8">
        <f t="shared" si="20"/>
        <v>32</v>
      </c>
      <c r="AU56" t="s">
        <v>360</v>
      </c>
      <c r="AZ56" s="2">
        <f>(SQRT(J56*AG56)*POWER((MIN(L56,20)+SQRT(MAX(L56-20,0))),0.9)*Data!$B$1)*(1-(Q56-1))</f>
        <v>26.084311753554509</v>
      </c>
      <c r="BA56" s="2">
        <f>(POWER((J56*J56*AG56), 0.33)*LOG10(O56)*10*Data!$B$1)*Q56</f>
        <v>50.815821559497905</v>
      </c>
      <c r="BB56" s="2"/>
      <c r="BC56" s="2"/>
      <c r="BD56" s="2">
        <f>IFERROR((SQRT($J56*$AH56)*POWER((MIN($L56,20)+SQRT(MAX($L56-20,0))),0.9)*Data!$B$1)*(1 - (Q56-1)),AZ56)</f>
        <v>22.768253916474254</v>
      </c>
      <c r="BE56" s="2">
        <f>IFERROR(((POWER(($J56*$J56*$AH56), 0.33)*LOG10($AE56)*10*Data!$B$1)*Q56),BA56)</f>
        <v>50.815821559497905</v>
      </c>
      <c r="BF56" s="2">
        <f t="shared" si="12"/>
        <v>35.483870967741936</v>
      </c>
      <c r="BG56" s="2">
        <f t="shared" si="13"/>
        <v>0</v>
      </c>
      <c r="BH56" s="2">
        <f t="shared" si="14"/>
        <v>0</v>
      </c>
      <c r="BI56" s="2">
        <f t="shared" si="15"/>
        <v>0</v>
      </c>
      <c r="BJ56" s="2">
        <v>1</v>
      </c>
      <c r="BK56" s="2">
        <v>1</v>
      </c>
      <c r="BL56" s="2">
        <f t="shared" si="16"/>
        <v>21</v>
      </c>
      <c r="BM56" s="2">
        <f t="shared" si="17"/>
        <v>16</v>
      </c>
      <c r="BN56" s="2">
        <f t="shared" si="6"/>
        <v>31</v>
      </c>
      <c r="BO56" s="2">
        <f t="shared" si="18"/>
        <v>21</v>
      </c>
      <c r="BP56" s="2">
        <f t="shared" si="8"/>
        <v>32</v>
      </c>
      <c r="BQ56" s="2">
        <f t="shared" si="19"/>
        <v>16</v>
      </c>
      <c r="BR56" s="3"/>
      <c r="BS56" s="3"/>
      <c r="BT56" s="3"/>
      <c r="BU56">
        <f>F56-F55</f>
        <v>5</v>
      </c>
      <c r="BV56" s="2" t="str">
        <f>CONCATENATE(
ROUND(BR56*VLOOKUP(I56,'ID Scheme'!$A$2:$E$7,3),0), "x",
ROUND(BS56*VLOOKUP(I56,'ID Scheme'!$A$2:$E$7,5),0), "x",
ROUND(BT56*VLOOKUP(I56,'ID Scheme'!$A$2:$E$7,4),0))</f>
        <v>0x0x0</v>
      </c>
    </row>
    <row r="57" spans="1:75" x14ac:dyDescent="0.25">
      <c r="A57" t="s">
        <v>74</v>
      </c>
      <c r="B57" t="s">
        <v>193</v>
      </c>
      <c r="C57" t="s">
        <v>339</v>
      </c>
      <c r="D57">
        <f>IF(F57 &gt; 2020, ((F57-2020)*4)+1610+H57,IF(F57 &gt; 1900, ((F57-1900)*10)+400+H57, ((F57-1730)*2)+H57))+VLOOKUP(I57,'ID Scheme'!$A$2:$B$7,2, FALSE)</f>
        <v>3591</v>
      </c>
      <c r="F57">
        <v>1959</v>
      </c>
      <c r="G57">
        <v>1</v>
      </c>
      <c r="H57">
        <v>1</v>
      </c>
      <c r="I57" t="s">
        <v>13</v>
      </c>
      <c r="J57">
        <v>58</v>
      </c>
      <c r="K57">
        <v>30</v>
      </c>
      <c r="L57">
        <v>20</v>
      </c>
      <c r="M57">
        <v>5</v>
      </c>
      <c r="N57">
        <v>3</v>
      </c>
      <c r="O57">
        <v>72</v>
      </c>
      <c r="P57">
        <v>20</v>
      </c>
      <c r="Q57">
        <v>1</v>
      </c>
      <c r="R57" t="s">
        <v>299</v>
      </c>
      <c r="S57">
        <v>0</v>
      </c>
      <c r="T57" s="2" t="s">
        <v>351</v>
      </c>
      <c r="U57" s="2" t="s">
        <v>343</v>
      </c>
      <c r="V57" s="2" t="s">
        <v>343</v>
      </c>
      <c r="W57" s="2"/>
      <c r="X57" s="2" t="s">
        <v>343</v>
      </c>
      <c r="Y57" s="2"/>
      <c r="Z57" s="2"/>
      <c r="AA57" s="2"/>
      <c r="AB57" s="2"/>
      <c r="AC57" s="2"/>
      <c r="AD57" s="2"/>
      <c r="AG57">
        <v>16</v>
      </c>
      <c r="AH57">
        <v>4</v>
      </c>
      <c r="AI57" s="7">
        <f>AH57*4</f>
        <v>16</v>
      </c>
      <c r="AJ57" s="7">
        <f>(AG57*1.75)-MOD((AG57*1.75), BJ57)</f>
        <v>28</v>
      </c>
      <c r="AK57" s="7">
        <f>(BL57*1.75)-MOD((BL57*1.75), BK57)</f>
        <v>28</v>
      </c>
      <c r="AL57" s="8">
        <f t="shared" si="20"/>
        <v>16</v>
      </c>
      <c r="AU57" t="s">
        <v>360</v>
      </c>
      <c r="AZ57" s="2">
        <f>(SQRT(J57*AG57)*POWER((MIN(L57,20)+SQRT(MAX(L57-20,0))),0.9)*Data!$B$1)*(1-(Q57-1))</f>
        <v>33.865870832027731</v>
      </c>
      <c r="BA57" s="2">
        <f>(POWER((J57*J57*AG57), 0.33)*LOG10(O57)*10*Data!$B$1)*Q57</f>
        <v>50.719269605559212</v>
      </c>
      <c r="BB57" s="2"/>
      <c r="BC57" s="2"/>
      <c r="BD57" s="2">
        <f>IFERROR((SQRT($J57*$AH57)*POWER((MIN($L57,20)+SQRT(MAX($L57-20,0))),0.9)*Data!$B$1)*(1 - (Q57-1)),AZ57)</f>
        <v>16.932935416013866</v>
      </c>
      <c r="BE57" s="2">
        <f>IFERROR(((POWER(($J57*$J57*$AH57), 0.33)*LOG10($AE57)*10*Data!$B$1)*Q57),BA57)</f>
        <v>50.719269605559212</v>
      </c>
      <c r="BF57" s="2">
        <f t="shared" si="12"/>
        <v>46.774193548387096</v>
      </c>
      <c r="BG57" s="2">
        <f t="shared" si="13"/>
        <v>0</v>
      </c>
      <c r="BH57" s="2">
        <f t="shared" si="14"/>
        <v>0</v>
      </c>
      <c r="BI57" s="2">
        <f t="shared" si="15"/>
        <v>0</v>
      </c>
      <c r="BJ57" s="2">
        <v>1</v>
      </c>
      <c r="BK57" s="2">
        <v>1</v>
      </c>
      <c r="BL57" s="2">
        <f t="shared" si="16"/>
        <v>16</v>
      </c>
      <c r="BM57" s="2">
        <f t="shared" si="17"/>
        <v>4</v>
      </c>
      <c r="BN57" s="2">
        <f t="shared" si="6"/>
        <v>28</v>
      </c>
      <c r="BO57" s="2">
        <f t="shared" si="18"/>
        <v>16</v>
      </c>
      <c r="BP57" s="2">
        <f t="shared" si="8"/>
        <v>16</v>
      </c>
      <c r="BQ57" s="2">
        <f t="shared" si="19"/>
        <v>4</v>
      </c>
      <c r="BR57" s="3">
        <v>6.2</v>
      </c>
      <c r="BS57" s="3">
        <v>2.2000000000000002</v>
      </c>
      <c r="BT57" s="3">
        <v>2.6</v>
      </c>
      <c r="BU57">
        <f>F57-F56</f>
        <v>2</v>
      </c>
      <c r="BV57" s="2" t="str">
        <f>CONCATENATE(
ROUND(BR57*VLOOKUP(I57,'ID Scheme'!$A$2:$E$7,3),0), "x",
ROUND(BS57*VLOOKUP(I57,'ID Scheme'!$A$2:$E$7,5),0), "x",
ROUND(BT57*VLOOKUP(I57,'ID Scheme'!$A$2:$E$7,4),0))</f>
        <v>58x32x25</v>
      </c>
      <c r="BW57" t="s">
        <v>81</v>
      </c>
    </row>
    <row r="58" spans="1:75" x14ac:dyDescent="0.25">
      <c r="A58" t="s">
        <v>535</v>
      </c>
      <c r="B58" t="s">
        <v>536</v>
      </c>
      <c r="C58" t="s">
        <v>537</v>
      </c>
      <c r="D58">
        <f>IF(F58 &gt; 2020, ((F58-2020)*4)+1610+H58,IF(F58 &gt; 1900, ((F58-1900)*10)+400+H58, ((F58-1730)*2)+H58))+VLOOKUP(I58,'ID Scheme'!$A$2:$B$7,2, FALSE)</f>
        <v>3581</v>
      </c>
      <c r="F58">
        <v>1958</v>
      </c>
      <c r="G58">
        <v>2</v>
      </c>
      <c r="H58">
        <v>1</v>
      </c>
      <c r="I58" t="s">
        <v>13</v>
      </c>
      <c r="J58">
        <v>52</v>
      </c>
      <c r="K58">
        <v>10</v>
      </c>
      <c r="L58">
        <v>15</v>
      </c>
      <c r="M58">
        <v>5</v>
      </c>
      <c r="N58">
        <v>8</v>
      </c>
      <c r="O58">
        <v>200</v>
      </c>
      <c r="P58">
        <v>20</v>
      </c>
      <c r="Q58">
        <v>1</v>
      </c>
      <c r="R58" t="s">
        <v>299</v>
      </c>
      <c r="S58">
        <v>3</v>
      </c>
      <c r="T58" s="2" t="s">
        <v>538</v>
      </c>
      <c r="U58" s="2"/>
      <c r="V58" s="2"/>
      <c r="W58" s="2"/>
      <c r="X58" s="2"/>
      <c r="Y58" s="2"/>
      <c r="Z58" s="2"/>
      <c r="AA58" s="2"/>
      <c r="AB58" s="2"/>
      <c r="AC58" s="2"/>
      <c r="AD58" s="2"/>
      <c r="AG58">
        <v>22</v>
      </c>
      <c r="AH58">
        <v>18</v>
      </c>
      <c r="AI58" s="6">
        <f t="shared" si="25"/>
        <v>36</v>
      </c>
      <c r="AJ58" s="6">
        <f>(AG58*1.5)-MOD((AG58*1.5), BJ57)</f>
        <v>33</v>
      </c>
      <c r="AK58" s="6">
        <f t="shared" ref="AK58:AK62" si="26">(BL58*1.5)-MOD((BL58*1.5), BK58)</f>
        <v>33</v>
      </c>
      <c r="AL58" s="8">
        <f t="shared" si="20"/>
        <v>36</v>
      </c>
      <c r="AU58" t="s">
        <v>360</v>
      </c>
      <c r="AZ58" s="2">
        <f>(SQRT(J58*AG58)*POWER((MIN(L58,20)+SQRT(MAX(L58-20,0))),0.9)*Data!$B$1)*(1-(Q58-1))</f>
        <v>29.023942752634394</v>
      </c>
      <c r="BA58" s="2">
        <f>(POWER((J58*J58*AG58), 0.33)*LOG10(O58)*10*Data!$B$1)*Q58</f>
        <v>64.944927291155707</v>
      </c>
      <c r="BB58" s="2"/>
      <c r="BC58" s="2"/>
      <c r="BD58" s="2">
        <f>IFERROR((SQRT($J58*$AH58)*POWER((MIN($L58,20)+SQRT(MAX($L58-20,0))),0.9)*Data!$B$1)*(1 - (Q58-1)),AZ58)</f>
        <v>26.253144012884501</v>
      </c>
      <c r="BE58" s="2">
        <f>IFERROR(((POWER(($J58*$J58*$AH58), 0.33)*LOG10($AE58)*10*Data!$B$1)*Q58),BA58)</f>
        <v>64.944927291155707</v>
      </c>
      <c r="BF58" s="2">
        <f t="shared" si="12"/>
        <v>41.935483870967744</v>
      </c>
      <c r="BG58" s="2">
        <f t="shared" si="13"/>
        <v>0</v>
      </c>
      <c r="BH58" s="2">
        <f t="shared" si="14"/>
        <v>0</v>
      </c>
      <c r="BI58" s="2">
        <f t="shared" si="15"/>
        <v>0</v>
      </c>
      <c r="BJ58" s="2">
        <v>1</v>
      </c>
      <c r="BK58" s="2">
        <v>1</v>
      </c>
      <c r="BL58" s="2">
        <f t="shared" si="16"/>
        <v>22</v>
      </c>
      <c r="BM58" s="2">
        <f t="shared" si="17"/>
        <v>18</v>
      </c>
      <c r="BN58" s="2">
        <f t="shared" si="6"/>
        <v>33</v>
      </c>
      <c r="BO58" s="2">
        <f t="shared" si="18"/>
        <v>22</v>
      </c>
      <c r="BP58" s="2">
        <f t="shared" si="8"/>
        <v>36</v>
      </c>
      <c r="BQ58" s="2">
        <f t="shared" si="19"/>
        <v>18</v>
      </c>
      <c r="BR58" s="3"/>
      <c r="BS58" s="3"/>
      <c r="BT58" s="3"/>
      <c r="BU58">
        <f>F58-F56</f>
        <v>1</v>
      </c>
      <c r="BV58" s="2" t="str">
        <f>CONCATENATE(
ROUND(BR58*VLOOKUP(I58,'ID Scheme'!$A$2:$E$7,3),0), "x",
ROUND(BS58*VLOOKUP(I58,'ID Scheme'!$A$2:$E$7,5),0), "x",
ROUND(BT58*VLOOKUP(I58,'ID Scheme'!$A$2:$E$7,4),0))</f>
        <v>0x0x0</v>
      </c>
    </row>
    <row r="59" spans="1:75" x14ac:dyDescent="0.25">
      <c r="A59" t="s">
        <v>3</v>
      </c>
      <c r="B59" t="s">
        <v>201</v>
      </c>
      <c r="C59" t="s">
        <v>339</v>
      </c>
      <c r="D59">
        <f>IF(F59 &gt; 2020, ((F59-2020)*4)+1610+H59,IF(F59 &gt; 1900, ((F59-1900)*10)+400+H59, ((F59-1730)*2)+H59))+VLOOKUP(I59,'ID Scheme'!$A$2:$B$7,2, FALSE)</f>
        <v>3631</v>
      </c>
      <c r="F59">
        <v>1963</v>
      </c>
      <c r="G59">
        <v>1</v>
      </c>
      <c r="H59">
        <v>1</v>
      </c>
      <c r="I59" t="s">
        <v>13</v>
      </c>
      <c r="J59">
        <v>48</v>
      </c>
      <c r="K59">
        <v>20</v>
      </c>
      <c r="L59">
        <v>16</v>
      </c>
      <c r="M59">
        <v>5</v>
      </c>
      <c r="N59">
        <v>7</v>
      </c>
      <c r="O59">
        <v>120</v>
      </c>
      <c r="P59">
        <v>20</v>
      </c>
      <c r="Q59">
        <v>1</v>
      </c>
      <c r="R59" t="s">
        <v>299</v>
      </c>
      <c r="S59">
        <v>3</v>
      </c>
      <c r="T59" s="2" t="s">
        <v>352</v>
      </c>
      <c r="U59" s="2" t="s">
        <v>343</v>
      </c>
      <c r="V59" s="2" t="s">
        <v>343</v>
      </c>
      <c r="W59" s="2"/>
      <c r="X59" s="2" t="s">
        <v>343</v>
      </c>
      <c r="Y59" s="2"/>
      <c r="Z59" s="2"/>
      <c r="AA59" s="2"/>
      <c r="AB59" s="2"/>
      <c r="AC59" s="2"/>
      <c r="AD59" s="2"/>
      <c r="AG59">
        <v>24</v>
      </c>
      <c r="AH59">
        <v>18</v>
      </c>
      <c r="AI59" s="6">
        <f t="shared" si="25"/>
        <v>36</v>
      </c>
      <c r="AJ59" s="6">
        <f>(AG59*1.5)-MOD((AG59*1.5), BJ58)</f>
        <v>36</v>
      </c>
      <c r="AK59" s="6">
        <f t="shared" si="26"/>
        <v>36</v>
      </c>
      <c r="AL59" s="8">
        <f t="shared" si="20"/>
        <v>36</v>
      </c>
      <c r="AU59" t="s">
        <v>360</v>
      </c>
      <c r="AZ59" s="2">
        <f>(SQRT(J59*AG59)*POWER((MIN(L59,20)+SQRT(MAX(L59-20,0))),0.9)*Data!$B$1)*(1-(Q59-1))</f>
        <v>30.867075721045236</v>
      </c>
      <c r="BA59" s="2">
        <f>(POWER((J59*J59*AG59), 0.33)*LOG10(O59)*10*Data!$B$1)*Q59</f>
        <v>57.285213898505866</v>
      </c>
      <c r="BB59" s="2"/>
      <c r="BC59" s="2"/>
      <c r="BD59" s="2">
        <f>IFERROR((SQRT($J59*$AH59)*POWER((MIN($L59,20)+SQRT(MAX($L59-20,0))),0.9)*Data!$B$1)*(1 - (Q59-1)),AZ59)</f>
        <v>26.731671714963046</v>
      </c>
      <c r="BE59" s="2">
        <f>IFERROR(((POWER(($J59*$J59*$AH59), 0.33)*LOG10($AE59)*10*Data!$B$1)*Q59),BA59)</f>
        <v>57.285213898505866</v>
      </c>
      <c r="BF59" s="2">
        <f t="shared" si="12"/>
        <v>38.70967741935484</v>
      </c>
      <c r="BG59" s="2">
        <f t="shared" si="13"/>
        <v>0</v>
      </c>
      <c r="BH59" s="2">
        <f t="shared" si="14"/>
        <v>0</v>
      </c>
      <c r="BI59" s="2">
        <f t="shared" si="15"/>
        <v>0</v>
      </c>
      <c r="BJ59" s="2">
        <v>1</v>
      </c>
      <c r="BK59" s="2">
        <v>1</v>
      </c>
      <c r="BL59" s="2">
        <f t="shared" si="16"/>
        <v>24</v>
      </c>
      <c r="BM59" s="2">
        <f t="shared" si="17"/>
        <v>18</v>
      </c>
      <c r="BN59" s="2">
        <f t="shared" si="6"/>
        <v>36</v>
      </c>
      <c r="BO59" s="2">
        <f t="shared" si="18"/>
        <v>24</v>
      </c>
      <c r="BP59" s="2">
        <f t="shared" si="8"/>
        <v>36</v>
      </c>
      <c r="BQ59" s="2">
        <f t="shared" si="19"/>
        <v>18</v>
      </c>
      <c r="BR59" s="3"/>
      <c r="BS59" s="3"/>
      <c r="BT59" s="3"/>
      <c r="BU59">
        <f>F59-F57</f>
        <v>4</v>
      </c>
      <c r="BV59" s="2" t="str">
        <f>CONCATENATE(
ROUND(BR59*VLOOKUP(I59,'ID Scheme'!$A$2:$E$7,3),0), "x",
ROUND(BS59*VLOOKUP(I59,'ID Scheme'!$A$2:$E$7,5),0), "x",
ROUND(BT59*VLOOKUP(I59,'ID Scheme'!$A$2:$E$7,4),0))</f>
        <v>0x0x0</v>
      </c>
    </row>
    <row r="60" spans="1:75" x14ac:dyDescent="0.25">
      <c r="A60" t="s">
        <v>19</v>
      </c>
      <c r="B60" t="s">
        <v>227</v>
      </c>
      <c r="C60" t="s">
        <v>369</v>
      </c>
      <c r="D60">
        <f>IF(F60 &gt; 2020, ((F60-2020)*4)+1610+H60,IF(F60 &gt; 1900, ((F60-1900)*10)+400+H60, ((F60-1730)*2)+H60))+VLOOKUP(I60,'ID Scheme'!$A$2:$B$7,2, FALSE)</f>
        <v>3641</v>
      </c>
      <c r="F60">
        <v>1964</v>
      </c>
      <c r="G60">
        <v>9</v>
      </c>
      <c r="H60">
        <v>1</v>
      </c>
      <c r="I60" t="s">
        <v>13</v>
      </c>
      <c r="J60">
        <v>57</v>
      </c>
      <c r="K60">
        <v>20</v>
      </c>
      <c r="L60">
        <v>15</v>
      </c>
      <c r="M60">
        <v>5</v>
      </c>
      <c r="N60">
        <v>9.5</v>
      </c>
      <c r="O60">
        <v>192</v>
      </c>
      <c r="P60">
        <v>20</v>
      </c>
      <c r="Q60">
        <v>1</v>
      </c>
      <c r="R60" t="s">
        <v>299</v>
      </c>
      <c r="S60">
        <v>-4</v>
      </c>
      <c r="T60" s="2" t="s">
        <v>354</v>
      </c>
      <c r="U60" s="2"/>
      <c r="V60" s="2" t="s">
        <v>343</v>
      </c>
      <c r="W60" s="2"/>
      <c r="X60" s="2" t="s">
        <v>343</v>
      </c>
      <c r="Y60" s="2"/>
      <c r="Z60" s="2"/>
      <c r="AA60" s="2"/>
      <c r="AB60" s="2"/>
      <c r="AC60" s="2" t="s">
        <v>373</v>
      </c>
      <c r="AD60" s="2"/>
      <c r="AG60">
        <v>36</v>
      </c>
      <c r="AH60">
        <v>30</v>
      </c>
      <c r="AI60" s="6">
        <f t="shared" si="25"/>
        <v>60</v>
      </c>
      <c r="AJ60" s="6">
        <f>(AG60*1.5)-MOD((AG60*1.5), BJ59)</f>
        <v>54</v>
      </c>
      <c r="AK60" s="6">
        <f t="shared" si="26"/>
        <v>18</v>
      </c>
      <c r="AL60" s="8">
        <f t="shared" si="20"/>
        <v>20</v>
      </c>
      <c r="AM60">
        <v>56</v>
      </c>
      <c r="AP60">
        <v>1</v>
      </c>
      <c r="AS60" t="s">
        <v>441</v>
      </c>
      <c r="AT60" t="s">
        <v>539</v>
      </c>
      <c r="AU60" t="s">
        <v>360</v>
      </c>
      <c r="AZ60" s="2">
        <f>(SQRT(J60*AG60)*POWER((MIN(L60,20)+SQRT(MAX(L60-20,0))),0.9)*Data!$B$1)*(1-(Q60-1))</f>
        <v>38.871569362349888</v>
      </c>
      <c r="BA60" s="2">
        <f>(POWER((J60*J60*AG60), 0.33)*LOG10(O60)*10*Data!$B$1)*Q60</f>
        <v>80.552997117621018</v>
      </c>
      <c r="BB60" s="2"/>
      <c r="BC60" s="2"/>
      <c r="BD60" s="2">
        <f>IFERROR((SQRT($J60*$AH60)*POWER((MIN($L60,20)+SQRT(MAX($L60-20,0))),0.9)*Data!$B$1)*(1 - (Q60-1)),AZ60)</f>
        <v>35.484725642309563</v>
      </c>
      <c r="BE60" s="2">
        <f>IFERROR(((POWER(($J60*$J60*$AH60), 0.33)*LOG10($AE60)*10*Data!$B$1)*Q60),BA60)</f>
        <v>80.552997117621018</v>
      </c>
      <c r="BF60" s="2">
        <f t="shared" si="12"/>
        <v>45.967741935483872</v>
      </c>
      <c r="BG60" s="2">
        <f t="shared" si="13"/>
        <v>0</v>
      </c>
      <c r="BH60" s="2">
        <f t="shared" si="14"/>
        <v>45.161290322580648</v>
      </c>
      <c r="BI60" s="2">
        <f t="shared" si="15"/>
        <v>0</v>
      </c>
      <c r="BJ60" s="2">
        <v>2</v>
      </c>
      <c r="BK60" s="2">
        <v>3</v>
      </c>
      <c r="BL60" s="2">
        <f t="shared" si="16"/>
        <v>12</v>
      </c>
      <c r="BM60" s="2">
        <f t="shared" si="17"/>
        <v>10</v>
      </c>
      <c r="BN60" s="2">
        <f t="shared" si="6"/>
        <v>54</v>
      </c>
      <c r="BO60" s="2">
        <f t="shared" si="18"/>
        <v>36</v>
      </c>
      <c r="BP60" s="2">
        <f t="shared" si="8"/>
        <v>60</v>
      </c>
      <c r="BQ60" s="2">
        <f t="shared" si="19"/>
        <v>30</v>
      </c>
      <c r="BR60" s="3"/>
      <c r="BS60" s="3"/>
      <c r="BT60" s="3"/>
      <c r="BU60">
        <f t="shared" ref="BU60:BU91" si="27">F60-F59</f>
        <v>1</v>
      </c>
      <c r="BV60" s="2" t="str">
        <f>CONCATENATE(
ROUND(BR60*VLOOKUP(I60,'ID Scheme'!$A$2:$E$7,3),0), "x",
ROUND(BS60*VLOOKUP(I60,'ID Scheme'!$A$2:$E$7,5),0), "x",
ROUND(BT60*VLOOKUP(I60,'ID Scheme'!$A$2:$E$7,4),0))</f>
        <v>0x0x0</v>
      </c>
    </row>
    <row r="61" spans="1:75" x14ac:dyDescent="0.25">
      <c r="A61" t="s">
        <v>20</v>
      </c>
      <c r="B61" t="s">
        <v>228</v>
      </c>
      <c r="C61" t="s">
        <v>339</v>
      </c>
      <c r="D61">
        <f>IF(F61 &gt; 2020, ((F61-2020)*4)+1610+H61,IF(F61 &gt; 1900, ((F61-1900)*10)+400+H61, ((F61-1730)*2)+H61))+VLOOKUP(I61,'ID Scheme'!$A$2:$B$7,2, FALSE)</f>
        <v>3642</v>
      </c>
      <c r="F61">
        <v>1964</v>
      </c>
      <c r="G61">
        <v>1</v>
      </c>
      <c r="H61">
        <v>2</v>
      </c>
      <c r="I61" t="s">
        <v>13</v>
      </c>
      <c r="J61">
        <v>54</v>
      </c>
      <c r="K61">
        <v>20</v>
      </c>
      <c r="L61">
        <v>15</v>
      </c>
      <c r="M61">
        <v>5</v>
      </c>
      <c r="N61">
        <v>7.5</v>
      </c>
      <c r="O61">
        <v>170</v>
      </c>
      <c r="P61">
        <v>20</v>
      </c>
      <c r="Q61">
        <v>1</v>
      </c>
      <c r="R61" t="s">
        <v>299</v>
      </c>
      <c r="S61">
        <v>3</v>
      </c>
      <c r="T61" s="2" t="s">
        <v>353</v>
      </c>
      <c r="U61" s="2" t="s">
        <v>343</v>
      </c>
      <c r="V61" s="2"/>
      <c r="W61" s="2"/>
      <c r="X61" s="2" t="s">
        <v>343</v>
      </c>
      <c r="Y61" s="2"/>
      <c r="Z61" s="2"/>
      <c r="AA61" s="2"/>
      <c r="AB61" s="2"/>
      <c r="AC61" s="2"/>
      <c r="AD61" s="2"/>
      <c r="AG61">
        <v>22</v>
      </c>
      <c r="AH61">
        <v>18</v>
      </c>
      <c r="AI61" s="6">
        <f t="shared" si="25"/>
        <v>36</v>
      </c>
      <c r="AJ61" s="6">
        <f>(AG61*1.5)-MOD((AG61*1.5), BJ60)</f>
        <v>32</v>
      </c>
      <c r="AK61" s="6">
        <f t="shared" si="26"/>
        <v>33</v>
      </c>
      <c r="AL61" s="8">
        <f t="shared" si="20"/>
        <v>36</v>
      </c>
      <c r="AU61" t="s">
        <v>360</v>
      </c>
      <c r="AZ61" s="2">
        <f>(SQRT(J61*AG61)*POWER((MIN(L61,20)+SQRT(MAX(L61-20,0))),0.9)*Data!$B$1)*(1-(Q61-1))</f>
        <v>29.576829437221864</v>
      </c>
      <c r="BA61" s="2">
        <f>(POWER((J61*J61*AG61), 0.33)*LOG10(O61)*10*Data!$B$1)*Q61</f>
        <v>64.540587091557995</v>
      </c>
      <c r="BB61" s="2"/>
      <c r="BC61" s="2"/>
      <c r="BD61" s="2">
        <f>IFERROR((SQRT($J61*$AH61)*POWER((MIN($L61,20)+SQRT(MAX($L61-20,0))),0.9)*Data!$B$1)*(1 - (Q61-1)),AZ61)</f>
        <v>26.753248835891831</v>
      </c>
      <c r="BE61" s="2">
        <f>IFERROR(((POWER(($J61*$J61*$AH61), 0.33)*LOG10($AE61)*10*Data!$B$1)*Q61),BA61)</f>
        <v>64.540587091557995</v>
      </c>
      <c r="BF61" s="2">
        <f t="shared" si="12"/>
        <v>43.548387096774192</v>
      </c>
      <c r="BG61" s="2">
        <f t="shared" si="13"/>
        <v>0</v>
      </c>
      <c r="BH61" s="2">
        <f t="shared" si="14"/>
        <v>0</v>
      </c>
      <c r="BI61" s="2">
        <f t="shared" si="15"/>
        <v>0</v>
      </c>
      <c r="BJ61" s="2">
        <v>1</v>
      </c>
      <c r="BK61" s="2">
        <v>1</v>
      </c>
      <c r="BL61" s="2">
        <f t="shared" si="16"/>
        <v>22</v>
      </c>
      <c r="BM61" s="2">
        <f t="shared" si="17"/>
        <v>18</v>
      </c>
      <c r="BN61" s="2">
        <f t="shared" si="6"/>
        <v>32</v>
      </c>
      <c r="BO61" s="2">
        <f t="shared" si="18"/>
        <v>22</v>
      </c>
      <c r="BP61" s="2">
        <f t="shared" si="8"/>
        <v>36</v>
      </c>
      <c r="BQ61" s="2">
        <f t="shared" si="19"/>
        <v>18</v>
      </c>
      <c r="BR61" s="3"/>
      <c r="BS61" s="3"/>
      <c r="BT61" s="3"/>
      <c r="BU61">
        <f t="shared" si="27"/>
        <v>0</v>
      </c>
      <c r="BV61" s="2" t="str">
        <f>CONCATENATE(
ROUND(BR61*VLOOKUP(I61,'ID Scheme'!$A$2:$E$7,3),0), "x",
ROUND(BS61*VLOOKUP(I61,'ID Scheme'!$A$2:$E$7,5),0), "x",
ROUND(BT61*VLOOKUP(I61,'ID Scheme'!$A$2:$E$7,4),0))</f>
        <v>0x0x0</v>
      </c>
      <c r="BW61" t="s">
        <v>21</v>
      </c>
    </row>
    <row r="62" spans="1:75" x14ac:dyDescent="0.25">
      <c r="A62" t="s">
        <v>2</v>
      </c>
      <c r="B62" t="s">
        <v>209</v>
      </c>
      <c r="C62" t="s">
        <v>369</v>
      </c>
      <c r="D62">
        <f>IF(F62 &gt; 2020, ((F62-2020)*4)+1610+H62,IF(F62 &gt; 1900, ((F62-1900)*10)+400+H62, ((F62-1730)*2)+H62))+VLOOKUP(I62,'ID Scheme'!$A$2:$B$7,2, FALSE)</f>
        <v>3651</v>
      </c>
      <c r="F62">
        <v>1965</v>
      </c>
      <c r="G62">
        <v>6</v>
      </c>
      <c r="H62">
        <v>1</v>
      </c>
      <c r="I62" t="s">
        <v>13</v>
      </c>
      <c r="J62">
        <v>55</v>
      </c>
      <c r="K62">
        <v>20</v>
      </c>
      <c r="L62">
        <v>15</v>
      </c>
      <c r="M62">
        <v>5</v>
      </c>
      <c r="N62">
        <v>9.5</v>
      </c>
      <c r="O62">
        <v>140</v>
      </c>
      <c r="P62">
        <v>20</v>
      </c>
      <c r="Q62">
        <v>1</v>
      </c>
      <c r="R62" t="s">
        <v>299</v>
      </c>
      <c r="S62">
        <v>-4</v>
      </c>
      <c r="T62" s="2" t="s">
        <v>512</v>
      </c>
      <c r="U62" s="2"/>
      <c r="V62" s="2" t="s">
        <v>343</v>
      </c>
      <c r="W62" s="2"/>
      <c r="X62" s="2" t="s">
        <v>343</v>
      </c>
      <c r="Y62" s="2"/>
      <c r="Z62" s="2"/>
      <c r="AA62" s="2"/>
      <c r="AB62" s="2"/>
      <c r="AC62" s="2" t="s">
        <v>373</v>
      </c>
      <c r="AD62" s="2"/>
      <c r="AG62">
        <v>36</v>
      </c>
      <c r="AH62">
        <v>30</v>
      </c>
      <c r="AI62" s="6">
        <f t="shared" si="25"/>
        <v>60</v>
      </c>
      <c r="AJ62" s="6">
        <f>(AG62*1.5)-MOD((AG62*1.5), BJ61)</f>
        <v>54</v>
      </c>
      <c r="AK62" s="6">
        <f t="shared" si="26"/>
        <v>18</v>
      </c>
      <c r="AL62" s="8">
        <f t="shared" si="20"/>
        <v>20</v>
      </c>
      <c r="AP62">
        <v>1</v>
      </c>
      <c r="AS62" t="s">
        <v>441</v>
      </c>
      <c r="AT62" t="s">
        <v>539</v>
      </c>
      <c r="AU62" t="s">
        <v>360</v>
      </c>
      <c r="AZ62" s="2">
        <f>(SQRT(J62*AG62)*POWER((MIN(L62,20)+SQRT(MAX(L62-20,0))),0.9)*Data!$B$1)*(1-(Q62-1))</f>
        <v>38.183522614659189</v>
      </c>
      <c r="BA62" s="2">
        <f>(POWER((J62*J62*AG62), 0.33)*LOG10(O62)*10*Data!$B$1)*Q62</f>
        <v>73.949644689024566</v>
      </c>
      <c r="BB62" s="2"/>
      <c r="BC62" s="2"/>
      <c r="BD62" s="2">
        <f>IFERROR((SQRT($J62*$AH62)*POWER((MIN($L62,20)+SQRT(MAX($L62-20,0))),0.9)*Data!$B$1)*(1 - (Q62-1)),AZ62)</f>
        <v>34.856627768429135</v>
      </c>
      <c r="BE62" s="2">
        <f>IFERROR(((POWER(($J62*$J62*$AH62), 0.33)*LOG10($AE62)*10*Data!$B$1)*Q62),BA62)</f>
        <v>73.949644689024566</v>
      </c>
      <c r="BF62" s="2">
        <f t="shared" si="12"/>
        <v>44.354838709677416</v>
      </c>
      <c r="BG62" s="2">
        <f t="shared" si="13"/>
        <v>0</v>
      </c>
      <c r="BH62" s="2">
        <f t="shared" si="14"/>
        <v>0</v>
      </c>
      <c r="BI62" s="2">
        <f t="shared" si="15"/>
        <v>0</v>
      </c>
      <c r="BJ62" s="2">
        <v>2</v>
      </c>
      <c r="BK62" s="2">
        <v>3</v>
      </c>
      <c r="BL62" s="2">
        <f t="shared" si="16"/>
        <v>12</v>
      </c>
      <c r="BM62" s="2">
        <f t="shared" si="17"/>
        <v>10</v>
      </c>
      <c r="BN62" s="2">
        <f t="shared" si="6"/>
        <v>54</v>
      </c>
      <c r="BO62" s="2">
        <f t="shared" si="18"/>
        <v>36</v>
      </c>
      <c r="BP62" s="2">
        <f t="shared" si="8"/>
        <v>60</v>
      </c>
      <c r="BQ62" s="2">
        <f t="shared" si="19"/>
        <v>30</v>
      </c>
      <c r="BR62" s="3"/>
      <c r="BS62" s="3"/>
      <c r="BT62" s="3"/>
      <c r="BU62">
        <f t="shared" si="27"/>
        <v>1</v>
      </c>
      <c r="BV62" s="2" t="str">
        <f>CONCATENATE(
ROUND(BR62*VLOOKUP(I62,'ID Scheme'!$A$2:$E$7,3),0), "x",
ROUND(BS62*VLOOKUP(I62,'ID Scheme'!$A$2:$E$7,5),0), "x",
ROUND(BT62*VLOOKUP(I62,'ID Scheme'!$A$2:$E$7,4),0))</f>
        <v>0x0x0</v>
      </c>
    </row>
    <row r="63" spans="1:75" x14ac:dyDescent="0.25">
      <c r="A63" t="s">
        <v>75</v>
      </c>
      <c r="B63" t="s">
        <v>226</v>
      </c>
      <c r="C63" t="s">
        <v>339</v>
      </c>
      <c r="D63">
        <f>IF(F63 &gt; 2020, ((F63-2020)*4)+1610+H63,IF(F63 &gt; 1900, ((F63-1900)*10)+400+H63, ((F63-1730)*2)+H63))+VLOOKUP(I63,'ID Scheme'!$A$2:$B$7,2, FALSE)</f>
        <v>3652</v>
      </c>
      <c r="F63">
        <v>1965</v>
      </c>
      <c r="G63">
        <v>1</v>
      </c>
      <c r="H63">
        <v>2</v>
      </c>
      <c r="I63" t="s">
        <v>13</v>
      </c>
      <c r="J63">
        <v>60</v>
      </c>
      <c r="K63">
        <v>20</v>
      </c>
      <c r="L63">
        <v>17</v>
      </c>
      <c r="M63">
        <v>5</v>
      </c>
      <c r="N63">
        <v>3</v>
      </c>
      <c r="O63">
        <v>82</v>
      </c>
      <c r="P63">
        <v>20</v>
      </c>
      <c r="Q63">
        <v>1</v>
      </c>
      <c r="R63" t="s">
        <v>299</v>
      </c>
      <c r="S63">
        <v>0</v>
      </c>
      <c r="T63" s="2" t="s">
        <v>340</v>
      </c>
      <c r="U63" s="2" t="s">
        <v>343</v>
      </c>
      <c r="V63" s="2"/>
      <c r="W63" s="2"/>
      <c r="X63" s="2" t="s">
        <v>343</v>
      </c>
      <c r="Y63" s="2"/>
      <c r="Z63" s="2"/>
      <c r="AA63" s="2"/>
      <c r="AB63" s="2"/>
      <c r="AC63" s="2"/>
      <c r="AD63" s="2"/>
      <c r="AG63">
        <v>16</v>
      </c>
      <c r="AH63">
        <v>4</v>
      </c>
      <c r="AI63" s="7">
        <f>AH63*4</f>
        <v>16</v>
      </c>
      <c r="AJ63" s="7">
        <f>(AG63*1.75)-MOD((AG63*1.75), BJ63)</f>
        <v>28</v>
      </c>
      <c r="AK63" s="7">
        <f>(BL63*1.75)-MOD((BL63*1.75), BK63)</f>
        <v>28</v>
      </c>
      <c r="AL63" s="8">
        <f t="shared" si="20"/>
        <v>16</v>
      </c>
      <c r="AM63">
        <v>56</v>
      </c>
      <c r="AU63" t="s">
        <v>360</v>
      </c>
      <c r="AZ63" s="2">
        <f>(SQRT(J63*AG63)*POWER((MIN(L63,20)+SQRT(MAX(L63-20,0))),0.9)*Data!$B$1)*(1-(Q63-1))</f>
        <v>29.757806068644722</v>
      </c>
      <c r="BA63" s="2">
        <f>(POWER((J63*J63*AG63), 0.33)*LOG10(O63)*10*Data!$B$1)*Q63</f>
        <v>53.444174907561425</v>
      </c>
      <c r="BB63" s="2"/>
      <c r="BC63" s="2"/>
      <c r="BD63" s="2">
        <f>IFERROR((SQRT($J63*$AH63)*POWER((MIN($L63,20)+SQRT(MAX($L63-20,0))),0.9)*Data!$B$1)*(1 - (Q63-1)),AZ63)</f>
        <v>14.878903034322361</v>
      </c>
      <c r="BE63" s="2">
        <f>IFERROR(((POWER(($J63*$J63*$AH63), 0.33)*LOG10($AE63)*10*Data!$B$1)*Q63),BA63)</f>
        <v>53.444174907561425</v>
      </c>
      <c r="BF63" s="2">
        <f t="shared" si="12"/>
        <v>48.387096774193552</v>
      </c>
      <c r="BG63" s="2">
        <f t="shared" si="13"/>
        <v>0</v>
      </c>
      <c r="BH63" s="2">
        <f t="shared" si="14"/>
        <v>45.161290322580648</v>
      </c>
      <c r="BI63" s="2">
        <f t="shared" si="15"/>
        <v>0</v>
      </c>
      <c r="BJ63" s="2">
        <v>1</v>
      </c>
      <c r="BK63" s="2">
        <v>1</v>
      </c>
      <c r="BL63" s="2">
        <f t="shared" si="16"/>
        <v>16</v>
      </c>
      <c r="BM63" s="2">
        <f t="shared" si="17"/>
        <v>4</v>
      </c>
      <c r="BN63" s="2">
        <f t="shared" si="6"/>
        <v>28</v>
      </c>
      <c r="BO63" s="2">
        <f t="shared" si="18"/>
        <v>16</v>
      </c>
      <c r="BP63" s="2">
        <f t="shared" si="8"/>
        <v>16</v>
      </c>
      <c r="BQ63" s="2">
        <f t="shared" si="19"/>
        <v>4</v>
      </c>
      <c r="BR63" s="3">
        <v>6.2</v>
      </c>
      <c r="BS63" s="3">
        <v>2.2000000000000002</v>
      </c>
      <c r="BT63" s="3">
        <v>2.6</v>
      </c>
      <c r="BU63">
        <f t="shared" si="27"/>
        <v>0</v>
      </c>
      <c r="BV63" s="2" t="str">
        <f>CONCATENATE(
ROUND(BR63*VLOOKUP(I63,'ID Scheme'!$A$2:$E$7,3),0), "x",
ROUND(BS63*VLOOKUP(I63,'ID Scheme'!$A$2:$E$7,5),0), "x",
ROUND(BT63*VLOOKUP(I63,'ID Scheme'!$A$2:$E$7,4),0))</f>
        <v>58x32x25</v>
      </c>
      <c r="BW63" t="s">
        <v>80</v>
      </c>
    </row>
    <row r="64" spans="1:75" x14ac:dyDescent="0.25">
      <c r="A64" t="s">
        <v>83</v>
      </c>
      <c r="B64" t="s">
        <v>218</v>
      </c>
      <c r="C64" t="s">
        <v>339</v>
      </c>
      <c r="D64">
        <f>IF(F64 &gt; 2020, ((F64-2020)*4)+1610+H64,IF(F64 &gt; 1900, ((F64-1900)*10)+400+H64, ((F64-1730)*2)+H64))+VLOOKUP(I64,'ID Scheme'!$A$2:$B$7,2, FALSE)</f>
        <v>3671</v>
      </c>
      <c r="F64">
        <v>1967</v>
      </c>
      <c r="G64">
        <v>1</v>
      </c>
      <c r="H64">
        <v>1</v>
      </c>
      <c r="I64" t="s">
        <v>13</v>
      </c>
      <c r="J64">
        <v>56</v>
      </c>
      <c r="K64">
        <v>15</v>
      </c>
      <c r="L64">
        <v>22</v>
      </c>
      <c r="M64">
        <v>5</v>
      </c>
      <c r="N64">
        <v>5</v>
      </c>
      <c r="O64">
        <v>170</v>
      </c>
      <c r="P64">
        <v>20</v>
      </c>
      <c r="Q64">
        <v>1</v>
      </c>
      <c r="R64" t="s">
        <v>299</v>
      </c>
      <c r="S64">
        <v>3</v>
      </c>
      <c r="T64" s="2" t="s">
        <v>357</v>
      </c>
      <c r="U64" s="2" t="s">
        <v>343</v>
      </c>
      <c r="V64" s="2" t="s">
        <v>343</v>
      </c>
      <c r="W64" s="2"/>
      <c r="X64" s="2" t="s">
        <v>343</v>
      </c>
      <c r="Y64" s="2"/>
      <c r="Z64" s="2"/>
      <c r="AA64" s="2"/>
      <c r="AB64" s="2"/>
      <c r="AC64" s="2"/>
      <c r="AD64" s="2"/>
      <c r="AG64">
        <v>22</v>
      </c>
      <c r="AH64">
        <v>10</v>
      </c>
      <c r="AI64" s="7">
        <f>AH64*4</f>
        <v>40</v>
      </c>
      <c r="AJ64" s="7">
        <f>(AG64*1.75)-MOD((AG64*1.75), BJ64)</f>
        <v>38</v>
      </c>
      <c r="AK64" s="7">
        <f>(BL64*1.75)-MOD((BL64*1.75), BK64)</f>
        <v>38</v>
      </c>
      <c r="AL64" s="8">
        <f t="shared" si="20"/>
        <v>40</v>
      </c>
      <c r="AU64" t="s">
        <v>360</v>
      </c>
      <c r="AZ64" s="2">
        <f>(SQRT(J64*AG64)*POWER((MIN(L64,20)+SQRT(MAX(L64-20,0))),0.9)*Data!$B$1)*(1-(Q64-1))</f>
        <v>41.495264182549853</v>
      </c>
      <c r="BA64" s="2">
        <f>(POWER((J64*J64*AG64), 0.33)*LOG10(O64)*10*Data!$B$1)*Q64</f>
        <v>66.108473335639829</v>
      </c>
      <c r="BB64" s="2"/>
      <c r="BC64" s="2"/>
      <c r="BD64" s="2">
        <f>IFERROR((SQRT($J64*$AH64)*POWER((MIN($L64,20)+SQRT(MAX($L64-20,0))),0.9)*Data!$B$1)*(1 - (Q64-1)),AZ64)</f>
        <v>27.976101404751009</v>
      </c>
      <c r="BE64" s="2">
        <f>IFERROR(((POWER(($J64*$J64*$AH64), 0.33)*LOG10($AE64)*10*Data!$B$1)*Q64),BA64)</f>
        <v>66.108473335639829</v>
      </c>
      <c r="BF64" s="2">
        <f t="shared" si="12"/>
        <v>45.161290322580648</v>
      </c>
      <c r="BG64" s="2">
        <f t="shared" si="13"/>
        <v>0</v>
      </c>
      <c r="BH64" s="2">
        <f t="shared" si="14"/>
        <v>0</v>
      </c>
      <c r="BI64" s="2">
        <f t="shared" si="15"/>
        <v>0</v>
      </c>
      <c r="BJ64" s="2">
        <v>1</v>
      </c>
      <c r="BK64" s="2">
        <v>1</v>
      </c>
      <c r="BL64" s="2">
        <f t="shared" si="16"/>
        <v>22</v>
      </c>
      <c r="BM64" s="2">
        <f t="shared" si="17"/>
        <v>10</v>
      </c>
      <c r="BN64" s="2">
        <f t="shared" si="6"/>
        <v>38</v>
      </c>
      <c r="BO64" s="2">
        <f t="shared" si="18"/>
        <v>22</v>
      </c>
      <c r="BP64" s="2">
        <f t="shared" si="8"/>
        <v>40</v>
      </c>
      <c r="BQ64" s="2">
        <f t="shared" si="19"/>
        <v>10</v>
      </c>
      <c r="BR64" s="3">
        <v>8.5</v>
      </c>
      <c r="BS64" s="3">
        <v>2.5</v>
      </c>
      <c r="BT64" s="3">
        <v>2.8</v>
      </c>
      <c r="BU64">
        <f t="shared" si="27"/>
        <v>2</v>
      </c>
      <c r="BV64" s="2" t="str">
        <f>CONCATENATE(
ROUND(BR64*VLOOKUP(I64,'ID Scheme'!$A$2:$E$7,3),0), "x",
ROUND(BS64*VLOOKUP(I64,'ID Scheme'!$A$2:$E$7,5),0), "x",
ROUND(BT64*VLOOKUP(I64,'ID Scheme'!$A$2:$E$7,4),0))</f>
        <v>79x36x27</v>
      </c>
      <c r="BW64" t="s">
        <v>21</v>
      </c>
    </row>
    <row r="65" spans="1:75" x14ac:dyDescent="0.25">
      <c r="A65" t="s">
        <v>5</v>
      </c>
      <c r="B65" t="s">
        <v>192</v>
      </c>
      <c r="C65" t="s">
        <v>369</v>
      </c>
      <c r="D65">
        <f>IF(F65 &gt; 2020, ((F65-2020)*4)+1610+H65,IF(F65 &gt; 1900, ((F65-1900)*10)+400+H65, ((F65-1730)*2)+H65))+VLOOKUP(I65,'ID Scheme'!$A$2:$B$7,2, FALSE)</f>
        <v>3681</v>
      </c>
      <c r="F65">
        <v>1968</v>
      </c>
      <c r="G65">
        <v>1</v>
      </c>
      <c r="H65">
        <v>1</v>
      </c>
      <c r="I65" t="s">
        <v>13</v>
      </c>
      <c r="J65">
        <v>68</v>
      </c>
      <c r="K65">
        <v>10</v>
      </c>
      <c r="L65">
        <v>15</v>
      </c>
      <c r="M65">
        <v>5</v>
      </c>
      <c r="N65">
        <v>10</v>
      </c>
      <c r="O65">
        <v>247</v>
      </c>
      <c r="P65">
        <v>25</v>
      </c>
      <c r="Q65">
        <v>1.1000000000000001</v>
      </c>
      <c r="R65" t="s">
        <v>305</v>
      </c>
      <c r="S65">
        <v>-3</v>
      </c>
      <c r="T65" s="2" t="s">
        <v>513</v>
      </c>
      <c r="U65" s="2"/>
      <c r="V65" s="2" t="s">
        <v>343</v>
      </c>
      <c r="W65" s="2"/>
      <c r="X65" s="2" t="s">
        <v>343</v>
      </c>
      <c r="Y65" s="2"/>
      <c r="Z65" s="2"/>
      <c r="AA65" s="2"/>
      <c r="AB65" s="2"/>
      <c r="AC65" s="2" t="s">
        <v>373</v>
      </c>
      <c r="AD65" s="2"/>
      <c r="AG65">
        <v>36</v>
      </c>
      <c r="AH65">
        <v>30</v>
      </c>
      <c r="AI65" s="6">
        <f t="shared" si="25"/>
        <v>60</v>
      </c>
      <c r="AJ65" s="6">
        <f>(AG65*1.5)-MOD((AG65*1.5), BJ64)</f>
        <v>54</v>
      </c>
      <c r="AK65" s="6">
        <f t="shared" ref="AK65:AK67" si="28">(BL65*1.5)-MOD((BL65*1.5), BK65)</f>
        <v>18</v>
      </c>
      <c r="AL65" s="8">
        <f t="shared" si="20"/>
        <v>20</v>
      </c>
      <c r="AM65">
        <v>56</v>
      </c>
      <c r="AN65">
        <v>60</v>
      </c>
      <c r="AP65">
        <v>1</v>
      </c>
      <c r="AS65" t="s">
        <v>441</v>
      </c>
      <c r="AT65" t="s">
        <v>539</v>
      </c>
      <c r="AU65" t="s">
        <v>360</v>
      </c>
      <c r="AZ65" s="2">
        <f>(SQRT(J65*AG65)*POWER((MIN(L65,20)+SQRT(MAX(L65-20,0))),0.9)*Data!$B$1)*(1-(Q65-1))</f>
        <v>38.211282358503759</v>
      </c>
      <c r="BA65" s="2">
        <f>(POWER((J65*J65*AG65), 0.33)*LOG10(O65)*10*Data!$B$1)*Q65</f>
        <v>104.32234788878965</v>
      </c>
      <c r="BB65" s="2"/>
      <c r="BC65" s="2"/>
      <c r="BD65" s="2">
        <f>IFERROR((SQRT($J65*$AH65)*POWER((MIN($L65,20)+SQRT(MAX($L65-20,0))),0.9)*Data!$B$1)*(1 - (Q65-1)),AZ65)</f>
        <v>34.881968831586192</v>
      </c>
      <c r="BE65" s="2">
        <f>IFERROR(((POWER(($J65*$J65*$AH65), 0.33)*LOG10($AE65)*10*Data!$B$1)*Q65),BA65)</f>
        <v>104.32234788878965</v>
      </c>
      <c r="BF65" s="2">
        <f t="shared" si="12"/>
        <v>54.838709677419352</v>
      </c>
      <c r="BG65" s="2">
        <f t="shared" si="13"/>
        <v>0</v>
      </c>
      <c r="BH65" s="2">
        <f t="shared" si="14"/>
        <v>45.161290322580648</v>
      </c>
      <c r="BI65" s="2">
        <f t="shared" si="15"/>
        <v>48.387096774193552</v>
      </c>
      <c r="BJ65" s="2">
        <v>2</v>
      </c>
      <c r="BK65" s="2">
        <v>3</v>
      </c>
      <c r="BL65" s="2">
        <f t="shared" si="16"/>
        <v>12</v>
      </c>
      <c r="BM65" s="2">
        <f t="shared" si="17"/>
        <v>10</v>
      </c>
      <c r="BN65" s="2">
        <f t="shared" si="6"/>
        <v>54</v>
      </c>
      <c r="BO65" s="2">
        <f t="shared" si="18"/>
        <v>36</v>
      </c>
      <c r="BP65" s="2">
        <f t="shared" si="8"/>
        <v>60</v>
      </c>
      <c r="BQ65" s="2">
        <f t="shared" si="19"/>
        <v>30</v>
      </c>
      <c r="BR65" s="3"/>
      <c r="BS65" s="3"/>
      <c r="BT65" s="3"/>
      <c r="BU65">
        <f t="shared" si="27"/>
        <v>1</v>
      </c>
      <c r="BV65" s="2" t="str">
        <f>CONCATENATE(
ROUND(BR65*VLOOKUP(I65,'ID Scheme'!$A$2:$E$7,3),0), "x",
ROUND(BS65*VLOOKUP(I65,'ID Scheme'!$A$2:$E$7,5),0), "x",
ROUND(BT65*VLOOKUP(I65,'ID Scheme'!$A$2:$E$7,4),0))</f>
        <v>0x0x0</v>
      </c>
    </row>
    <row r="66" spans="1:75" x14ac:dyDescent="0.25">
      <c r="A66" t="s">
        <v>95</v>
      </c>
      <c r="B66" t="s">
        <v>224</v>
      </c>
      <c r="C66" t="s">
        <v>369</v>
      </c>
      <c r="D66">
        <f>IF(F66 &gt; 2020, ((F66-2020)*4)+1610+H66,IF(F66 &gt; 1900, ((F66-1900)*10)+400+H66, ((F66-1730)*2)+H66))+VLOOKUP(I66,'ID Scheme'!$A$2:$B$7,2, FALSE)</f>
        <v>3771</v>
      </c>
      <c r="F66">
        <v>1977</v>
      </c>
      <c r="G66">
        <v>1</v>
      </c>
      <c r="H66">
        <v>1</v>
      </c>
      <c r="I66" t="s">
        <v>13</v>
      </c>
      <c r="J66">
        <v>60</v>
      </c>
      <c r="K66">
        <v>16</v>
      </c>
      <c r="L66">
        <v>18</v>
      </c>
      <c r="M66">
        <v>5</v>
      </c>
      <c r="N66">
        <v>9.5</v>
      </c>
      <c r="O66">
        <v>280</v>
      </c>
      <c r="P66">
        <v>20</v>
      </c>
      <c r="Q66">
        <v>1</v>
      </c>
      <c r="R66" t="s">
        <v>299</v>
      </c>
      <c r="S66">
        <v>-3</v>
      </c>
      <c r="T66" s="2" t="s">
        <v>514</v>
      </c>
      <c r="U66" s="2"/>
      <c r="V66" s="2" t="s">
        <v>343</v>
      </c>
      <c r="W66" s="2"/>
      <c r="X66" s="2" t="s">
        <v>343</v>
      </c>
      <c r="Y66" s="2"/>
      <c r="Z66" s="2"/>
      <c r="AA66" s="2"/>
      <c r="AB66" s="2"/>
      <c r="AC66" s="2" t="s">
        <v>373</v>
      </c>
      <c r="AD66" s="2"/>
      <c r="AG66">
        <v>39</v>
      </c>
      <c r="AH66">
        <v>30</v>
      </c>
      <c r="AI66" s="6">
        <f t="shared" si="25"/>
        <v>60</v>
      </c>
      <c r="AJ66" s="6">
        <f>(AG66*1.5)-MOD((AG66*1.5), BJ65)</f>
        <v>58</v>
      </c>
      <c r="AK66" s="6">
        <f t="shared" si="28"/>
        <v>18</v>
      </c>
      <c r="AL66" s="8">
        <f t="shared" si="20"/>
        <v>20</v>
      </c>
      <c r="AM66">
        <v>56</v>
      </c>
      <c r="AP66">
        <v>1</v>
      </c>
      <c r="AS66" t="s">
        <v>441</v>
      </c>
      <c r="AT66" t="s">
        <v>539</v>
      </c>
      <c r="AU66" t="s">
        <v>360</v>
      </c>
      <c r="AZ66" s="2">
        <f>(SQRT(J66*AG66)*POWER((MIN(L66,20)+SQRT(MAX(L66-20,0))),0.9)*Data!$B$1)*(1-(Q66-1))</f>
        <v>48.911890226340333</v>
      </c>
      <c r="BA66" s="2">
        <f>(POWER((J66*J66*AG66), 0.33)*LOG10(O66)*10*Data!$B$1)*Q66</f>
        <v>91.696851682976998</v>
      </c>
      <c r="BB66" s="2"/>
      <c r="BC66" s="2"/>
      <c r="BD66" s="2">
        <f>IFERROR((SQRT($J66*$AH66)*POWER((MIN($L66,20)+SQRT(MAX($L66-20,0))),0.9)*Data!$B$1)*(1 - (Q66-1)),AZ66)</f>
        <v>42.898565562476904</v>
      </c>
      <c r="BE66" s="2">
        <f>IFERROR(((POWER(($J66*$J66*$AH66), 0.33)*LOG10($AE66)*10*Data!$B$1)*Q66),BA66)</f>
        <v>91.696851682976998</v>
      </c>
      <c r="BF66" s="2">
        <f t="shared" si="12"/>
        <v>48.387096774193552</v>
      </c>
      <c r="BG66" s="2">
        <f t="shared" si="13"/>
        <v>0</v>
      </c>
      <c r="BH66" s="2">
        <f t="shared" si="14"/>
        <v>45.161290322580648</v>
      </c>
      <c r="BI66" s="2">
        <f t="shared" si="15"/>
        <v>0</v>
      </c>
      <c r="BJ66" s="2">
        <v>2</v>
      </c>
      <c r="BK66" s="2">
        <v>3</v>
      </c>
      <c r="BL66" s="2">
        <f t="shared" si="16"/>
        <v>13</v>
      </c>
      <c r="BM66" s="2">
        <f t="shared" si="17"/>
        <v>10</v>
      </c>
      <c r="BN66" s="2">
        <f t="shared" si="6"/>
        <v>58</v>
      </c>
      <c r="BO66" s="2">
        <f t="shared" si="18"/>
        <v>39</v>
      </c>
      <c r="BP66" s="2">
        <f t="shared" si="8"/>
        <v>60</v>
      </c>
      <c r="BQ66" s="2">
        <f t="shared" si="19"/>
        <v>30</v>
      </c>
      <c r="BR66" s="3"/>
      <c r="BS66" s="3"/>
      <c r="BT66" s="3"/>
      <c r="BU66">
        <f t="shared" si="27"/>
        <v>9</v>
      </c>
      <c r="BV66" s="2" t="str">
        <f>CONCATENATE(
ROUND(BR66*VLOOKUP(I66,'ID Scheme'!$A$2:$E$7,3),0), "x",
ROUND(BS66*VLOOKUP(I66,'ID Scheme'!$A$2:$E$7,5),0), "x",
ROUND(BT66*VLOOKUP(I66,'ID Scheme'!$A$2:$E$7,4),0))</f>
        <v>0x0x0</v>
      </c>
      <c r="BW66" t="s">
        <v>96</v>
      </c>
    </row>
    <row r="67" spans="1:75" x14ac:dyDescent="0.25">
      <c r="A67" t="s">
        <v>6</v>
      </c>
      <c r="B67" t="s">
        <v>212</v>
      </c>
      <c r="C67" t="s">
        <v>369</v>
      </c>
      <c r="D67">
        <f>IF(F67 &gt; 2020, ((F67-2020)*4)+1610+H67,IF(F67 &gt; 1900, ((F67-1900)*10)+400+H67, ((F67-1730)*2)+H67))+VLOOKUP(I67,'ID Scheme'!$A$2:$B$7,2, FALSE)</f>
        <v>3801</v>
      </c>
      <c r="F67">
        <v>1980</v>
      </c>
      <c r="G67">
        <v>1</v>
      </c>
      <c r="H67">
        <v>1</v>
      </c>
      <c r="I67" t="s">
        <v>13</v>
      </c>
      <c r="J67">
        <v>62</v>
      </c>
      <c r="K67">
        <v>20</v>
      </c>
      <c r="L67">
        <v>17</v>
      </c>
      <c r="M67">
        <v>5</v>
      </c>
      <c r="N67">
        <v>11.5</v>
      </c>
      <c r="O67">
        <v>350</v>
      </c>
      <c r="P67">
        <v>20</v>
      </c>
      <c r="Q67">
        <v>1</v>
      </c>
      <c r="R67" t="s">
        <v>311</v>
      </c>
      <c r="S67">
        <v>-3</v>
      </c>
      <c r="T67" s="2" t="s">
        <v>515</v>
      </c>
      <c r="U67" s="2"/>
      <c r="V67" s="2" t="s">
        <v>343</v>
      </c>
      <c r="W67" s="2"/>
      <c r="X67" s="2" t="s">
        <v>343</v>
      </c>
      <c r="Y67" s="2"/>
      <c r="Z67" s="2"/>
      <c r="AA67" s="2"/>
      <c r="AB67" s="2"/>
      <c r="AC67" s="2" t="s">
        <v>373</v>
      </c>
      <c r="AD67" s="2"/>
      <c r="AG67">
        <v>42</v>
      </c>
      <c r="AH67">
        <v>30</v>
      </c>
      <c r="AI67" s="6">
        <f t="shared" si="25"/>
        <v>60</v>
      </c>
      <c r="AJ67" s="6">
        <f>(AG67*1.5)-MOD((AG67*1.5), BJ66)</f>
        <v>62</v>
      </c>
      <c r="AK67" s="6">
        <f t="shared" si="28"/>
        <v>21</v>
      </c>
      <c r="AL67" s="8">
        <f t="shared" si="20"/>
        <v>20</v>
      </c>
      <c r="AM67">
        <v>56</v>
      </c>
      <c r="AN67">
        <v>60</v>
      </c>
      <c r="AP67">
        <v>1</v>
      </c>
      <c r="AS67" t="s">
        <v>441</v>
      </c>
      <c r="AT67" t="s">
        <v>539</v>
      </c>
      <c r="AU67" t="s">
        <v>360</v>
      </c>
      <c r="AZ67" s="2">
        <f>(SQRT(J67*AG67)*POWER((MIN(L67,20)+SQRT(MAX(L67-20,0))),0.9)*Data!$B$1)*(1-(Q67-1))</f>
        <v>49.010121885450587</v>
      </c>
      <c r="BA67" s="2">
        <f>(POWER((J67*J67*AG67), 0.33)*LOG10(O67)*10*Data!$B$1)*Q67</f>
        <v>99.825332904493919</v>
      </c>
      <c r="BB67" s="2"/>
      <c r="BC67" s="2"/>
      <c r="BD67" s="2">
        <f>IFERROR((SQRT($J67*$AH67)*POWER((MIN($L67,20)+SQRT(MAX($L67-20,0))),0.9)*Data!$B$1)*(1 - (Q67-1)),AZ67)</f>
        <v>41.421113036251761</v>
      </c>
      <c r="BE67" s="2">
        <f>IFERROR(((POWER(($J67*$J67*$AH67), 0.33)*LOG10($AE67)*10*Data!$B$1)*Q67),BA67)</f>
        <v>99.825332904493919</v>
      </c>
      <c r="BF67" s="2">
        <f t="shared" si="12"/>
        <v>50</v>
      </c>
      <c r="BG67" s="2">
        <f t="shared" si="13"/>
        <v>0</v>
      </c>
      <c r="BH67" s="2">
        <f t="shared" si="14"/>
        <v>45.161290322580648</v>
      </c>
      <c r="BI67" s="2">
        <f t="shared" si="15"/>
        <v>48.387096774193552</v>
      </c>
      <c r="BJ67" s="2">
        <v>2</v>
      </c>
      <c r="BK67" s="2">
        <v>3</v>
      </c>
      <c r="BL67" s="2">
        <f t="shared" si="16"/>
        <v>14</v>
      </c>
      <c r="BM67" s="2">
        <f t="shared" si="17"/>
        <v>10</v>
      </c>
      <c r="BN67" s="2">
        <f t="shared" si="6"/>
        <v>62</v>
      </c>
      <c r="BO67" s="2">
        <f t="shared" si="18"/>
        <v>42</v>
      </c>
      <c r="BP67" s="2">
        <f t="shared" si="8"/>
        <v>60</v>
      </c>
      <c r="BQ67" s="2">
        <f t="shared" si="19"/>
        <v>30</v>
      </c>
      <c r="BR67" s="3"/>
      <c r="BS67" s="3"/>
      <c r="BT67" s="3"/>
      <c r="BU67">
        <f t="shared" si="27"/>
        <v>3</v>
      </c>
      <c r="BV67" s="2" t="str">
        <f>CONCATENATE(
ROUND(BR67*VLOOKUP(I67,'ID Scheme'!$A$2:$E$7,3),0), "x",
ROUND(BS67*VLOOKUP(I67,'ID Scheme'!$A$2:$E$7,5),0), "x",
ROUND(BT67*VLOOKUP(I67,'ID Scheme'!$A$2:$E$7,4),0))</f>
        <v>0x0x0</v>
      </c>
    </row>
    <row r="68" spans="1:75" x14ac:dyDescent="0.25">
      <c r="A68" t="s">
        <v>73</v>
      </c>
      <c r="B68" t="s">
        <v>202</v>
      </c>
      <c r="C68" t="s">
        <v>339</v>
      </c>
      <c r="D68">
        <f>IF(F68 &gt; 2020, ((F68-2020)*4)+1610+H68,IF(F68 &gt; 1900, ((F68-1900)*10)+400+H68, ((F68-1730)*2)+H68))+VLOOKUP(I68,'ID Scheme'!$A$2:$B$7,2, FALSE)</f>
        <v>3811</v>
      </c>
      <c r="F68">
        <v>1981</v>
      </c>
      <c r="G68">
        <v>1</v>
      </c>
      <c r="H68">
        <v>1</v>
      </c>
      <c r="I68" t="s">
        <v>13</v>
      </c>
      <c r="J68">
        <v>68</v>
      </c>
      <c r="K68">
        <v>16</v>
      </c>
      <c r="L68">
        <v>18</v>
      </c>
      <c r="M68">
        <v>5</v>
      </c>
      <c r="N68">
        <v>3</v>
      </c>
      <c r="O68">
        <v>90</v>
      </c>
      <c r="P68">
        <v>20</v>
      </c>
      <c r="Q68">
        <v>1</v>
      </c>
      <c r="R68" t="s">
        <v>299</v>
      </c>
      <c r="S68">
        <v>0</v>
      </c>
      <c r="T68" s="2" t="s">
        <v>516</v>
      </c>
      <c r="U68" s="2" t="s">
        <v>343</v>
      </c>
      <c r="V68" s="2" t="s">
        <v>343</v>
      </c>
      <c r="W68" s="2"/>
      <c r="X68" s="2" t="s">
        <v>343</v>
      </c>
      <c r="Y68" s="2"/>
      <c r="Z68" s="2"/>
      <c r="AA68" s="2"/>
      <c r="AB68" s="2"/>
      <c r="AC68" s="2"/>
      <c r="AD68" s="2"/>
      <c r="AG68">
        <v>18</v>
      </c>
      <c r="AH68">
        <v>5</v>
      </c>
      <c r="AI68" s="7">
        <f>AH68*4</f>
        <v>20</v>
      </c>
      <c r="AJ68" s="7">
        <f>(AG68*1.75)-MOD((AG68*1.75), BJ68)</f>
        <v>31</v>
      </c>
      <c r="AK68" s="7">
        <f>(BL68*1.75)-MOD((BL68*1.75), BK68)</f>
        <v>31</v>
      </c>
      <c r="AL68" s="8">
        <f t="shared" si="20"/>
        <v>20</v>
      </c>
      <c r="AM68">
        <v>56</v>
      </c>
      <c r="AN68">
        <v>60</v>
      </c>
      <c r="AU68" t="s">
        <v>360</v>
      </c>
      <c r="AZ68" s="2">
        <f>(SQRT(J68*AG68)*POWER((MIN(L68,20)+SQRT(MAX(L68-20,0))),0.9)*Data!$B$1)*(1-(Q68-1))</f>
        <v>35.375063400315305</v>
      </c>
      <c r="BA68" s="2">
        <f>(POWER((J68*J68*AG68), 0.33)*LOG10(O68)*10*Data!$B$1)*Q68</f>
        <v>61.621962939651276</v>
      </c>
      <c r="BB68" s="2"/>
      <c r="BC68" s="2"/>
      <c r="BD68" s="2">
        <f>IFERROR((SQRT($J68*$AH68)*POWER((MIN($L68,20)+SQRT(MAX($L68-20,0))),0.9)*Data!$B$1)*(1 - (Q68-1)),AZ68)</f>
        <v>18.644295452976195</v>
      </c>
      <c r="BE68" s="2">
        <f>IFERROR(((POWER(($J68*$J68*$AH68), 0.33)*LOG10($AE68)*10*Data!$B$1)*Q68),BA68)</f>
        <v>61.621962939651276</v>
      </c>
      <c r="BF68" s="2">
        <f t="shared" si="12"/>
        <v>54.838709677419352</v>
      </c>
      <c r="BG68" s="2">
        <f t="shared" si="13"/>
        <v>0</v>
      </c>
      <c r="BH68" s="2">
        <f t="shared" si="14"/>
        <v>45.161290322580648</v>
      </c>
      <c r="BI68" s="2">
        <f t="shared" si="15"/>
        <v>48.387096774193552</v>
      </c>
      <c r="BJ68" s="2">
        <v>1</v>
      </c>
      <c r="BK68" s="2">
        <v>1</v>
      </c>
      <c r="BL68" s="2">
        <f t="shared" si="16"/>
        <v>18</v>
      </c>
      <c r="BM68" s="2">
        <f t="shared" si="17"/>
        <v>5</v>
      </c>
      <c r="BN68" s="2">
        <f t="shared" si="6"/>
        <v>31</v>
      </c>
      <c r="BO68" s="2">
        <f t="shared" si="18"/>
        <v>18</v>
      </c>
      <c r="BP68" s="2">
        <f t="shared" si="8"/>
        <v>20</v>
      </c>
      <c r="BQ68" s="2">
        <f t="shared" si="19"/>
        <v>5</v>
      </c>
      <c r="BR68" s="3">
        <v>6.2</v>
      </c>
      <c r="BS68" s="3">
        <v>2.2000000000000002</v>
      </c>
      <c r="BT68" s="3">
        <v>2.6</v>
      </c>
      <c r="BU68">
        <f t="shared" si="27"/>
        <v>1</v>
      </c>
      <c r="BV68" s="2" t="str">
        <f>CONCATENATE(
ROUND(BR68*VLOOKUP(I68,'ID Scheme'!$A$2:$E$7,3),0), "x",
ROUND(BS68*VLOOKUP(I68,'ID Scheme'!$A$2:$E$7,5),0), "x",
ROUND(BT68*VLOOKUP(I68,'ID Scheme'!$A$2:$E$7,4),0))</f>
        <v>58x32x25</v>
      </c>
      <c r="BW68" t="s">
        <v>79</v>
      </c>
    </row>
    <row r="69" spans="1:75" x14ac:dyDescent="0.25">
      <c r="A69" t="s">
        <v>30</v>
      </c>
      <c r="B69" t="s">
        <v>196</v>
      </c>
      <c r="C69" t="s">
        <v>339</v>
      </c>
      <c r="D69">
        <f>IF(F69 &gt; 2020, ((F69-2020)*4)+1610+H69,IF(F69 &gt; 1900, ((F69-1900)*10)+400+H69, ((F69-1730)*2)+H69))+VLOOKUP(I69,'ID Scheme'!$A$2:$B$7,2, FALSE)</f>
        <v>3821</v>
      </c>
      <c r="F69">
        <v>1982</v>
      </c>
      <c r="G69">
        <v>1</v>
      </c>
      <c r="H69">
        <v>1</v>
      </c>
      <c r="I69" t="s">
        <v>13</v>
      </c>
      <c r="J69">
        <v>60</v>
      </c>
      <c r="K69">
        <v>20</v>
      </c>
      <c r="L69">
        <v>20</v>
      </c>
      <c r="M69">
        <v>5</v>
      </c>
      <c r="N69">
        <v>9</v>
      </c>
      <c r="O69">
        <v>315</v>
      </c>
      <c r="P69">
        <v>20</v>
      </c>
      <c r="Q69">
        <v>1</v>
      </c>
      <c r="R69" t="s">
        <v>311</v>
      </c>
      <c r="S69">
        <v>3</v>
      </c>
      <c r="T69" s="2" t="s">
        <v>511</v>
      </c>
      <c r="U69" s="2" t="s">
        <v>343</v>
      </c>
      <c r="V69" s="2" t="s">
        <v>343</v>
      </c>
      <c r="W69" s="2"/>
      <c r="X69" s="2" t="s">
        <v>343</v>
      </c>
      <c r="Y69" s="2"/>
      <c r="Z69" s="2"/>
      <c r="AA69" s="2"/>
      <c r="AB69" s="2"/>
      <c r="AC69" s="2"/>
      <c r="AD69" s="2"/>
      <c r="AG69">
        <v>28</v>
      </c>
      <c r="AH69">
        <v>19</v>
      </c>
      <c r="AI69" s="6">
        <f t="shared" si="25"/>
        <v>38</v>
      </c>
      <c r="AJ69" s="6">
        <f>(AG69*1.5)-MOD((AG69*1.5), BJ68)</f>
        <v>42</v>
      </c>
      <c r="AK69" s="6">
        <f>(BL69*1.5)-MOD((BL69*1.5), BK69)</f>
        <v>42</v>
      </c>
      <c r="AL69" s="8">
        <f t="shared" si="20"/>
        <v>38</v>
      </c>
      <c r="AM69">
        <v>56</v>
      </c>
      <c r="AU69" t="s">
        <v>360</v>
      </c>
      <c r="AZ69" s="2">
        <f>(SQRT(J69*AG69)*POWER((MIN(L69,20)+SQRT(MAX(L69-20,0))),0.9)*Data!$B$1)*(1-(Q69-1))</f>
        <v>45.566209265732887</v>
      </c>
      <c r="BA69" s="2">
        <f>(POWER((J69*J69*AG69), 0.33)*LOG10(O69)*10*Data!$B$1)*Q69</f>
        <v>83.916944346608517</v>
      </c>
      <c r="BB69" s="2"/>
      <c r="BC69" s="2"/>
      <c r="BD69" s="2">
        <f>IFERROR((SQRT($J69*$AH69)*POWER((MIN($L69,20)+SQRT(MAX($L69-20,0))),0.9)*Data!$B$1)*(1 - (Q69-1)),AZ69)</f>
        <v>37.535368611352354</v>
      </c>
      <c r="BE69" s="2">
        <f>IFERROR(((POWER(($J69*$J69*$AH69), 0.33)*LOG10($AE69)*10*Data!$B$1)*Q69),BA69)</f>
        <v>83.916944346608517</v>
      </c>
      <c r="BF69" s="2">
        <f t="shared" si="12"/>
        <v>48.387096774193552</v>
      </c>
      <c r="BG69" s="2">
        <f t="shared" si="13"/>
        <v>0</v>
      </c>
      <c r="BH69" s="2">
        <f t="shared" si="14"/>
        <v>45.161290322580648</v>
      </c>
      <c r="BI69" s="2">
        <f t="shared" si="15"/>
        <v>0</v>
      </c>
      <c r="BJ69" s="2">
        <v>1</v>
      </c>
      <c r="BK69" s="2">
        <v>1</v>
      </c>
      <c r="BL69" s="2">
        <f t="shared" si="16"/>
        <v>28</v>
      </c>
      <c r="BM69" s="2">
        <f t="shared" si="17"/>
        <v>19</v>
      </c>
      <c r="BN69" s="2">
        <f t="shared" si="6"/>
        <v>42</v>
      </c>
      <c r="BO69" s="2">
        <f t="shared" si="18"/>
        <v>28</v>
      </c>
      <c r="BP69" s="2">
        <f t="shared" si="8"/>
        <v>38</v>
      </c>
      <c r="BQ69" s="2">
        <f t="shared" si="19"/>
        <v>19</v>
      </c>
      <c r="BR69" s="3"/>
      <c r="BS69" s="3"/>
      <c r="BT69" s="3"/>
      <c r="BU69">
        <f t="shared" si="27"/>
        <v>1</v>
      </c>
      <c r="BV69" s="2" t="str">
        <f>CONCATENATE(
ROUND(BR69*VLOOKUP(I69,'ID Scheme'!$A$2:$E$7,3),0), "x",
ROUND(BS69*VLOOKUP(I69,'ID Scheme'!$A$2:$E$7,5),0), "x",
ROUND(BT69*VLOOKUP(I69,'ID Scheme'!$A$2:$E$7,4),0))</f>
        <v>0x0x0</v>
      </c>
    </row>
    <row r="70" spans="1:75" x14ac:dyDescent="0.25">
      <c r="A70" t="s">
        <v>88</v>
      </c>
      <c r="B70" t="s">
        <v>214</v>
      </c>
      <c r="C70" t="s">
        <v>339</v>
      </c>
      <c r="D70">
        <f>IF(F70 &gt; 2020, ((F70-2020)*4)+1610+H70,IF(F70 &gt; 1900, ((F70-1900)*10)+400+H70, ((F70-1730)*2)+H70))+VLOOKUP(I70,'ID Scheme'!$A$2:$B$7,2, FALSE)</f>
        <v>3831</v>
      </c>
      <c r="F70">
        <v>1983</v>
      </c>
      <c r="G70">
        <v>1</v>
      </c>
      <c r="H70">
        <v>1</v>
      </c>
      <c r="I70" t="s">
        <v>13</v>
      </c>
      <c r="J70">
        <v>64</v>
      </c>
      <c r="K70">
        <v>18</v>
      </c>
      <c r="L70">
        <v>19</v>
      </c>
      <c r="M70">
        <v>5</v>
      </c>
      <c r="N70">
        <v>9</v>
      </c>
      <c r="O70">
        <v>136</v>
      </c>
      <c r="P70">
        <v>20</v>
      </c>
      <c r="Q70">
        <v>1</v>
      </c>
      <c r="R70" t="s">
        <v>299</v>
      </c>
      <c r="S70">
        <v>0</v>
      </c>
      <c r="T70" s="2" t="s">
        <v>510</v>
      </c>
      <c r="U70" s="2" t="s">
        <v>343</v>
      </c>
      <c r="V70" s="2" t="s">
        <v>343</v>
      </c>
      <c r="W70" s="2"/>
      <c r="X70" s="2" t="s">
        <v>343</v>
      </c>
      <c r="Y70" s="2"/>
      <c r="Z70" s="2"/>
      <c r="AA70" s="2"/>
      <c r="AB70" s="2"/>
      <c r="AC70" s="2"/>
      <c r="AD70" s="2"/>
      <c r="AG70">
        <v>22</v>
      </c>
      <c r="AH70">
        <v>8</v>
      </c>
      <c r="AI70" s="7">
        <f>AH70*4</f>
        <v>32</v>
      </c>
      <c r="AJ70" s="7">
        <f>(AG70*1.75)-MOD((AG70*1.75), BJ70)</f>
        <v>38</v>
      </c>
      <c r="AK70" s="7">
        <f>(BL70*1.75)-MOD((BL70*1.75), BK70)</f>
        <v>38</v>
      </c>
      <c r="AL70" s="8">
        <f t="shared" si="20"/>
        <v>32</v>
      </c>
      <c r="AM70">
        <v>56</v>
      </c>
      <c r="AN70">
        <v>60</v>
      </c>
      <c r="AU70" t="s">
        <v>360</v>
      </c>
      <c r="AZ70" s="2">
        <f>(SQRT(J70*AG70)*POWER((MIN(L70,20)+SQRT(MAX(L70-20,0))),0.9)*Data!$B$1)*(1-(Q70-1))</f>
        <v>39.832799628379171</v>
      </c>
      <c r="BA70" s="2">
        <f>(POWER((J70*J70*AG70), 0.33)*LOG10(O70)*10*Data!$B$1)*Q70</f>
        <v>69.06215060093264</v>
      </c>
      <c r="BB70" s="2"/>
      <c r="BC70" s="2"/>
      <c r="BD70" s="2">
        <f>IFERROR((SQRT($J70*$AH70)*POWER((MIN($L70,20)+SQRT(MAX($L70-20,0))),0.9)*Data!$B$1)*(1 - (Q70-1)),AZ70)</f>
        <v>24.020081948498497</v>
      </c>
      <c r="BE70" s="2">
        <f>IFERROR(((POWER(($J70*$J70*$AH70), 0.33)*LOG10($AE70)*10*Data!$B$1)*Q70),BA70)</f>
        <v>69.06215060093264</v>
      </c>
      <c r="BF70" s="2">
        <f t="shared" si="12"/>
        <v>51.612903225806456</v>
      </c>
      <c r="BG70" s="2">
        <f t="shared" si="13"/>
        <v>0</v>
      </c>
      <c r="BH70" s="2">
        <f t="shared" si="14"/>
        <v>45.161290322580648</v>
      </c>
      <c r="BI70" s="2">
        <f t="shared" si="15"/>
        <v>48.387096774193552</v>
      </c>
      <c r="BJ70" s="2">
        <v>1</v>
      </c>
      <c r="BK70" s="2">
        <v>1</v>
      </c>
      <c r="BL70" s="2">
        <f t="shared" si="16"/>
        <v>22</v>
      </c>
      <c r="BM70" s="2">
        <f t="shared" si="17"/>
        <v>8</v>
      </c>
      <c r="BN70" s="2">
        <f t="shared" si="6"/>
        <v>38</v>
      </c>
      <c r="BO70" s="2">
        <f t="shared" si="18"/>
        <v>22</v>
      </c>
      <c r="BP70" s="2">
        <f t="shared" si="8"/>
        <v>32</v>
      </c>
      <c r="BQ70" s="2">
        <f t="shared" si="19"/>
        <v>8</v>
      </c>
      <c r="BR70" s="3">
        <v>7.7</v>
      </c>
      <c r="BS70" s="3">
        <v>2.2000000000000002</v>
      </c>
      <c r="BT70" s="3">
        <v>2.6</v>
      </c>
      <c r="BU70">
        <f t="shared" si="27"/>
        <v>1</v>
      </c>
      <c r="BV70" s="2" t="str">
        <f>CONCATENATE(
ROUND(BR70*VLOOKUP(I70,'ID Scheme'!$A$2:$E$7,3),0), "x",
ROUND(BS70*VLOOKUP(I70,'ID Scheme'!$A$2:$E$7,5),0), "x",
ROUND(BT70*VLOOKUP(I70,'ID Scheme'!$A$2:$E$7,4),0))</f>
        <v>72x32x25</v>
      </c>
      <c r="BW70" t="s">
        <v>89</v>
      </c>
    </row>
    <row r="71" spans="1:75" x14ac:dyDescent="0.25">
      <c r="A71" t="s">
        <v>31</v>
      </c>
      <c r="B71" t="s">
        <v>197</v>
      </c>
      <c r="C71" t="s">
        <v>339</v>
      </c>
      <c r="D71">
        <f>IF(F71 &gt; 2020, ((F71-2020)*4)+1610+H71,IF(F71 &gt; 1900, ((F71-1900)*10)+400+H71, ((F71-1730)*2)+H71))+VLOOKUP(I71,'ID Scheme'!$A$2:$B$7,2, FALSE)</f>
        <v>3861</v>
      </c>
      <c r="F71">
        <v>1986</v>
      </c>
      <c r="G71">
        <v>1</v>
      </c>
      <c r="H71">
        <v>1</v>
      </c>
      <c r="I71" t="s">
        <v>13</v>
      </c>
      <c r="J71">
        <v>62</v>
      </c>
      <c r="K71">
        <v>20</v>
      </c>
      <c r="L71">
        <v>20</v>
      </c>
      <c r="M71">
        <v>5</v>
      </c>
      <c r="N71">
        <v>9</v>
      </c>
      <c r="O71">
        <v>315</v>
      </c>
      <c r="P71">
        <v>20</v>
      </c>
      <c r="Q71">
        <v>1</v>
      </c>
      <c r="R71" t="s">
        <v>311</v>
      </c>
      <c r="S71">
        <v>3</v>
      </c>
      <c r="T71" s="2" t="s">
        <v>509</v>
      </c>
      <c r="U71" s="2" t="s">
        <v>343</v>
      </c>
      <c r="V71" s="2" t="s">
        <v>343</v>
      </c>
      <c r="W71" s="2"/>
      <c r="X71" s="2" t="s">
        <v>343</v>
      </c>
      <c r="Y71" s="2"/>
      <c r="Z71" s="2"/>
      <c r="AA71" s="2"/>
      <c r="AB71" s="2"/>
      <c r="AC71" s="2"/>
      <c r="AD71" s="2"/>
      <c r="AG71">
        <v>30</v>
      </c>
      <c r="AH71">
        <v>20</v>
      </c>
      <c r="AI71" s="6">
        <f t="shared" si="25"/>
        <v>40</v>
      </c>
      <c r="AJ71" s="6">
        <f>(AG71*1.5)-MOD((AG71*1.5), BJ70)</f>
        <v>45</v>
      </c>
      <c r="AK71" s="6">
        <f t="shared" ref="AK71:AK72" si="29">(BL71*1.5)-MOD((BL71*1.5), BK71)</f>
        <v>45</v>
      </c>
      <c r="AL71" s="8">
        <f t="shared" si="20"/>
        <v>40</v>
      </c>
      <c r="AM71">
        <v>56</v>
      </c>
      <c r="AN71">
        <v>60</v>
      </c>
      <c r="AU71" t="s">
        <v>360</v>
      </c>
      <c r="AZ71" s="2">
        <f>(SQRT(J71*AG71)*POWER((MIN(L71,20)+SQRT(MAX(L71-20,0))),0.9)*Data!$B$1)*(1-(Q71-1))</f>
        <v>47.945155509895372</v>
      </c>
      <c r="BA71" s="2">
        <f>(POWER((J71*J71*AG71), 0.33)*LOG10(O71)*10*Data!$B$1)*Q71</f>
        <v>87.727593286354292</v>
      </c>
      <c r="BB71" s="2"/>
      <c r="BC71" s="2"/>
      <c r="BD71" s="2">
        <f>IFERROR((SQRT($J71*$AH71)*POWER((MIN($L71,20)+SQRT(MAX($L71-20,0))),0.9)*Data!$B$1)*(1 - (Q71-1)),AZ71)</f>
        <v>39.147055545877699</v>
      </c>
      <c r="BE71" s="2">
        <f>IFERROR(((POWER(($J71*$J71*$AH71), 0.33)*LOG10($AE71)*10*Data!$B$1)*Q71),BA71)</f>
        <v>87.727593286354292</v>
      </c>
      <c r="BF71" s="2">
        <f t="shared" si="12"/>
        <v>50</v>
      </c>
      <c r="BG71" s="2">
        <f t="shared" si="13"/>
        <v>0</v>
      </c>
      <c r="BH71" s="2">
        <f t="shared" si="14"/>
        <v>45.161290322580648</v>
      </c>
      <c r="BI71" s="2">
        <f t="shared" si="15"/>
        <v>48.387096774193552</v>
      </c>
      <c r="BJ71" s="2">
        <v>1</v>
      </c>
      <c r="BK71" s="2">
        <v>1</v>
      </c>
      <c r="BL71" s="2">
        <f t="shared" si="16"/>
        <v>30</v>
      </c>
      <c r="BM71" s="2">
        <f t="shared" si="17"/>
        <v>20</v>
      </c>
      <c r="BN71" s="2">
        <f t="shared" si="6"/>
        <v>45</v>
      </c>
      <c r="BO71" s="2">
        <f t="shared" si="18"/>
        <v>30</v>
      </c>
      <c r="BP71" s="2">
        <f t="shared" si="8"/>
        <v>40</v>
      </c>
      <c r="BQ71" s="2">
        <f t="shared" si="19"/>
        <v>20</v>
      </c>
      <c r="BR71" s="3"/>
      <c r="BS71" s="3"/>
      <c r="BT71" s="3"/>
      <c r="BU71">
        <f t="shared" si="27"/>
        <v>3</v>
      </c>
      <c r="BV71" s="2" t="str">
        <f>CONCATENATE(
ROUND(BR71*VLOOKUP(I71,'ID Scheme'!$A$2:$E$7,3),0), "x",
ROUND(BS71*VLOOKUP(I71,'ID Scheme'!$A$2:$E$7,5),0), "x",
ROUND(BT71*VLOOKUP(I71,'ID Scheme'!$A$2:$E$7,4),0))</f>
        <v>0x0x0</v>
      </c>
    </row>
    <row r="72" spans="1:75" x14ac:dyDescent="0.25">
      <c r="A72" t="s">
        <v>16</v>
      </c>
      <c r="B72" t="s">
        <v>232</v>
      </c>
      <c r="C72" t="s">
        <v>369</v>
      </c>
      <c r="D72">
        <f>IF(F72 &gt; 2020, ((F72-2020)*4)+1610+H72,IF(F72 &gt; 1900, ((F72-1900)*10)+400+H72, ((F72-1730)*2)+H72))+VLOOKUP(I72,'ID Scheme'!$A$2:$B$7,2, FALSE)</f>
        <v>3871</v>
      </c>
      <c r="F72">
        <v>1987</v>
      </c>
      <c r="G72">
        <v>1</v>
      </c>
      <c r="H72">
        <v>1</v>
      </c>
      <c r="I72" t="s">
        <v>13</v>
      </c>
      <c r="J72">
        <v>65</v>
      </c>
      <c r="K72">
        <v>14</v>
      </c>
      <c r="L72">
        <v>15</v>
      </c>
      <c r="M72">
        <v>5</v>
      </c>
      <c r="N72">
        <v>12</v>
      </c>
      <c r="O72">
        <v>420</v>
      </c>
      <c r="P72">
        <v>18</v>
      </c>
      <c r="Q72">
        <v>1</v>
      </c>
      <c r="R72" t="s">
        <v>311</v>
      </c>
      <c r="S72">
        <v>-3</v>
      </c>
      <c r="T72" s="2" t="s">
        <v>506</v>
      </c>
      <c r="U72" s="2"/>
      <c r="V72" s="2" t="s">
        <v>343</v>
      </c>
      <c r="W72" s="2"/>
      <c r="X72" s="2" t="s">
        <v>343</v>
      </c>
      <c r="Y72" s="2"/>
      <c r="Z72" s="2"/>
      <c r="AA72" s="2"/>
      <c r="AB72" s="2"/>
      <c r="AC72" s="2" t="s">
        <v>374</v>
      </c>
      <c r="AD72" s="2"/>
      <c r="AG72">
        <v>45</v>
      </c>
      <c r="AH72">
        <v>30</v>
      </c>
      <c r="AI72" s="6">
        <f t="shared" si="25"/>
        <v>60</v>
      </c>
      <c r="AJ72" s="6">
        <f>(AG72*1.5)-MOD((AG72*1.5), BJ71)</f>
        <v>67</v>
      </c>
      <c r="AK72" s="6">
        <f t="shared" si="29"/>
        <v>21</v>
      </c>
      <c r="AL72" s="8">
        <f t="shared" si="20"/>
        <v>20</v>
      </c>
      <c r="AM72">
        <v>56</v>
      </c>
      <c r="AN72">
        <v>60</v>
      </c>
      <c r="AP72">
        <v>1</v>
      </c>
      <c r="AS72" t="s">
        <v>441</v>
      </c>
      <c r="AT72" t="s">
        <v>539</v>
      </c>
      <c r="AU72" t="s">
        <v>360</v>
      </c>
      <c r="AZ72" s="2">
        <f>(SQRT(J72*AG72)*POWER((MIN(L72,20)+SQRT(MAX(L72-20,0))),0.9)*Data!$B$1)*(1-(Q72-1))</f>
        <v>46.409440397444101</v>
      </c>
      <c r="BA72" s="2">
        <f>(POWER((J72*J72*AG72), 0.33)*LOG10(O72)*10*Data!$B$1)*Q72</f>
        <v>108.63850295590133</v>
      </c>
      <c r="BB72" s="2"/>
      <c r="BC72" s="2"/>
      <c r="BD72" s="2">
        <f>IFERROR((SQRT($J72*$AH72)*POWER((MIN($L72,20)+SQRT(MAX($L72-20,0))),0.9)*Data!$B$1)*(1 - (Q72-1)),AZ72)</f>
        <v>37.893149407282195</v>
      </c>
      <c r="BE72" s="2">
        <f>IFERROR(((POWER(($J72*$J72*$AH72), 0.33)*LOG10($AE72)*10*Data!$B$1)*Q72),BA72)</f>
        <v>108.63850295590133</v>
      </c>
      <c r="BF72" s="2">
        <f t="shared" si="12"/>
        <v>52.41935483870968</v>
      </c>
      <c r="BG72" s="2">
        <f t="shared" si="13"/>
        <v>0</v>
      </c>
      <c r="BH72" s="2">
        <f t="shared" si="14"/>
        <v>45.161290322580648</v>
      </c>
      <c r="BI72" s="2">
        <f t="shared" si="15"/>
        <v>48.387096774193552</v>
      </c>
      <c r="BJ72" s="2">
        <v>2</v>
      </c>
      <c r="BK72" s="2">
        <v>3</v>
      </c>
      <c r="BL72" s="2">
        <f t="shared" si="16"/>
        <v>15</v>
      </c>
      <c r="BM72" s="2">
        <f t="shared" si="17"/>
        <v>10</v>
      </c>
      <c r="BN72" s="2">
        <f t="shared" si="6"/>
        <v>67</v>
      </c>
      <c r="BO72" s="2">
        <f t="shared" si="18"/>
        <v>45</v>
      </c>
      <c r="BP72" s="2">
        <f t="shared" si="8"/>
        <v>60</v>
      </c>
      <c r="BQ72" s="2">
        <f t="shared" si="19"/>
        <v>30</v>
      </c>
      <c r="BR72" s="3"/>
      <c r="BS72" s="3"/>
      <c r="BT72" s="3"/>
      <c r="BU72">
        <f t="shared" si="27"/>
        <v>1</v>
      </c>
      <c r="BV72" s="2" t="str">
        <f>CONCATENATE(
ROUND(BR72*VLOOKUP(I72,'ID Scheme'!$A$2:$E$7,3),0), "x",
ROUND(BS72*VLOOKUP(I72,'ID Scheme'!$A$2:$E$7,5),0), "x",
ROUND(BT72*VLOOKUP(I72,'ID Scheme'!$A$2:$E$7,4),0))</f>
        <v>0x0x0</v>
      </c>
    </row>
    <row r="73" spans="1:75" x14ac:dyDescent="0.25">
      <c r="A73" t="s">
        <v>76</v>
      </c>
      <c r="B73" t="s">
        <v>206</v>
      </c>
      <c r="C73" t="s">
        <v>339</v>
      </c>
      <c r="D73">
        <f>IF(F73 &gt; 2020, ((F73-2020)*4)+1610+H73,IF(F73 &gt; 1900, ((F73-1900)*10)+400+H73, ((F73-1730)*2)+H73))+VLOOKUP(I73,'ID Scheme'!$A$2:$B$7,2, FALSE)</f>
        <v>3931</v>
      </c>
      <c r="F73">
        <v>1993</v>
      </c>
      <c r="G73">
        <v>1</v>
      </c>
      <c r="H73">
        <v>1</v>
      </c>
      <c r="I73" t="s">
        <v>13</v>
      </c>
      <c r="J73">
        <v>72</v>
      </c>
      <c r="K73">
        <v>-1</v>
      </c>
      <c r="L73">
        <v>18</v>
      </c>
      <c r="M73">
        <v>5</v>
      </c>
      <c r="N73">
        <v>3</v>
      </c>
      <c r="O73">
        <v>105</v>
      </c>
      <c r="P73">
        <v>20</v>
      </c>
      <c r="Q73">
        <v>1</v>
      </c>
      <c r="R73" t="s">
        <v>299</v>
      </c>
      <c r="S73">
        <v>0</v>
      </c>
      <c r="T73" s="2" t="s">
        <v>508</v>
      </c>
      <c r="U73" s="2" t="s">
        <v>343</v>
      </c>
      <c r="V73" s="2" t="s">
        <v>343</v>
      </c>
      <c r="W73" s="2"/>
      <c r="X73" s="2" t="s">
        <v>343</v>
      </c>
      <c r="Y73" s="2"/>
      <c r="Z73" s="2"/>
      <c r="AA73" s="2"/>
      <c r="AB73" s="2"/>
      <c r="AC73" s="2"/>
      <c r="AD73" s="2"/>
      <c r="AG73">
        <v>18</v>
      </c>
      <c r="AH73">
        <v>5</v>
      </c>
      <c r="AI73" s="7">
        <f>AH73*4</f>
        <v>20</v>
      </c>
      <c r="AJ73" s="7">
        <f>(AG73*1.75)-MOD((AG73*1.75), BJ73)</f>
        <v>31</v>
      </c>
      <c r="AK73" s="7">
        <f>(BL73*1.75)-MOD((BL73*1.75), BK73)</f>
        <v>31</v>
      </c>
      <c r="AL73" s="8">
        <f t="shared" si="20"/>
        <v>20</v>
      </c>
      <c r="AM73">
        <v>56</v>
      </c>
      <c r="AN73">
        <v>60</v>
      </c>
      <c r="AU73" t="s">
        <v>360</v>
      </c>
      <c r="AZ73" s="2">
        <f>(SQRT(J73*AG73)*POWER((MIN(L73,20)+SQRT(MAX(L73-20,0))),0.9)*Data!$B$1)*(1-(Q73-1))</f>
        <v>36.400639934883735</v>
      </c>
      <c r="BA73" s="2">
        <f>(POWER((J73*J73*AG73), 0.33)*LOG10(O73)*10*Data!$B$1)*Q73</f>
        <v>66.183179614250491</v>
      </c>
      <c r="BB73" s="2"/>
      <c r="BC73" s="2"/>
      <c r="BD73" s="2">
        <f>IFERROR((SQRT($J73*$AH73)*POWER((MIN($L73,20)+SQRT(MAX($L73-20,0))),0.9)*Data!$B$1)*(1 - (Q73-1)),AZ73)</f>
        <v>19.184821746985971</v>
      </c>
      <c r="BE73" s="2">
        <f>IFERROR(((POWER(($J73*$J73*$AH73), 0.33)*LOG10($AE73)*10*Data!$B$1)*Q73),BA73)</f>
        <v>66.183179614250491</v>
      </c>
      <c r="BF73" s="2">
        <f t="shared" si="12"/>
        <v>58.064516129032256</v>
      </c>
      <c r="BG73" s="2">
        <f t="shared" si="13"/>
        <v>0</v>
      </c>
      <c r="BH73" s="2">
        <f t="shared" si="14"/>
        <v>45.161290322580648</v>
      </c>
      <c r="BI73" s="2">
        <f t="shared" si="15"/>
        <v>48.387096774193552</v>
      </c>
      <c r="BJ73" s="2">
        <v>1</v>
      </c>
      <c r="BK73" s="2">
        <v>1</v>
      </c>
      <c r="BL73" s="2">
        <f t="shared" si="16"/>
        <v>18</v>
      </c>
      <c r="BM73" s="2">
        <f t="shared" si="17"/>
        <v>5</v>
      </c>
      <c r="BN73" s="2">
        <f t="shared" si="6"/>
        <v>31</v>
      </c>
      <c r="BO73" s="2">
        <f t="shared" si="18"/>
        <v>18</v>
      </c>
      <c r="BP73" s="2">
        <f t="shared" si="8"/>
        <v>20</v>
      </c>
      <c r="BQ73" s="2">
        <f t="shared" si="19"/>
        <v>5</v>
      </c>
      <c r="BR73" s="3">
        <v>6.2</v>
      </c>
      <c r="BS73" s="3">
        <v>2.2000000000000002</v>
      </c>
      <c r="BT73" s="3">
        <v>2.6</v>
      </c>
      <c r="BU73">
        <f t="shared" si="27"/>
        <v>6</v>
      </c>
      <c r="BV73" s="2" t="str">
        <f>CONCATENATE(
ROUND(BR73*VLOOKUP(I73,'ID Scheme'!$A$2:$E$7,3),0), "x",
ROUND(BS73*VLOOKUP(I73,'ID Scheme'!$A$2:$E$7,5),0), "x",
ROUND(BT73*VLOOKUP(I73,'ID Scheme'!$A$2:$E$7,4),0))</f>
        <v>58x32x25</v>
      </c>
      <c r="BW73" t="s">
        <v>82</v>
      </c>
    </row>
    <row r="74" spans="1:75" x14ac:dyDescent="0.25">
      <c r="A74" t="s">
        <v>17</v>
      </c>
      <c r="B74" t="s">
        <v>233</v>
      </c>
      <c r="C74" t="s">
        <v>369</v>
      </c>
      <c r="D74">
        <f>IF(F74 &gt; 2020, ((F74-2020)*4)+1610+H74,IF(F74 &gt; 1900, ((F74-1900)*10)+400+H74, ((F74-1730)*2)+H74))+VLOOKUP(I74,'ID Scheme'!$A$2:$B$7,2, FALSE)</f>
        <v>3951</v>
      </c>
      <c r="F74">
        <v>1995</v>
      </c>
      <c r="G74">
        <v>6</v>
      </c>
      <c r="H74">
        <v>1</v>
      </c>
      <c r="I74" t="s">
        <v>13</v>
      </c>
      <c r="J74">
        <v>68</v>
      </c>
      <c r="K74">
        <v>12</v>
      </c>
      <c r="L74">
        <v>15</v>
      </c>
      <c r="M74">
        <v>5</v>
      </c>
      <c r="N74">
        <v>12.5</v>
      </c>
      <c r="O74">
        <v>420</v>
      </c>
      <c r="P74">
        <v>20</v>
      </c>
      <c r="Q74">
        <v>1</v>
      </c>
      <c r="R74" t="s">
        <v>311</v>
      </c>
      <c r="S74">
        <v>-3</v>
      </c>
      <c r="T74" s="2" t="s">
        <v>507</v>
      </c>
      <c r="U74" s="2"/>
      <c r="V74" s="2" t="s">
        <v>343</v>
      </c>
      <c r="W74" s="2"/>
      <c r="X74" s="2" t="s">
        <v>343</v>
      </c>
      <c r="Y74" s="2"/>
      <c r="Z74" s="2"/>
      <c r="AA74" s="2"/>
      <c r="AB74" s="2"/>
      <c r="AC74" s="2" t="s">
        <v>374</v>
      </c>
      <c r="AD74" s="2"/>
      <c r="AG74">
        <v>48</v>
      </c>
      <c r="AH74">
        <v>30</v>
      </c>
      <c r="AI74" s="6">
        <f t="shared" si="25"/>
        <v>60</v>
      </c>
      <c r="AJ74" s="6">
        <f>(AG74*1.5)-MOD((AG74*1.5), BJ73)</f>
        <v>72</v>
      </c>
      <c r="AK74" s="6">
        <f t="shared" ref="AK74:AK76" si="30">(BL74*1.5)-MOD((BL74*1.5), BK74)</f>
        <v>24</v>
      </c>
      <c r="AL74" s="8">
        <f t="shared" si="20"/>
        <v>20</v>
      </c>
      <c r="AM74">
        <v>56</v>
      </c>
      <c r="AN74">
        <v>60</v>
      </c>
      <c r="AP74">
        <v>1</v>
      </c>
      <c r="AS74" t="s">
        <v>441</v>
      </c>
      <c r="AT74" t="s">
        <v>539</v>
      </c>
      <c r="AU74" t="s">
        <v>360</v>
      </c>
      <c r="AZ74" s="2">
        <f>(SQRT(J74*AG74)*POWER((MIN(L74,20)+SQRT(MAX(L74-20,0))),0.9)*Data!$B$1)*(1-(Q74-1))</f>
        <v>49.025098123917665</v>
      </c>
      <c r="BA74" s="2">
        <f>(POWER((J74*J74*AG74), 0.33)*LOG10(O74)*10*Data!$B$1)*Q74</f>
        <v>114.33160972754995</v>
      </c>
      <c r="BB74" s="2"/>
      <c r="BC74" s="2"/>
      <c r="BD74" s="2">
        <f>IFERROR((SQRT($J74*$AH74)*POWER((MIN($L74,20)+SQRT(MAX($L74-20,0))),0.9)*Data!$B$1)*(1 - (Q74-1)),AZ74)</f>
        <v>38.757743146206884</v>
      </c>
      <c r="BE74" s="2">
        <f>IFERROR(((POWER(($J74*$J74*$AH74), 0.33)*LOG10($AE74)*10*Data!$B$1)*Q74),BA74)</f>
        <v>114.33160972754995</v>
      </c>
      <c r="BF74" s="2">
        <f t="shared" si="12"/>
        <v>54.838709677419352</v>
      </c>
      <c r="BG74" s="2">
        <f t="shared" si="13"/>
        <v>0</v>
      </c>
      <c r="BH74" s="2">
        <f t="shared" si="14"/>
        <v>45.161290322580648</v>
      </c>
      <c r="BI74" s="2">
        <f t="shared" si="15"/>
        <v>48.387096774193552</v>
      </c>
      <c r="BJ74" s="2">
        <v>2</v>
      </c>
      <c r="BK74" s="2">
        <v>3</v>
      </c>
      <c r="BL74" s="2">
        <f t="shared" si="16"/>
        <v>16</v>
      </c>
      <c r="BM74" s="2">
        <f t="shared" si="17"/>
        <v>10</v>
      </c>
      <c r="BN74" s="2">
        <f t="shared" si="6"/>
        <v>72</v>
      </c>
      <c r="BO74" s="2">
        <f t="shared" si="18"/>
        <v>48</v>
      </c>
      <c r="BP74" s="2">
        <f t="shared" si="8"/>
        <v>60</v>
      </c>
      <c r="BQ74" s="2">
        <f t="shared" si="19"/>
        <v>30</v>
      </c>
      <c r="BR74" s="3"/>
      <c r="BS74" s="3"/>
      <c r="BT74" s="3"/>
      <c r="BU74">
        <f t="shared" si="27"/>
        <v>2</v>
      </c>
      <c r="BV74" s="2" t="str">
        <f>CONCATENATE(
ROUND(BR74*VLOOKUP(I74,'ID Scheme'!$A$2:$E$7,3),0), "x",
ROUND(BS74*VLOOKUP(I74,'ID Scheme'!$A$2:$E$7,5),0), "x",
ROUND(BT74*VLOOKUP(I74,'ID Scheme'!$A$2:$E$7,4),0))</f>
        <v>0x0x0</v>
      </c>
    </row>
    <row r="75" spans="1:75" x14ac:dyDescent="0.25">
      <c r="A75" t="s">
        <v>15</v>
      </c>
      <c r="B75" t="s">
        <v>199</v>
      </c>
      <c r="C75" t="s">
        <v>339</v>
      </c>
      <c r="D75">
        <f>IF(F75 &gt; 2020, ((F75-2020)*4)+1610+H75,IF(F75 &gt; 1900, ((F75-1900)*10)+400+H75, ((F75-1730)*2)+H75))+VLOOKUP(I75,'ID Scheme'!$A$2:$B$7,2, FALSE)</f>
        <v>3971</v>
      </c>
      <c r="F75">
        <v>1997</v>
      </c>
      <c r="G75">
        <v>1</v>
      </c>
      <c r="H75">
        <v>1</v>
      </c>
      <c r="I75" t="s">
        <v>13</v>
      </c>
      <c r="J75">
        <v>70</v>
      </c>
      <c r="K75">
        <v>-1</v>
      </c>
      <c r="L75">
        <v>15</v>
      </c>
      <c r="M75">
        <v>5</v>
      </c>
      <c r="N75">
        <v>9</v>
      </c>
      <c r="O75">
        <v>405</v>
      </c>
      <c r="P75">
        <v>20</v>
      </c>
      <c r="Q75">
        <v>1</v>
      </c>
      <c r="R75" t="s">
        <v>311</v>
      </c>
      <c r="S75">
        <v>3</v>
      </c>
      <c r="T75" s="2" t="s">
        <v>505</v>
      </c>
      <c r="U75" s="2" t="s">
        <v>343</v>
      </c>
      <c r="V75" s="2" t="s">
        <v>343</v>
      </c>
      <c r="W75" s="2"/>
      <c r="X75" s="2" t="s">
        <v>343</v>
      </c>
      <c r="Y75" s="2"/>
      <c r="Z75" s="2"/>
      <c r="AA75" s="2"/>
      <c r="AB75" s="2"/>
      <c r="AC75" s="2"/>
      <c r="AD75" s="2"/>
      <c r="AG75">
        <v>32</v>
      </c>
      <c r="AH75">
        <v>23</v>
      </c>
      <c r="AI75" s="6">
        <f t="shared" si="25"/>
        <v>46</v>
      </c>
      <c r="AJ75" s="6">
        <f>(AG75*1.5)-MOD((AG75*1.5), BJ74)</f>
        <v>48</v>
      </c>
      <c r="AK75" s="6">
        <f t="shared" si="30"/>
        <v>48</v>
      </c>
      <c r="AL75" s="8">
        <f t="shared" si="20"/>
        <v>46</v>
      </c>
      <c r="AM75">
        <v>56</v>
      </c>
      <c r="AN75">
        <v>60</v>
      </c>
      <c r="AU75" t="s">
        <v>360</v>
      </c>
      <c r="AZ75" s="2">
        <f>(SQRT(J75*AG75)*POWER((MIN(L75,20)+SQRT(MAX(L75-20,0))),0.9)*Data!$B$1)*(1-(Q75-1))</f>
        <v>40.613218318644378</v>
      </c>
      <c r="BA75" s="2">
        <f>(POWER((J75*J75*AG75), 0.33)*LOG10(O75)*10*Data!$B$1)*Q75</f>
        <v>101.33099065775636</v>
      </c>
      <c r="BB75" s="2"/>
      <c r="BC75" s="2"/>
      <c r="BD75" s="2">
        <f>IFERROR((SQRT($J75*$AH75)*POWER((MIN($L75,20)+SQRT(MAX($L75-20,0))),0.9)*Data!$B$1)*(1 - (Q75-1)),AZ75)</f>
        <v>34.431531039219266</v>
      </c>
      <c r="BE75" s="2">
        <f>IFERROR(((POWER(($J75*$J75*$AH75), 0.33)*LOG10($AE75)*10*Data!$B$1)*Q75),BA75)</f>
        <v>101.33099065775636</v>
      </c>
      <c r="BF75" s="2">
        <f t="shared" ref="BF75:BF106" si="31">J75/1.24</f>
        <v>56.451612903225808</v>
      </c>
      <c r="BG75" s="2">
        <f t="shared" ref="BG75:BG106" si="32">AF75/1.24</f>
        <v>0</v>
      </c>
      <c r="BH75" s="2">
        <f t="shared" ref="BH75:BH106" si="33">AM75/1.24</f>
        <v>45.161290322580648</v>
      </c>
      <c r="BI75" s="2">
        <f t="shared" ref="BI75:BI106" si="34">AN75/1.24</f>
        <v>48.387096774193552</v>
      </c>
      <c r="BJ75" s="2">
        <v>1</v>
      </c>
      <c r="BK75" s="2">
        <v>1</v>
      </c>
      <c r="BL75" s="2">
        <f t="shared" ref="BL75:BL106" si="35">AG75/BK75</f>
        <v>32</v>
      </c>
      <c r="BM75" s="2">
        <f t="shared" ref="BM75:BM106" si="36">AH75/BK75</f>
        <v>23</v>
      </c>
      <c r="BN75" s="2">
        <f t="shared" ref="BN75:BN125" si="37">IF(AJ75 &gt; 0, (AJ75)/MAX(BJ75-1, 1), -1)</f>
        <v>48</v>
      </c>
      <c r="BO75" s="2">
        <f t="shared" ref="BO75:BO106" si="38">(AG75)/MAX(BJ75-1, 1)</f>
        <v>32</v>
      </c>
      <c r="BP75" s="2">
        <f t="shared" ref="BP75:BP79" si="39">IF(AI75 &gt; 0, (AI75)/MAX(BJ75-1, 1), -1)</f>
        <v>46</v>
      </c>
      <c r="BQ75" s="2">
        <f t="shared" ref="BQ75:BQ106" si="40">IF(AH75 &gt; 0, (AH75)/MAX(BJ75-1, 1), -1)</f>
        <v>23</v>
      </c>
      <c r="BR75" s="3"/>
      <c r="BS75" s="3"/>
      <c r="BT75" s="3"/>
      <c r="BU75">
        <f t="shared" si="27"/>
        <v>2</v>
      </c>
      <c r="BV75" s="2" t="str">
        <f>CONCATENATE(
ROUND(BR75*VLOOKUP(I75,'ID Scheme'!$A$2:$E$7,3),0), "x",
ROUND(BS75*VLOOKUP(I75,'ID Scheme'!$A$2:$E$7,5),0), "x",
ROUND(BT75*VLOOKUP(I75,'ID Scheme'!$A$2:$E$7,4),0))</f>
        <v>0x0x0</v>
      </c>
    </row>
    <row r="76" spans="1:75" x14ac:dyDescent="0.25">
      <c r="A76" t="s">
        <v>84</v>
      </c>
      <c r="B76" t="s">
        <v>217</v>
      </c>
      <c r="C76" t="s">
        <v>369</v>
      </c>
      <c r="D76">
        <f>IF(F76 &gt; 2020, ((F76-2020)*4)+1610+H76,IF(F76 &gt; 1900, ((F76-1900)*10)+400+H76, ((F76-1730)*2)+H76))+VLOOKUP(I76,'ID Scheme'!$A$2:$B$7,2, FALSE)</f>
        <v>4011</v>
      </c>
      <c r="F76">
        <v>2001</v>
      </c>
      <c r="G76">
        <v>1</v>
      </c>
      <c r="H76">
        <v>1</v>
      </c>
      <c r="I76" t="s">
        <v>13</v>
      </c>
      <c r="J76">
        <v>70</v>
      </c>
      <c r="K76">
        <v>14</v>
      </c>
      <c r="L76">
        <v>14</v>
      </c>
      <c r="M76">
        <v>5</v>
      </c>
      <c r="N76">
        <v>12.5</v>
      </c>
      <c r="O76">
        <v>440</v>
      </c>
      <c r="P76">
        <v>20</v>
      </c>
      <c r="Q76">
        <v>0.97</v>
      </c>
      <c r="R76" t="s">
        <v>299</v>
      </c>
      <c r="S76">
        <v>-3</v>
      </c>
      <c r="T76" s="2" t="s">
        <v>504</v>
      </c>
      <c r="U76" s="2"/>
      <c r="V76" s="2" t="s">
        <v>343</v>
      </c>
      <c r="W76" s="2"/>
      <c r="X76" s="2" t="s">
        <v>343</v>
      </c>
      <c r="Y76" s="2"/>
      <c r="Z76" s="2"/>
      <c r="AA76" s="2"/>
      <c r="AB76" s="2"/>
      <c r="AC76" s="2" t="s">
        <v>374</v>
      </c>
      <c r="AD76" s="2"/>
      <c r="AG76">
        <v>51</v>
      </c>
      <c r="AH76">
        <v>30</v>
      </c>
      <c r="AI76" s="6">
        <f t="shared" si="25"/>
        <v>60</v>
      </c>
      <c r="AJ76" s="6">
        <f>(AG76*1.5)-MOD((AG76*1.5), BJ75)</f>
        <v>76</v>
      </c>
      <c r="AK76" s="6">
        <f t="shared" si="30"/>
        <v>24</v>
      </c>
      <c r="AL76" s="8">
        <f t="shared" si="20"/>
        <v>20</v>
      </c>
      <c r="AM76">
        <v>56</v>
      </c>
      <c r="AN76">
        <v>60</v>
      </c>
      <c r="AP76">
        <v>1</v>
      </c>
      <c r="AS76" t="s">
        <v>441</v>
      </c>
      <c r="AT76" t="s">
        <v>539</v>
      </c>
      <c r="AU76" t="s">
        <v>360</v>
      </c>
      <c r="AZ76" s="2">
        <f>(SQRT(J76*AG76)*POWER((MIN(L76,20)+SQRT(MAX(L76-20,0))),0.9)*Data!$B$1)*(1-(Q76-1))</f>
        <v>49.630406036450424</v>
      </c>
      <c r="BA76" s="2">
        <f>(POWER((J76*J76*AG76), 0.33)*LOG10(O76)*10*Data!$B$1)*Q76</f>
        <v>116.21639568567561</v>
      </c>
      <c r="BB76" s="2"/>
      <c r="BC76" s="2"/>
      <c r="BD76" s="2">
        <f>IFERROR((SQRT($J76*$AH76)*POWER((MIN($L76,20)+SQRT(MAX($L76-20,0))),0.9)*Data!$B$1)*(1 - (Q76-1)),AZ76)</f>
        <v>38.064783812236662</v>
      </c>
      <c r="BE76" s="2">
        <f>IFERROR(((POWER(($J76*$J76*$AH76), 0.33)*LOG10($AE76)*10*Data!$B$1)*Q76),BA76)</f>
        <v>116.21639568567561</v>
      </c>
      <c r="BF76" s="2">
        <f t="shared" si="31"/>
        <v>56.451612903225808</v>
      </c>
      <c r="BG76" s="2">
        <f t="shared" si="32"/>
        <v>0</v>
      </c>
      <c r="BH76" s="2">
        <f t="shared" si="33"/>
        <v>45.161290322580648</v>
      </c>
      <c r="BI76" s="2">
        <f t="shared" si="34"/>
        <v>48.387096774193552</v>
      </c>
      <c r="BJ76" s="2">
        <v>2</v>
      </c>
      <c r="BK76" s="2">
        <v>3</v>
      </c>
      <c r="BL76" s="2">
        <f t="shared" si="35"/>
        <v>17</v>
      </c>
      <c r="BM76" s="2">
        <f t="shared" si="36"/>
        <v>10</v>
      </c>
      <c r="BN76" s="2">
        <f t="shared" si="37"/>
        <v>76</v>
      </c>
      <c r="BO76" s="2">
        <f t="shared" si="38"/>
        <v>51</v>
      </c>
      <c r="BP76" s="2">
        <f t="shared" si="39"/>
        <v>60</v>
      </c>
      <c r="BQ76" s="2">
        <f t="shared" si="40"/>
        <v>30</v>
      </c>
      <c r="BR76" s="3"/>
      <c r="BS76" s="3"/>
      <c r="BT76" s="3"/>
      <c r="BU76">
        <f t="shared" si="27"/>
        <v>4</v>
      </c>
      <c r="BV76" s="2" t="str">
        <f>CONCATENATE(
ROUND(BR76*VLOOKUP(I76,'ID Scheme'!$A$2:$E$7,3),0), "x",
ROUND(BS76*VLOOKUP(I76,'ID Scheme'!$A$2:$E$7,5),0), "x",
ROUND(BT76*VLOOKUP(I76,'ID Scheme'!$A$2:$E$7,4),0))</f>
        <v>0x0x0</v>
      </c>
    </row>
    <row r="77" spans="1:75" x14ac:dyDescent="0.25">
      <c r="A77" t="s">
        <v>90</v>
      </c>
      <c r="B77" t="s">
        <v>194</v>
      </c>
      <c r="C77" t="s">
        <v>339</v>
      </c>
      <c r="D77">
        <f>IF(F77 &gt; 2020, ((F77-2020)*4)+1610+H77,IF(F77 &gt; 1900, ((F77-1900)*10)+400+H77, ((F77-1730)*2)+H77))+VLOOKUP(I77,'ID Scheme'!$A$2:$B$7,2, FALSE)</f>
        <v>4012</v>
      </c>
      <c r="F77">
        <v>2001</v>
      </c>
      <c r="G77">
        <v>1</v>
      </c>
      <c r="H77">
        <v>2</v>
      </c>
      <c r="I77" t="s">
        <v>13</v>
      </c>
      <c r="J77">
        <v>75</v>
      </c>
      <c r="K77">
        <v>-1</v>
      </c>
      <c r="L77">
        <v>18</v>
      </c>
      <c r="M77">
        <v>5</v>
      </c>
      <c r="N77">
        <v>9</v>
      </c>
      <c r="O77">
        <v>207</v>
      </c>
      <c r="P77">
        <v>20</v>
      </c>
      <c r="Q77">
        <v>1</v>
      </c>
      <c r="R77" t="s">
        <v>299</v>
      </c>
      <c r="S77">
        <v>0</v>
      </c>
      <c r="T77" s="2" t="s">
        <v>503</v>
      </c>
      <c r="U77" s="2" t="s">
        <v>343</v>
      </c>
      <c r="V77" s="2" t="s">
        <v>343</v>
      </c>
      <c r="W77" s="2"/>
      <c r="X77" s="2" t="s">
        <v>343</v>
      </c>
      <c r="Y77" s="2"/>
      <c r="Z77" s="2"/>
      <c r="AA77" s="2"/>
      <c r="AB77" s="2"/>
      <c r="AC77" s="2"/>
      <c r="AD77" s="2"/>
      <c r="AG77">
        <v>24</v>
      </c>
      <c r="AH77">
        <v>8</v>
      </c>
      <c r="AI77" s="7">
        <f>AH77*4</f>
        <v>32</v>
      </c>
      <c r="AJ77" s="7">
        <f>(AG77*1.75)-MOD((AG77*1.75), BJ77)</f>
        <v>42</v>
      </c>
      <c r="AK77" s="7">
        <f>(BL77*1.75)-MOD((BL77*1.75), BK77)</f>
        <v>42</v>
      </c>
      <c r="AL77" s="8">
        <f t="shared" si="20"/>
        <v>32</v>
      </c>
      <c r="AM77">
        <v>56</v>
      </c>
      <c r="AN77">
        <v>60</v>
      </c>
      <c r="AU77" t="s">
        <v>360</v>
      </c>
      <c r="AZ77" s="2">
        <f>(SQRT(J77*AG77)*POWER((MIN(L77,20)+SQRT(MAX(L77-20,0))),0.9)*Data!$B$1)*(1-(Q77-1))</f>
        <v>42.898565562476904</v>
      </c>
      <c r="BA77" s="2">
        <f>(POWER((J77*J77*AG77), 0.33)*LOG10(O77)*10*Data!$B$1)*Q77</f>
        <v>85.665193700262009</v>
      </c>
      <c r="BB77" s="2"/>
      <c r="BC77" s="2"/>
      <c r="BD77" s="2">
        <f>IFERROR((SQRT($J77*$AH77)*POWER((MIN($L77,20)+SQRT(MAX($L77-20,0))),0.9)*Data!$B$1)*(1 - (Q77-1)),AZ77)</f>
        <v>24.767498375344847</v>
      </c>
      <c r="BE77" s="2">
        <f>IFERROR(((POWER(($J77*$J77*$AH77), 0.33)*LOG10($AE77)*10*Data!$B$1)*Q77),BA77)</f>
        <v>85.665193700262009</v>
      </c>
      <c r="BF77" s="2">
        <f t="shared" si="31"/>
        <v>60.483870967741936</v>
      </c>
      <c r="BG77" s="2">
        <f t="shared" si="32"/>
        <v>0</v>
      </c>
      <c r="BH77" s="2">
        <f t="shared" si="33"/>
        <v>45.161290322580648</v>
      </c>
      <c r="BI77" s="2">
        <f t="shared" si="34"/>
        <v>48.387096774193552</v>
      </c>
      <c r="BJ77" s="2">
        <v>1</v>
      </c>
      <c r="BK77" s="2">
        <v>1</v>
      </c>
      <c r="BL77" s="2">
        <f t="shared" si="35"/>
        <v>24</v>
      </c>
      <c r="BM77" s="2">
        <f t="shared" si="36"/>
        <v>8</v>
      </c>
      <c r="BN77" s="2">
        <f t="shared" si="37"/>
        <v>42</v>
      </c>
      <c r="BO77" s="2">
        <f t="shared" si="38"/>
        <v>24</v>
      </c>
      <c r="BP77" s="2">
        <f t="shared" si="39"/>
        <v>32</v>
      </c>
      <c r="BQ77" s="2">
        <f t="shared" si="40"/>
        <v>8</v>
      </c>
      <c r="BR77" s="3">
        <v>8.5</v>
      </c>
      <c r="BS77" s="3">
        <v>2.2000000000000002</v>
      </c>
      <c r="BT77" s="3">
        <v>2.6</v>
      </c>
      <c r="BU77">
        <f t="shared" si="27"/>
        <v>0</v>
      </c>
      <c r="BV77" s="2" t="str">
        <f>CONCATENATE(
ROUND(BR77*VLOOKUP(I77,'ID Scheme'!$A$2:$E$7,3),0), "x",
ROUND(BS77*VLOOKUP(I77,'ID Scheme'!$A$2:$E$7,5),0), "x",
ROUND(BT77*VLOOKUP(I77,'ID Scheme'!$A$2:$E$7,4),0))</f>
        <v>79x32x25</v>
      </c>
      <c r="BW77" t="s">
        <v>91</v>
      </c>
    </row>
    <row r="78" spans="1:75" x14ac:dyDescent="0.25">
      <c r="A78" t="s">
        <v>18</v>
      </c>
      <c r="B78" t="s">
        <v>234</v>
      </c>
      <c r="C78" t="s">
        <v>369</v>
      </c>
      <c r="D78">
        <f>IF(F78 &gt; 2020, ((F78-2020)*4)+1610+H78,IF(F78 &gt; 1900, ((F78-1900)*10)+400+H78, ((F78-1730)*2)+H78))+VLOOKUP(I78,'ID Scheme'!$A$2:$B$7,2, FALSE)</f>
        <v>4041</v>
      </c>
      <c r="F78">
        <v>2004</v>
      </c>
      <c r="G78">
        <v>6</v>
      </c>
      <c r="H78">
        <v>1</v>
      </c>
      <c r="I78" t="s">
        <v>13</v>
      </c>
      <c r="J78">
        <v>72</v>
      </c>
      <c r="K78">
        <v>-1</v>
      </c>
      <c r="L78">
        <v>15</v>
      </c>
      <c r="M78">
        <v>5</v>
      </c>
      <c r="N78">
        <v>12.5</v>
      </c>
      <c r="O78">
        <v>580</v>
      </c>
      <c r="P78">
        <v>20</v>
      </c>
      <c r="Q78">
        <v>1</v>
      </c>
      <c r="R78" t="s">
        <v>311</v>
      </c>
      <c r="S78">
        <v>-3</v>
      </c>
      <c r="T78" s="2" t="s">
        <v>502</v>
      </c>
      <c r="U78" s="2"/>
      <c r="V78" s="2" t="s">
        <v>343</v>
      </c>
      <c r="W78" s="2"/>
      <c r="X78" s="2" t="s">
        <v>343</v>
      </c>
      <c r="Y78" s="2"/>
      <c r="Z78" s="2"/>
      <c r="AA78" s="2"/>
      <c r="AB78" s="2"/>
      <c r="AC78" s="2" t="s">
        <v>374</v>
      </c>
      <c r="AD78" s="2"/>
      <c r="AG78">
        <v>54</v>
      </c>
      <c r="AH78">
        <v>30</v>
      </c>
      <c r="AI78" s="6">
        <f t="shared" si="25"/>
        <v>60</v>
      </c>
      <c r="AJ78" s="6">
        <f>(AG78*1.5)-MOD((AG78*1.5), BJ77)</f>
        <v>81</v>
      </c>
      <c r="AK78" s="6">
        <f>(BL78*1.5)-MOD((BL78*1.5), BK78)</f>
        <v>27</v>
      </c>
      <c r="AL78" s="8">
        <f t="shared" si="20"/>
        <v>20</v>
      </c>
      <c r="AM78">
        <v>56</v>
      </c>
      <c r="AN78">
        <v>60</v>
      </c>
      <c r="AP78">
        <v>1</v>
      </c>
      <c r="AS78" t="s">
        <v>441</v>
      </c>
      <c r="AT78" t="s">
        <v>539</v>
      </c>
      <c r="AU78" t="s">
        <v>360</v>
      </c>
      <c r="AZ78" s="2">
        <f>(SQRT(J78*AG78)*POWER((MIN(L78,20)+SQRT(MAX(L78-20,0))),0.9)*Data!$B$1)*(1-(Q78-1))</f>
        <v>53.506497671783663</v>
      </c>
      <c r="BA78" s="2">
        <f>(POWER((J78*J78*AG78), 0.33)*LOG10(O78)*10*Data!$B$1)*Q78</f>
        <v>130.02857541304473</v>
      </c>
      <c r="BB78" s="2"/>
      <c r="BC78" s="2"/>
      <c r="BD78" s="2">
        <f>IFERROR((SQRT($J78*$AH78)*POWER((MIN($L78,20)+SQRT(MAX($L78-20,0))),0.9)*Data!$B$1)*(1 - (Q78-1)),AZ78)</f>
        <v>39.881388677347502</v>
      </c>
      <c r="BE78" s="2">
        <f>IFERROR(((POWER(($J78*$J78*$AH78), 0.33)*LOG10($AE78)*10*Data!$B$1)*Q78),BA78)</f>
        <v>130.02857541304473</v>
      </c>
      <c r="BF78" s="2">
        <f t="shared" si="31"/>
        <v>58.064516129032256</v>
      </c>
      <c r="BG78" s="2">
        <f t="shared" si="32"/>
        <v>0</v>
      </c>
      <c r="BH78" s="2">
        <f t="shared" si="33"/>
        <v>45.161290322580648</v>
      </c>
      <c r="BI78" s="2">
        <f t="shared" si="34"/>
        <v>48.387096774193552</v>
      </c>
      <c r="BJ78" s="2">
        <v>2</v>
      </c>
      <c r="BK78" s="2">
        <v>3</v>
      </c>
      <c r="BL78" s="2">
        <f t="shared" si="35"/>
        <v>18</v>
      </c>
      <c r="BM78" s="2">
        <f t="shared" si="36"/>
        <v>10</v>
      </c>
      <c r="BN78" s="2">
        <f t="shared" si="37"/>
        <v>81</v>
      </c>
      <c r="BO78" s="2">
        <f t="shared" si="38"/>
        <v>54</v>
      </c>
      <c r="BP78" s="2">
        <f t="shared" si="39"/>
        <v>60</v>
      </c>
      <c r="BQ78" s="2">
        <f t="shared" si="40"/>
        <v>30</v>
      </c>
      <c r="BR78" s="3"/>
      <c r="BS78" s="3"/>
      <c r="BT78" s="3"/>
      <c r="BU78">
        <f t="shared" si="27"/>
        <v>3</v>
      </c>
      <c r="BV78" s="2" t="str">
        <f>CONCATENATE(
ROUND(BR78*VLOOKUP(I78,'ID Scheme'!$A$2:$E$7,3),0), "x",
ROUND(BS78*VLOOKUP(I78,'ID Scheme'!$A$2:$E$7,5),0), "x",
ROUND(BT78*VLOOKUP(I78,'ID Scheme'!$A$2:$E$7,4),0))</f>
        <v>0x0x0</v>
      </c>
    </row>
    <row r="79" spans="1:75" x14ac:dyDescent="0.25">
      <c r="A79" t="s">
        <v>77</v>
      </c>
      <c r="B79" t="s">
        <v>216</v>
      </c>
      <c r="C79" t="s">
        <v>339</v>
      </c>
      <c r="D79">
        <f>IF(F79 &gt; 2020, ((F79-2020)*4)+1610+H79,IF(F79 &gt; 1900, ((F79-1900)*10)+400+H79, ((F79-1730)*2)+H79))+VLOOKUP(I79,'ID Scheme'!$A$2:$B$7,2, FALSE)</f>
        <v>4051</v>
      </c>
      <c r="F79">
        <v>2005</v>
      </c>
      <c r="G79">
        <v>1</v>
      </c>
      <c r="H79">
        <v>1</v>
      </c>
      <c r="I79" t="s">
        <v>13</v>
      </c>
      <c r="J79">
        <v>80</v>
      </c>
      <c r="K79">
        <v>-1</v>
      </c>
      <c r="L79">
        <v>19</v>
      </c>
      <c r="M79">
        <v>5</v>
      </c>
      <c r="N79">
        <v>3</v>
      </c>
      <c r="O79">
        <v>175</v>
      </c>
      <c r="P79">
        <v>20</v>
      </c>
      <c r="Q79">
        <v>1</v>
      </c>
      <c r="R79" t="s">
        <v>299</v>
      </c>
      <c r="S79">
        <v>0</v>
      </c>
      <c r="T79" s="2" t="s">
        <v>501</v>
      </c>
      <c r="U79" s="2" t="s">
        <v>343</v>
      </c>
      <c r="V79" s="2" t="s">
        <v>343</v>
      </c>
      <c r="W79" s="2"/>
      <c r="X79" s="2" t="s">
        <v>343</v>
      </c>
      <c r="Y79" s="2"/>
      <c r="Z79" s="2"/>
      <c r="AA79" s="2"/>
      <c r="AB79" s="2"/>
      <c r="AC79" s="2"/>
      <c r="AD79" s="2"/>
      <c r="AG79">
        <v>18</v>
      </c>
      <c r="AH79">
        <v>4</v>
      </c>
      <c r="AI79" s="7">
        <f>AH79*4</f>
        <v>16</v>
      </c>
      <c r="AJ79" s="7">
        <f>(AG79*1.75)-MOD((AG79*1.75), BJ79)</f>
        <v>31</v>
      </c>
      <c r="AK79" s="7">
        <f>(BL79*1.75)-MOD((BL79*1.75), BK79)</f>
        <v>31</v>
      </c>
      <c r="AL79" s="8">
        <f t="shared" si="20"/>
        <v>16</v>
      </c>
      <c r="AN79">
        <v>60</v>
      </c>
      <c r="AU79" t="s">
        <v>360</v>
      </c>
      <c r="AZ79" s="2">
        <f>(SQRT(J79*AG79)*POWER((MIN(L79,20)+SQRT(MAX(L79-20,0))),0.9)*Data!$B$1)*(1-(Q79-1))</f>
        <v>40.282902046468678</v>
      </c>
      <c r="BA79" s="2">
        <f>(POWER((J79*J79*AG79), 0.33)*LOG10(O79)*10*Data!$B$1)*Q79</f>
        <v>78.736702415748411</v>
      </c>
      <c r="BB79" s="2"/>
      <c r="BC79" s="2"/>
      <c r="BD79" s="2">
        <f>IFERROR((SQRT($J79*$AH79)*POWER((MIN($L79,20)+SQRT(MAX($L79-20,0))),0.9)*Data!$B$1)*(1 - (Q79-1)),AZ79)</f>
        <v>18.989542135287639</v>
      </c>
      <c r="BE79" s="2">
        <f>IFERROR(((POWER(($J79*$J79*$AH79), 0.33)*LOG10($AE79)*10*Data!$B$1)*Q79),BA79)</f>
        <v>78.736702415748411</v>
      </c>
      <c r="BF79" s="2">
        <f t="shared" si="31"/>
        <v>64.516129032258064</v>
      </c>
      <c r="BG79" s="2">
        <f t="shared" si="32"/>
        <v>0</v>
      </c>
      <c r="BH79" s="2">
        <f t="shared" si="33"/>
        <v>0</v>
      </c>
      <c r="BI79" s="2">
        <f t="shared" si="34"/>
        <v>48.387096774193552</v>
      </c>
      <c r="BJ79" s="2">
        <v>1</v>
      </c>
      <c r="BK79" s="2">
        <v>1</v>
      </c>
      <c r="BL79" s="2">
        <f t="shared" si="35"/>
        <v>18</v>
      </c>
      <c r="BM79" s="2">
        <f t="shared" si="36"/>
        <v>4</v>
      </c>
      <c r="BN79" s="2">
        <f t="shared" si="37"/>
        <v>31</v>
      </c>
      <c r="BO79" s="2">
        <f t="shared" si="38"/>
        <v>18</v>
      </c>
      <c r="BP79" s="2">
        <f t="shared" si="39"/>
        <v>16</v>
      </c>
      <c r="BQ79" s="2">
        <f t="shared" si="40"/>
        <v>4</v>
      </c>
      <c r="BR79" s="3">
        <v>6.2</v>
      </c>
      <c r="BS79" s="3">
        <v>2.2000000000000002</v>
      </c>
      <c r="BT79" s="3">
        <v>2.6</v>
      </c>
      <c r="BU79">
        <f t="shared" si="27"/>
        <v>1</v>
      </c>
      <c r="BV79" s="2" t="str">
        <f>CONCATENATE(
ROUND(BR79*VLOOKUP(I79,'ID Scheme'!$A$2:$E$7,3),0), "x",
ROUND(BS79*VLOOKUP(I79,'ID Scheme'!$A$2:$E$7,5),0), "x",
ROUND(BT79*VLOOKUP(I79,'ID Scheme'!$A$2:$E$7,4),0))</f>
        <v>58x32x25</v>
      </c>
      <c r="BW79" t="s">
        <v>78</v>
      </c>
    </row>
    <row r="80" spans="1:75" x14ac:dyDescent="0.25">
      <c r="A80" t="s">
        <v>102</v>
      </c>
      <c r="B80" t="s">
        <v>225</v>
      </c>
      <c r="C80" t="s">
        <v>369</v>
      </c>
      <c r="D80">
        <f>IF(F80 &gt; 2020, ((F80-2020)*4)+1610+H80,IF(F80 &gt; 1900, ((F80-1900)*10)+400+H80, ((F80-1730)*2)+H80))+VLOOKUP(I80,'ID Scheme'!$A$2:$B$7,2, FALSE)</f>
        <v>4052</v>
      </c>
      <c r="F80">
        <v>2005</v>
      </c>
      <c r="G80">
        <v>6</v>
      </c>
      <c r="H80">
        <v>2</v>
      </c>
      <c r="I80" t="s">
        <v>13</v>
      </c>
      <c r="J80">
        <v>70</v>
      </c>
      <c r="K80">
        <v>-1</v>
      </c>
      <c r="L80">
        <v>18</v>
      </c>
      <c r="M80">
        <v>5</v>
      </c>
      <c r="N80">
        <v>12</v>
      </c>
      <c r="O80">
        <v>380</v>
      </c>
      <c r="P80">
        <v>20</v>
      </c>
      <c r="Q80">
        <v>1</v>
      </c>
      <c r="R80" t="s">
        <v>305</v>
      </c>
      <c r="S80">
        <v>-3</v>
      </c>
      <c r="T80" s="2" t="s">
        <v>500</v>
      </c>
      <c r="U80" s="2"/>
      <c r="V80" s="2" t="s">
        <v>343</v>
      </c>
      <c r="W80" s="2"/>
      <c r="X80" s="2" t="s">
        <v>343</v>
      </c>
      <c r="Y80" s="2"/>
      <c r="Z80" s="2"/>
      <c r="AA80" s="2"/>
      <c r="AB80" s="2"/>
      <c r="AC80" s="2" t="s">
        <v>374</v>
      </c>
      <c r="AD80" s="2"/>
      <c r="AG80">
        <v>54</v>
      </c>
      <c r="AH80">
        <v>30</v>
      </c>
      <c r="AI80" s="6">
        <f t="shared" si="25"/>
        <v>60</v>
      </c>
      <c r="AJ80" s="6">
        <f>(AG80*1.5)-MOD((AG80*1.5), BJ79)</f>
        <v>81</v>
      </c>
      <c r="AK80" s="6">
        <f>(BL80*1.5)-MOD((BL80*1.5), BK80)</f>
        <v>27</v>
      </c>
      <c r="AL80" s="8">
        <f t="shared" si="20"/>
        <v>20</v>
      </c>
      <c r="AM80">
        <v>56</v>
      </c>
      <c r="AN80">
        <v>60</v>
      </c>
      <c r="AP80">
        <v>1</v>
      </c>
      <c r="AS80" t="s">
        <v>441</v>
      </c>
      <c r="AT80" t="s">
        <v>539</v>
      </c>
      <c r="AU80" t="s">
        <v>360</v>
      </c>
      <c r="AZ80" s="2">
        <f>(SQRT(J80*AG80)*POWER((MIN(L80,20)+SQRT(MAX(L80-20,0))),0.9)*Data!$B$1)*(1-(Q80-1))</f>
        <v>62.165927543696078</v>
      </c>
      <c r="BA80" s="2">
        <f>(POWER((J80*J80*AG80), 0.33)*LOG10(O80)*10*Data!$B$1)*Q80</f>
        <v>119.15141041758832</v>
      </c>
      <c r="BB80" s="2"/>
      <c r="BC80" s="2"/>
      <c r="BD80" s="2">
        <f>IFERROR((SQRT($J80*$AH80)*POWER((MIN($L80,20)+SQRT(MAX($L80-20,0))),0.9)*Data!$B$1)*(1 - (Q80-1)),AZ80)</f>
        <v>46.335746624010312</v>
      </c>
      <c r="BE80" s="2">
        <f>IFERROR(((POWER(($J80*$J80*$AH80), 0.33)*LOG10($AE80)*10*Data!$B$1)*Q80),BA80)</f>
        <v>119.15141041758832</v>
      </c>
      <c r="BF80" s="2">
        <f t="shared" si="31"/>
        <v>56.451612903225808</v>
      </c>
      <c r="BG80" s="2">
        <f t="shared" si="32"/>
        <v>0</v>
      </c>
      <c r="BH80" s="2">
        <f t="shared" si="33"/>
        <v>45.161290322580648</v>
      </c>
      <c r="BI80" s="2">
        <f t="shared" si="34"/>
        <v>48.387096774193552</v>
      </c>
      <c r="BJ80" s="2">
        <v>2</v>
      </c>
      <c r="BK80" s="2">
        <v>3</v>
      </c>
      <c r="BL80" s="2">
        <f t="shared" si="35"/>
        <v>18</v>
      </c>
      <c r="BM80" s="2">
        <f t="shared" si="36"/>
        <v>10</v>
      </c>
      <c r="BN80" s="2">
        <f t="shared" si="37"/>
        <v>81</v>
      </c>
      <c r="BO80" s="2">
        <f t="shared" si="38"/>
        <v>54</v>
      </c>
      <c r="BP80" s="2">
        <f>IF(AI80 &gt; 0, (AI80)/MAX(BJ80-1, 1), -1)</f>
        <v>60</v>
      </c>
      <c r="BQ80" s="2">
        <f t="shared" si="40"/>
        <v>30</v>
      </c>
      <c r="BT80" s="3"/>
      <c r="BU80">
        <f t="shared" si="27"/>
        <v>0</v>
      </c>
      <c r="BV80" s="2" t="str">
        <f>CONCATENATE(
ROUND(BR80*VLOOKUP(I80,'ID Scheme'!$A$2:$E$7,3),0), "x",
ROUND(BS80*VLOOKUP(I80,'ID Scheme'!$A$2:$E$7,5),0), "x",
ROUND(BT80*VLOOKUP(I80,'ID Scheme'!$A$2:$E$7,4),0))</f>
        <v>0x0x0</v>
      </c>
      <c r="BW80" t="s">
        <v>103</v>
      </c>
    </row>
    <row r="81" spans="1:75" x14ac:dyDescent="0.25">
      <c r="A81" t="s">
        <v>57</v>
      </c>
      <c r="B81" t="s">
        <v>264</v>
      </c>
      <c r="C81" t="s">
        <v>382</v>
      </c>
      <c r="D81">
        <f>IF(F81 &gt; 2020, ((F81-2020)*4)+1610+H81,IF(F81 &gt; 1900, ((F81-1900)*10)+400+H81, ((F81-1730)*2)+H81))+VLOOKUP(I81,'ID Scheme'!$A$2:$B$7,2, FALSE)</f>
        <v>5121</v>
      </c>
      <c r="F81">
        <v>1912</v>
      </c>
      <c r="G81">
        <v>1</v>
      </c>
      <c r="H81">
        <v>1</v>
      </c>
      <c r="I81" t="s">
        <v>14</v>
      </c>
      <c r="J81">
        <v>40</v>
      </c>
      <c r="K81">
        <v>28</v>
      </c>
      <c r="L81">
        <v>12</v>
      </c>
      <c r="M81">
        <v>5</v>
      </c>
      <c r="N81">
        <v>1</v>
      </c>
      <c r="O81">
        <v>20</v>
      </c>
      <c r="P81">
        <v>20</v>
      </c>
      <c r="Q81">
        <v>1</v>
      </c>
      <c r="R81" t="s">
        <v>377</v>
      </c>
      <c r="S81">
        <v>-3</v>
      </c>
      <c r="T81" s="2" t="s">
        <v>499</v>
      </c>
      <c r="U81" s="2"/>
      <c r="V81" s="2"/>
      <c r="W81" s="2"/>
      <c r="X81" s="2"/>
      <c r="Y81" s="2"/>
      <c r="Z81" s="2"/>
      <c r="AA81" s="2"/>
      <c r="AB81" s="2"/>
      <c r="AC81" s="2"/>
      <c r="AD81" s="2"/>
      <c r="AG81">
        <v>4</v>
      </c>
      <c r="AH81">
        <v>1</v>
      </c>
      <c r="AI81">
        <v>3</v>
      </c>
      <c r="AL81" s="8">
        <f t="shared" si="20"/>
        <v>3</v>
      </c>
      <c r="AU81" t="s">
        <v>361</v>
      </c>
      <c r="AZ81" s="2">
        <f>(SQRT(J81*AG81)*POWER((MIN(L81,20)+SQRT(MAX(L81-20,0))),0.9)*Data!$B$1)*(1-(Q81-1))</f>
        <v>8.8794154486294588</v>
      </c>
      <c r="BA81" s="2">
        <f>(POWER((J81*J81*AG81), 0.33)*LOG10(O81)*10*Data!$B$1)*Q81</f>
        <v>17.594947052790868</v>
      </c>
      <c r="BB81" s="2"/>
      <c r="BC81" s="2"/>
      <c r="BD81" s="2">
        <f>IFERROR((SQRT($J81*$AH81)*POWER((MIN($L81,20)+SQRT(MAX($L81-20,0))),0.9)*Data!$B$1)*(1 - (Q81-1)),AZ81)</f>
        <v>4.4397077243147294</v>
      </c>
      <c r="BE81" s="2">
        <f>IFERROR(((POWER(($J81*$J81*$AH81), 0.33)*LOG10($AE81)*10*Data!$B$1)*Q81),BA81)</f>
        <v>17.594947052790868</v>
      </c>
      <c r="BF81" s="2">
        <f t="shared" si="31"/>
        <v>32.258064516129032</v>
      </c>
      <c r="BG81" s="2">
        <f t="shared" si="32"/>
        <v>0</v>
      </c>
      <c r="BH81" s="2">
        <f t="shared" si="33"/>
        <v>0</v>
      </c>
      <c r="BI81" s="2">
        <f t="shared" si="34"/>
        <v>0</v>
      </c>
      <c r="BJ81" s="2">
        <v>1</v>
      </c>
      <c r="BK81" s="2">
        <v>1</v>
      </c>
      <c r="BL81" s="2">
        <f t="shared" si="35"/>
        <v>4</v>
      </c>
      <c r="BM81" s="2">
        <f t="shared" si="36"/>
        <v>1</v>
      </c>
      <c r="BN81" s="2">
        <f t="shared" si="37"/>
        <v>-1</v>
      </c>
      <c r="BO81" s="2">
        <f t="shared" si="38"/>
        <v>4</v>
      </c>
      <c r="BP81" s="2">
        <f t="shared" ref="BP81:BP125" si="41">IF(AI81 &gt; 0, (AI81)/MAX(BJ81-1, 1), -1)</f>
        <v>3</v>
      </c>
      <c r="BQ81" s="2">
        <f t="shared" si="40"/>
        <v>1</v>
      </c>
      <c r="BR81" s="3"/>
      <c r="BS81" s="3"/>
      <c r="BT81" s="3"/>
      <c r="BU81">
        <f t="shared" si="27"/>
        <v>-93</v>
      </c>
      <c r="BV81" s="2" t="str">
        <f>CONCATENATE(
ROUND(BR81*VLOOKUP(I81,'ID Scheme'!$A$2:$E$7,3),0), "x",
ROUND(BS81*VLOOKUP(I81,'ID Scheme'!$A$2:$E$7,5),0), "x",
ROUND(BT81*VLOOKUP(I81,'ID Scheme'!$A$2:$E$7,4),0))</f>
        <v>0x0x0</v>
      </c>
    </row>
    <row r="82" spans="1:75" x14ac:dyDescent="0.25">
      <c r="A82" t="s">
        <v>63</v>
      </c>
      <c r="B82" t="s">
        <v>259</v>
      </c>
      <c r="C82" t="s">
        <v>382</v>
      </c>
      <c r="D82">
        <f>IF(F82 &gt; 2020, ((F82-2020)*4)+1610+H82,IF(F82 &gt; 1900, ((F82-1900)*10)+400+H82, ((F82-1730)*2)+H82))+VLOOKUP(I82,'ID Scheme'!$A$2:$B$7,2, FALSE)</f>
        <v>5381</v>
      </c>
      <c r="F82">
        <v>1938</v>
      </c>
      <c r="G82">
        <v>6</v>
      </c>
      <c r="H82">
        <v>1</v>
      </c>
      <c r="I82" t="s">
        <v>14</v>
      </c>
      <c r="J82">
        <v>45</v>
      </c>
      <c r="K82">
        <v>20</v>
      </c>
      <c r="L82">
        <v>14</v>
      </c>
      <c r="M82">
        <v>5</v>
      </c>
      <c r="N82">
        <v>1</v>
      </c>
      <c r="O82">
        <v>32</v>
      </c>
      <c r="P82">
        <v>20</v>
      </c>
      <c r="Q82">
        <v>1</v>
      </c>
      <c r="R82" t="s">
        <v>377</v>
      </c>
      <c r="S82">
        <v>-3</v>
      </c>
      <c r="T82" s="2" t="s">
        <v>498</v>
      </c>
      <c r="U82" s="2"/>
      <c r="V82" s="2"/>
      <c r="W82" s="2"/>
      <c r="X82" s="2"/>
      <c r="Y82" s="2"/>
      <c r="Z82" s="2"/>
      <c r="AA82" s="2"/>
      <c r="AB82" s="2"/>
      <c r="AC82" s="2"/>
      <c r="AD82" s="2"/>
      <c r="AG82">
        <v>5</v>
      </c>
      <c r="AH82">
        <v>1</v>
      </c>
      <c r="AI82">
        <v>3</v>
      </c>
      <c r="AL82" s="8">
        <f t="shared" si="20"/>
        <v>3</v>
      </c>
      <c r="AU82" t="s">
        <v>361</v>
      </c>
      <c r="AZ82" s="2">
        <f>(SQRT(J82*AG82)*POWER((MIN(L82,20)+SQRT(MAX(L82-20,0))),0.9)*Data!$B$1)*(1-(Q82-1))</f>
        <v>12.0967235181487</v>
      </c>
      <c r="BA82" s="2">
        <f>(POWER((J82*J82*AG82), 0.33)*LOG10(O82)*10*Data!$B$1)*Q82</f>
        <v>23.682164888763008</v>
      </c>
      <c r="BB82" s="2"/>
      <c r="BC82" s="2"/>
      <c r="BD82" s="2">
        <f>IFERROR((SQRT($J82*$AH82)*POWER((MIN($L82,20)+SQRT(MAX($L82-20,0))),0.9)*Data!$B$1)*(1 - (Q82-1)),AZ82)</f>
        <v>5.4098192183201812</v>
      </c>
      <c r="BE82" s="2">
        <f>IFERROR(((POWER(($J82*$J82*$AH82), 0.33)*LOG10($AE82)*10*Data!$B$1)*Q82),BA82)</f>
        <v>23.682164888763008</v>
      </c>
      <c r="BF82" s="2">
        <f t="shared" si="31"/>
        <v>36.29032258064516</v>
      </c>
      <c r="BG82" s="2">
        <f t="shared" si="32"/>
        <v>0</v>
      </c>
      <c r="BH82" s="2">
        <f t="shared" si="33"/>
        <v>0</v>
      </c>
      <c r="BI82" s="2">
        <f t="shared" si="34"/>
        <v>0</v>
      </c>
      <c r="BJ82" s="2">
        <v>1</v>
      </c>
      <c r="BK82" s="2">
        <v>1</v>
      </c>
      <c r="BL82" s="2">
        <f t="shared" si="35"/>
        <v>5</v>
      </c>
      <c r="BM82" s="2">
        <f t="shared" si="36"/>
        <v>1</v>
      </c>
      <c r="BN82" s="2">
        <f t="shared" si="37"/>
        <v>-1</v>
      </c>
      <c r="BO82" s="2">
        <f t="shared" si="38"/>
        <v>5</v>
      </c>
      <c r="BP82" s="2">
        <f t="shared" si="41"/>
        <v>3</v>
      </c>
      <c r="BQ82" s="2">
        <f t="shared" si="40"/>
        <v>1</v>
      </c>
      <c r="BR82" s="3"/>
      <c r="BS82" s="3"/>
      <c r="BT82" s="3"/>
      <c r="BU82">
        <f t="shared" si="27"/>
        <v>26</v>
      </c>
      <c r="BV82" s="2" t="str">
        <f>CONCATENATE(
ROUND(BR82*VLOOKUP(I82,'ID Scheme'!$A$2:$E$7,3),0), "x",
ROUND(BS82*VLOOKUP(I82,'ID Scheme'!$A$2:$E$7,5),0), "x",
ROUND(BT82*VLOOKUP(I82,'ID Scheme'!$A$2:$E$7,4),0))</f>
        <v>0x0x0</v>
      </c>
    </row>
    <row r="83" spans="1:75" x14ac:dyDescent="0.25">
      <c r="A83" t="s">
        <v>266</v>
      </c>
      <c r="B83" t="s">
        <v>265</v>
      </c>
      <c r="C83" t="s">
        <v>382</v>
      </c>
      <c r="D83">
        <f>IF(F83 &gt; 2020, ((F83-2020)*4)+1610+H83,IF(F83 &gt; 1900, ((F83-1900)*10)+400+H83, ((F83-1730)*2)+H83))+VLOOKUP(I83,'ID Scheme'!$A$2:$B$7,2, FALSE)</f>
        <v>5571</v>
      </c>
      <c r="F83">
        <v>1957</v>
      </c>
      <c r="G83">
        <v>1</v>
      </c>
      <c r="H83">
        <v>1</v>
      </c>
      <c r="I83" t="s">
        <v>14</v>
      </c>
      <c r="J83">
        <v>60</v>
      </c>
      <c r="K83">
        <v>16</v>
      </c>
      <c r="L83">
        <v>12</v>
      </c>
      <c r="M83">
        <v>5</v>
      </c>
      <c r="N83">
        <v>1</v>
      </c>
      <c r="O83">
        <v>53</v>
      </c>
      <c r="P83">
        <v>20</v>
      </c>
      <c r="Q83">
        <v>1</v>
      </c>
      <c r="R83" t="s">
        <v>377</v>
      </c>
      <c r="S83">
        <v>-3</v>
      </c>
      <c r="T83" s="2" t="s">
        <v>497</v>
      </c>
      <c r="U83" s="2"/>
      <c r="V83" s="2"/>
      <c r="W83" s="2"/>
      <c r="X83" s="2"/>
      <c r="Y83" s="2"/>
      <c r="Z83" s="2"/>
      <c r="AA83" s="2"/>
      <c r="AB83" s="2"/>
      <c r="AC83" s="2"/>
      <c r="AD83" s="2"/>
      <c r="AG83">
        <v>6</v>
      </c>
      <c r="AH83">
        <v>1</v>
      </c>
      <c r="AI83">
        <v>4</v>
      </c>
      <c r="AL83" s="8">
        <f t="shared" si="20"/>
        <v>4</v>
      </c>
      <c r="AU83" t="s">
        <v>361</v>
      </c>
      <c r="AZ83" s="2">
        <f>(SQRT(J83*AG83)*POWER((MIN(L83,20)+SQRT(MAX(L83-20,0))),0.9)*Data!$B$1)*(1-(Q83-1))</f>
        <v>13.319123172944188</v>
      </c>
      <c r="BA83" s="2">
        <f>(POWER((J83*J83*AG83), 0.33)*LOG10(O83)*10*Data!$B$1)*Q83</f>
        <v>34.83675961560575</v>
      </c>
      <c r="BB83" s="2"/>
      <c r="BC83" s="2"/>
      <c r="BD83" s="2">
        <f>IFERROR((SQRT($J83*$AH83)*POWER((MIN($L83,20)+SQRT(MAX($L83-20,0))),0.9)*Data!$B$1)*(1 - (Q83-1)),AZ83)</f>
        <v>5.4375092658320874</v>
      </c>
      <c r="BE83" s="2">
        <f>IFERROR(((POWER(($J83*$J83*$AH83), 0.33)*LOG10($AE83)*10*Data!$B$1)*Q83),BA83)</f>
        <v>34.83675961560575</v>
      </c>
      <c r="BF83" s="2">
        <f t="shared" si="31"/>
        <v>48.387096774193552</v>
      </c>
      <c r="BG83" s="2">
        <f t="shared" si="32"/>
        <v>0</v>
      </c>
      <c r="BH83" s="2">
        <f t="shared" si="33"/>
        <v>0</v>
      </c>
      <c r="BI83" s="2">
        <f t="shared" si="34"/>
        <v>0</v>
      </c>
      <c r="BJ83" s="2">
        <v>1</v>
      </c>
      <c r="BK83" s="2">
        <v>1</v>
      </c>
      <c r="BL83" s="2">
        <f t="shared" si="35"/>
        <v>6</v>
      </c>
      <c r="BM83" s="2">
        <f t="shared" si="36"/>
        <v>1</v>
      </c>
      <c r="BN83" s="2">
        <f t="shared" si="37"/>
        <v>-1</v>
      </c>
      <c r="BO83" s="2">
        <f t="shared" si="38"/>
        <v>6</v>
      </c>
      <c r="BP83" s="2">
        <f t="shared" si="41"/>
        <v>4</v>
      </c>
      <c r="BQ83" s="2">
        <f t="shared" si="40"/>
        <v>1</v>
      </c>
      <c r="BR83" s="3"/>
      <c r="BS83" s="3"/>
      <c r="BT83" s="3"/>
      <c r="BU83">
        <f t="shared" si="27"/>
        <v>19</v>
      </c>
      <c r="BV83" s="2" t="str">
        <f>CONCATENATE(
ROUND(BR83*VLOOKUP(I83,'ID Scheme'!$A$2:$E$7,3),0), "x",
ROUND(BS83*VLOOKUP(I83,'ID Scheme'!$A$2:$E$7,5),0), "x",
ROUND(BT83*VLOOKUP(I83,'ID Scheme'!$A$2:$E$7,4),0))</f>
        <v>0x0x0</v>
      </c>
    </row>
    <row r="84" spans="1:75" x14ac:dyDescent="0.25">
      <c r="A84" t="s">
        <v>62</v>
      </c>
      <c r="B84" t="s">
        <v>263</v>
      </c>
      <c r="C84" t="s">
        <v>382</v>
      </c>
      <c r="D84">
        <f>IF(F84 &gt; 2020, ((F84-2020)*4)+1610+H84,IF(F84 &gt; 1900, ((F84-1900)*10)+400+H84, ((F84-1730)*2)+H84))+VLOOKUP(I84,'ID Scheme'!$A$2:$B$7,2, FALSE)</f>
        <v>5601</v>
      </c>
      <c r="F84">
        <v>1960</v>
      </c>
      <c r="G84">
        <v>1</v>
      </c>
      <c r="H84">
        <v>1</v>
      </c>
      <c r="I84" t="s">
        <v>14</v>
      </c>
      <c r="J84">
        <v>60</v>
      </c>
      <c r="K84">
        <v>22</v>
      </c>
      <c r="L84">
        <v>15</v>
      </c>
      <c r="M84">
        <v>5</v>
      </c>
      <c r="N84">
        <v>1</v>
      </c>
      <c r="O84">
        <v>58</v>
      </c>
      <c r="P84">
        <v>20</v>
      </c>
      <c r="Q84">
        <v>1.1000000000000001</v>
      </c>
      <c r="R84" t="s">
        <v>377</v>
      </c>
      <c r="S84">
        <v>-3</v>
      </c>
      <c r="T84" s="2" t="s">
        <v>519</v>
      </c>
      <c r="U84" s="2"/>
      <c r="V84" s="2"/>
      <c r="W84" s="2"/>
      <c r="X84" s="2"/>
      <c r="Y84" s="2"/>
      <c r="Z84" s="2"/>
      <c r="AA84" s="2"/>
      <c r="AB84" s="2"/>
      <c r="AC84" s="2"/>
      <c r="AD84" s="2"/>
      <c r="AG84">
        <v>8</v>
      </c>
      <c r="AH84">
        <v>1</v>
      </c>
      <c r="AI84">
        <v>4</v>
      </c>
      <c r="AL84" s="8">
        <f t="shared" si="20"/>
        <v>4</v>
      </c>
      <c r="AU84" t="s">
        <v>361</v>
      </c>
      <c r="AZ84" s="2">
        <f>(SQRT(J84*AG84)*POWER((MIN(L84,20)+SQRT(MAX(L84-20,0))),0.9)*Data!$B$1)*(1-(Q84-1))</f>
        <v>16.920240226133288</v>
      </c>
      <c r="BA84" s="2">
        <f>(POWER((J84*J84*AG84), 0.33)*LOG10(O84)*10*Data!$B$1)*Q84</f>
        <v>43.093443625686163</v>
      </c>
      <c r="BB84" s="2"/>
      <c r="BC84" s="2"/>
      <c r="BD84" s="2">
        <f>IFERROR((SQRT($J84*$AH84)*POWER((MIN($L84,20)+SQRT(MAX($L84-20,0))),0.9)*Data!$B$1)*(1 - (Q84-1)),AZ84)</f>
        <v>5.9822083016021255</v>
      </c>
      <c r="BE84" s="2">
        <f>IFERROR(((POWER(($J84*$J84*$AH84), 0.33)*LOG10($AE84)*10*Data!$B$1)*Q84),BA84)</f>
        <v>43.093443625686163</v>
      </c>
      <c r="BF84" s="2">
        <f t="shared" si="31"/>
        <v>48.387096774193552</v>
      </c>
      <c r="BG84" s="2">
        <f t="shared" si="32"/>
        <v>0</v>
      </c>
      <c r="BH84" s="2">
        <f t="shared" si="33"/>
        <v>0</v>
      </c>
      <c r="BI84" s="2">
        <f t="shared" si="34"/>
        <v>0</v>
      </c>
      <c r="BJ84" s="2">
        <v>1</v>
      </c>
      <c r="BK84" s="2">
        <v>1</v>
      </c>
      <c r="BL84" s="2">
        <f t="shared" si="35"/>
        <v>8</v>
      </c>
      <c r="BM84" s="2">
        <f t="shared" si="36"/>
        <v>1</v>
      </c>
      <c r="BN84" s="2">
        <f t="shared" si="37"/>
        <v>-1</v>
      </c>
      <c r="BO84" s="2">
        <f t="shared" si="38"/>
        <v>8</v>
      </c>
      <c r="BP84" s="2">
        <f t="shared" si="41"/>
        <v>4</v>
      </c>
      <c r="BQ84" s="2">
        <f t="shared" si="40"/>
        <v>1</v>
      </c>
      <c r="BR84" s="3"/>
      <c r="BS84" s="3"/>
      <c r="BT84" s="3"/>
      <c r="BU84">
        <f t="shared" si="27"/>
        <v>3</v>
      </c>
      <c r="BV84" s="2" t="str">
        <f>CONCATENATE(
ROUND(BR84*VLOOKUP(I84,'ID Scheme'!$A$2:$E$7,3),0), "x",
ROUND(BS84*VLOOKUP(I84,'ID Scheme'!$A$2:$E$7,5),0), "x",
ROUND(BT84*VLOOKUP(I84,'ID Scheme'!$A$2:$E$7,4),0))</f>
        <v>0x0x0</v>
      </c>
    </row>
    <row r="85" spans="1:75" x14ac:dyDescent="0.25">
      <c r="A85" t="s">
        <v>37</v>
      </c>
      <c r="B85" t="s">
        <v>268</v>
      </c>
      <c r="C85" t="s">
        <v>382</v>
      </c>
      <c r="D85">
        <f>IF(F85 &gt; 2020, ((F85-2020)*4)+1610+H85,IF(F85 &gt; 1900, ((F85-1900)*10)+400+H85, ((F85-1730)*2)+H85))+VLOOKUP(I85,'ID Scheme'!$A$2:$B$7,2, FALSE)</f>
        <v>5651</v>
      </c>
      <c r="F85">
        <v>1965</v>
      </c>
      <c r="G85">
        <v>10</v>
      </c>
      <c r="H85">
        <v>1</v>
      </c>
      <c r="I85" t="s">
        <v>14</v>
      </c>
      <c r="J85">
        <v>65</v>
      </c>
      <c r="K85">
        <v>18</v>
      </c>
      <c r="L85">
        <v>14</v>
      </c>
      <c r="M85">
        <v>5</v>
      </c>
      <c r="N85">
        <v>1.5</v>
      </c>
      <c r="O85">
        <v>90</v>
      </c>
      <c r="P85">
        <v>20</v>
      </c>
      <c r="Q85">
        <v>1</v>
      </c>
      <c r="R85" t="s">
        <v>377</v>
      </c>
      <c r="S85">
        <v>-3</v>
      </c>
      <c r="T85" s="2" t="s">
        <v>496</v>
      </c>
      <c r="U85" s="2"/>
      <c r="V85" s="2"/>
      <c r="W85" s="2"/>
      <c r="X85" s="2"/>
      <c r="Y85" s="2"/>
      <c r="Z85" s="2"/>
      <c r="AA85" s="2"/>
      <c r="AB85" s="2"/>
      <c r="AC85" s="2"/>
      <c r="AD85" s="2"/>
      <c r="AG85">
        <v>8</v>
      </c>
      <c r="AH85">
        <v>2</v>
      </c>
      <c r="AI85">
        <v>6</v>
      </c>
      <c r="AL85" s="8">
        <f t="shared" si="20"/>
        <v>6</v>
      </c>
      <c r="AU85" t="s">
        <v>361</v>
      </c>
      <c r="AZ85" s="2">
        <f>(SQRT(J85*AG85)*POWER((MIN(L85,20)+SQRT(MAX(L85-20,0))),0.9)*Data!$B$1)*(1-(Q85-1))</f>
        <v>18.389849172815911</v>
      </c>
      <c r="BA85" s="2">
        <f>(POWER((J85*J85*AG85), 0.33)*LOG10(O85)*10*Data!$B$1)*Q85</f>
        <v>45.77013890849053</v>
      </c>
      <c r="BB85" s="2"/>
      <c r="BC85" s="2"/>
      <c r="BD85" s="2">
        <f>IFERROR((SQRT($J85*$AH85)*POWER((MIN($L85,20)+SQRT(MAX($L85-20,0))),0.9)*Data!$B$1)*(1 - (Q85-1)),AZ85)</f>
        <v>9.1949245864079554</v>
      </c>
      <c r="BE85" s="2">
        <f>IFERROR(((POWER(($J85*$J85*$AH85), 0.33)*LOG10($AE85)*10*Data!$B$1)*Q85),BA85)</f>
        <v>45.77013890849053</v>
      </c>
      <c r="BF85" s="2">
        <f t="shared" si="31"/>
        <v>52.41935483870968</v>
      </c>
      <c r="BG85" s="2">
        <f t="shared" si="32"/>
        <v>0</v>
      </c>
      <c r="BH85" s="2">
        <f t="shared" si="33"/>
        <v>0</v>
      </c>
      <c r="BI85" s="2">
        <f t="shared" si="34"/>
        <v>0</v>
      </c>
      <c r="BJ85" s="2">
        <v>1</v>
      </c>
      <c r="BK85" s="2">
        <v>1</v>
      </c>
      <c r="BL85" s="2">
        <f t="shared" si="35"/>
        <v>8</v>
      </c>
      <c r="BM85" s="2">
        <f t="shared" si="36"/>
        <v>2</v>
      </c>
      <c r="BN85" s="2">
        <f t="shared" si="37"/>
        <v>-1</v>
      </c>
      <c r="BO85" s="2">
        <f t="shared" si="38"/>
        <v>8</v>
      </c>
      <c r="BP85" s="2">
        <f t="shared" si="41"/>
        <v>6</v>
      </c>
      <c r="BQ85" s="2">
        <f t="shared" si="40"/>
        <v>2</v>
      </c>
      <c r="BR85" s="3"/>
      <c r="BS85" s="3"/>
      <c r="BT85" s="3"/>
      <c r="BU85">
        <f t="shared" si="27"/>
        <v>5</v>
      </c>
      <c r="BV85" s="2" t="str">
        <f>CONCATENATE(
ROUND(BR85*VLOOKUP(I85,'ID Scheme'!$A$2:$E$7,3),0), "x",
ROUND(BS85*VLOOKUP(I85,'ID Scheme'!$A$2:$E$7,5),0), "x",
ROUND(BT85*VLOOKUP(I85,'ID Scheme'!$A$2:$E$7,4),0))</f>
        <v>0x0x0</v>
      </c>
    </row>
    <row r="86" spans="1:75" x14ac:dyDescent="0.25">
      <c r="A86" t="s">
        <v>38</v>
      </c>
      <c r="B86" t="s">
        <v>269</v>
      </c>
      <c r="C86" t="s">
        <v>382</v>
      </c>
      <c r="D86">
        <f>IF(F86 &gt; 2020, ((F86-2020)*4)+1610+H86,IF(F86 &gt; 1900, ((F86-1900)*10)+400+H86, ((F86-1730)*2)+H86))+VLOOKUP(I86,'ID Scheme'!$A$2:$B$7,2, FALSE)</f>
        <v>5861</v>
      </c>
      <c r="F86">
        <v>1986</v>
      </c>
      <c r="G86">
        <v>1</v>
      </c>
      <c r="H86">
        <v>1</v>
      </c>
      <c r="I86" t="s">
        <v>14</v>
      </c>
      <c r="J86">
        <v>80</v>
      </c>
      <c r="K86">
        <v>20</v>
      </c>
      <c r="L86">
        <v>14</v>
      </c>
      <c r="M86">
        <v>5</v>
      </c>
      <c r="N86">
        <v>1.5</v>
      </c>
      <c r="O86">
        <v>100</v>
      </c>
      <c r="P86">
        <v>20</v>
      </c>
      <c r="Q86">
        <v>1</v>
      </c>
      <c r="R86" t="s">
        <v>377</v>
      </c>
      <c r="S86">
        <v>-3</v>
      </c>
      <c r="T86" s="2" t="s">
        <v>488</v>
      </c>
      <c r="U86" s="2"/>
      <c r="V86" s="2"/>
      <c r="W86" s="2"/>
      <c r="X86" s="2"/>
      <c r="Y86" s="2"/>
      <c r="Z86" s="2"/>
      <c r="AA86" s="2"/>
      <c r="AB86" s="2"/>
      <c r="AC86" s="2"/>
      <c r="AD86" s="2"/>
      <c r="AG86">
        <v>10</v>
      </c>
      <c r="AH86">
        <v>3</v>
      </c>
      <c r="AI86">
        <v>7</v>
      </c>
      <c r="AL86" s="8">
        <f t="shared" si="20"/>
        <v>7</v>
      </c>
      <c r="AN86">
        <v>70</v>
      </c>
      <c r="AU86" t="s">
        <v>361</v>
      </c>
      <c r="AZ86" s="2">
        <f>(SQRT(J86*AG86)*POWER((MIN(L86,20)+SQRT(MAX(L86-20,0))),0.9)*Data!$B$1)*(1-(Q86-1))</f>
        <v>22.809800612857963</v>
      </c>
      <c r="BA86" s="2">
        <f>(POWER((J86*J86*AG86), 0.33)*LOG10(O86)*10*Data!$B$1)*Q86</f>
        <v>57.826998441289433</v>
      </c>
      <c r="BB86" s="2"/>
      <c r="BC86" s="2"/>
      <c r="BD86" s="2">
        <f>IFERROR((SQRT($J86*$AH86)*POWER((MIN($L86,20)+SQRT(MAX($L86-20,0))),0.9)*Data!$B$1)*(1 - (Q86-1)),AZ86)</f>
        <v>12.493442327857467</v>
      </c>
      <c r="BE86" s="2">
        <f>IFERROR(((POWER(($J86*$J86*$AH86), 0.33)*LOG10($AE86)*10*Data!$B$1)*Q86),BA86)</f>
        <v>57.826998441289433</v>
      </c>
      <c r="BF86" s="2">
        <f t="shared" si="31"/>
        <v>64.516129032258064</v>
      </c>
      <c r="BG86" s="2">
        <f t="shared" si="32"/>
        <v>0</v>
      </c>
      <c r="BH86" s="2">
        <f t="shared" si="33"/>
        <v>0</v>
      </c>
      <c r="BI86" s="2">
        <f t="shared" si="34"/>
        <v>56.451612903225808</v>
      </c>
      <c r="BJ86" s="2">
        <v>1</v>
      </c>
      <c r="BK86" s="2">
        <v>1</v>
      </c>
      <c r="BL86" s="2">
        <f t="shared" si="35"/>
        <v>10</v>
      </c>
      <c r="BM86" s="2">
        <f t="shared" si="36"/>
        <v>3</v>
      </c>
      <c r="BN86" s="2">
        <f t="shared" si="37"/>
        <v>-1</v>
      </c>
      <c r="BO86" s="2">
        <f t="shared" si="38"/>
        <v>10</v>
      </c>
      <c r="BP86" s="2">
        <f t="shared" si="41"/>
        <v>7</v>
      </c>
      <c r="BQ86" s="2">
        <f t="shared" si="40"/>
        <v>3</v>
      </c>
      <c r="BR86" s="3"/>
      <c r="BS86" s="3"/>
      <c r="BT86" s="3"/>
      <c r="BU86">
        <f t="shared" si="27"/>
        <v>21</v>
      </c>
      <c r="BV86" s="2" t="str">
        <f>CONCATENATE(
ROUND(BR86*VLOOKUP(I86,'ID Scheme'!$A$2:$E$7,3),0), "x",
ROUND(BS86*VLOOKUP(I86,'ID Scheme'!$A$2:$E$7,5),0), "x",
ROUND(BT86*VLOOKUP(I86,'ID Scheme'!$A$2:$E$7,4),0))</f>
        <v>0x0x0</v>
      </c>
    </row>
    <row r="87" spans="1:75" x14ac:dyDescent="0.25">
      <c r="A87" t="s">
        <v>40</v>
      </c>
      <c r="B87" t="s">
        <v>261</v>
      </c>
      <c r="C87" t="s">
        <v>382</v>
      </c>
      <c r="D87">
        <f>IF(F87 &gt; 2020, ((F87-2020)*4)+1610+H87,IF(F87 &gt; 1900, ((F87-1900)*10)+400+H87, ((F87-1730)*2)+H87))+VLOOKUP(I87,'ID Scheme'!$A$2:$B$7,2, FALSE)</f>
        <v>5862</v>
      </c>
      <c r="F87">
        <v>1986</v>
      </c>
      <c r="G87">
        <v>1</v>
      </c>
      <c r="H87">
        <v>2</v>
      </c>
      <c r="I87" t="s">
        <v>14</v>
      </c>
      <c r="J87">
        <v>65</v>
      </c>
      <c r="K87">
        <v>20</v>
      </c>
      <c r="L87">
        <v>14</v>
      </c>
      <c r="M87">
        <v>5</v>
      </c>
      <c r="N87">
        <v>1</v>
      </c>
      <c r="O87">
        <v>44</v>
      </c>
      <c r="P87">
        <v>20</v>
      </c>
      <c r="Q87">
        <v>1</v>
      </c>
      <c r="R87" t="s">
        <v>377</v>
      </c>
      <c r="S87">
        <v>-4</v>
      </c>
      <c r="T87" s="2" t="s">
        <v>494</v>
      </c>
      <c r="U87" s="2"/>
      <c r="V87" s="2"/>
      <c r="W87" s="2"/>
      <c r="X87" s="2"/>
      <c r="Y87" s="2"/>
      <c r="Z87" s="2"/>
      <c r="AA87" s="2"/>
      <c r="AB87" s="2"/>
      <c r="AC87" s="2"/>
      <c r="AD87" s="2"/>
      <c r="AG87">
        <v>4</v>
      </c>
      <c r="AH87">
        <v>1</v>
      </c>
      <c r="AI87">
        <v>3</v>
      </c>
      <c r="AL87" s="8">
        <f t="shared" si="20"/>
        <v>3</v>
      </c>
      <c r="AU87" t="s">
        <v>361</v>
      </c>
      <c r="AZ87" s="2">
        <f>(SQRT(J87*AG87)*POWER((MIN(L87,20)+SQRT(MAX(L87-20,0))),0.9)*Data!$B$1)*(1-(Q87-1))</f>
        <v>13.003587055095952</v>
      </c>
      <c r="BA87" s="2">
        <f>(POWER((J87*J87*AG87), 0.33)*LOG10(O87)*10*Data!$B$1)*Q87</f>
        <v>30.621120528083672</v>
      </c>
      <c r="BB87" s="2"/>
      <c r="BC87" s="2"/>
      <c r="BD87" s="2">
        <f>IFERROR((SQRT($J87*$AH87)*POWER((MIN($L87,20)+SQRT(MAX($L87-20,0))),0.9)*Data!$B$1)*(1 - (Q87-1)),AZ87)</f>
        <v>6.5017935275479761</v>
      </c>
      <c r="BE87" s="2">
        <f>IFERROR(((POWER(($J87*$J87*$AH87), 0.33)*LOG10($AE87)*10*Data!$B$1)*Q87),BA87)</f>
        <v>30.621120528083672</v>
      </c>
      <c r="BF87" s="2">
        <f t="shared" si="31"/>
        <v>52.41935483870968</v>
      </c>
      <c r="BG87" s="2">
        <f t="shared" si="32"/>
        <v>0</v>
      </c>
      <c r="BH87" s="2">
        <f t="shared" si="33"/>
        <v>0</v>
      </c>
      <c r="BI87" s="2">
        <f t="shared" si="34"/>
        <v>0</v>
      </c>
      <c r="BJ87" s="2">
        <v>1</v>
      </c>
      <c r="BK87" s="2">
        <v>1</v>
      </c>
      <c r="BL87" s="2">
        <f t="shared" si="35"/>
        <v>4</v>
      </c>
      <c r="BM87" s="2">
        <f t="shared" si="36"/>
        <v>1</v>
      </c>
      <c r="BN87" s="2">
        <f t="shared" si="37"/>
        <v>-1</v>
      </c>
      <c r="BO87" s="2">
        <f t="shared" si="38"/>
        <v>4</v>
      </c>
      <c r="BP87" s="2">
        <f t="shared" si="41"/>
        <v>3</v>
      </c>
      <c r="BQ87" s="2">
        <f t="shared" si="40"/>
        <v>1</v>
      </c>
      <c r="BR87" s="3"/>
      <c r="BS87" s="3"/>
      <c r="BT87" s="3"/>
      <c r="BU87">
        <f t="shared" si="27"/>
        <v>0</v>
      </c>
      <c r="BV87" s="2" t="str">
        <f>CONCATENATE(
ROUND(BR87*VLOOKUP(I87,'ID Scheme'!$A$2:$E$7,3),0), "x",
ROUND(BS87*VLOOKUP(I87,'ID Scheme'!$A$2:$E$7,5),0), "x",
ROUND(BT87*VLOOKUP(I87,'ID Scheme'!$A$2:$E$7,4),0))</f>
        <v>0x0x0</v>
      </c>
    </row>
    <row r="88" spans="1:75" x14ac:dyDescent="0.25">
      <c r="A88" t="s">
        <v>42</v>
      </c>
      <c r="B88" t="s">
        <v>215</v>
      </c>
      <c r="C88" t="s">
        <v>382</v>
      </c>
      <c r="D88">
        <f>IF(F88 &gt; 2020, ((F88-2020)*4)+1610+H88,IF(F88 &gt; 1900, ((F88-1900)*10)+400+H88, ((F88-1730)*2)+H88))+VLOOKUP(I88,'ID Scheme'!$A$2:$B$7,2, FALSE)</f>
        <v>6061</v>
      </c>
      <c r="F88">
        <v>2006</v>
      </c>
      <c r="G88">
        <v>1</v>
      </c>
      <c r="H88">
        <v>1</v>
      </c>
      <c r="I88" t="s">
        <v>14</v>
      </c>
      <c r="J88">
        <v>85</v>
      </c>
      <c r="K88">
        <v>-1</v>
      </c>
      <c r="L88">
        <v>15</v>
      </c>
      <c r="M88">
        <v>5</v>
      </c>
      <c r="N88">
        <v>2</v>
      </c>
      <c r="O88">
        <v>160</v>
      </c>
      <c r="P88">
        <v>20</v>
      </c>
      <c r="Q88">
        <v>1</v>
      </c>
      <c r="R88" t="s">
        <v>377</v>
      </c>
      <c r="S88">
        <v>-4</v>
      </c>
      <c r="T88" s="2" t="s">
        <v>493</v>
      </c>
      <c r="U88" s="2"/>
      <c r="V88" s="2"/>
      <c r="W88" s="2"/>
      <c r="X88" s="2"/>
      <c r="Y88" s="2"/>
      <c r="Z88" s="2"/>
      <c r="AA88" s="2"/>
      <c r="AB88" s="2"/>
      <c r="AC88" s="2"/>
      <c r="AD88" s="2"/>
      <c r="AG88">
        <v>12</v>
      </c>
      <c r="AH88">
        <v>3</v>
      </c>
      <c r="AI88">
        <v>9</v>
      </c>
      <c r="AL88" s="8">
        <f t="shared" si="20"/>
        <v>9</v>
      </c>
      <c r="AN88">
        <v>70</v>
      </c>
      <c r="AU88" t="s">
        <v>361</v>
      </c>
      <c r="AZ88" s="2">
        <f>(SQRT(J88*AG88)*POWER((MIN(L88,20)+SQRT(MAX(L88-20,0))),0.9)*Data!$B$1)*(1-(Q88-1))</f>
        <v>27.405863002169326</v>
      </c>
      <c r="BA88" s="2">
        <f>(POWER((J88*J88*AG88), 0.33)*LOG10(O88)*10*Data!$B$1)*Q88</f>
        <v>70.44380358335296</v>
      </c>
      <c r="BB88" s="2"/>
      <c r="BC88" s="2"/>
      <c r="BD88" s="2">
        <f>IFERROR((SQRT($J88*$AH88)*POWER((MIN($L88,20)+SQRT(MAX($L88-20,0))),0.9)*Data!$B$1)*(1 - (Q88-1)),AZ88)</f>
        <v>13.702931501084663</v>
      </c>
      <c r="BE88" s="2">
        <f>IFERROR(((POWER(($J88*$J88*$AH88), 0.33)*LOG10($AE88)*10*Data!$B$1)*Q88),BA88)</f>
        <v>70.44380358335296</v>
      </c>
      <c r="BF88" s="2">
        <f t="shared" si="31"/>
        <v>68.548387096774192</v>
      </c>
      <c r="BG88" s="2">
        <f t="shared" si="32"/>
        <v>0</v>
      </c>
      <c r="BH88" s="2">
        <f t="shared" si="33"/>
        <v>0</v>
      </c>
      <c r="BI88" s="2">
        <f t="shared" si="34"/>
        <v>56.451612903225808</v>
      </c>
      <c r="BJ88" s="2">
        <v>1</v>
      </c>
      <c r="BK88" s="2">
        <v>1</v>
      </c>
      <c r="BL88" s="2">
        <f t="shared" si="35"/>
        <v>12</v>
      </c>
      <c r="BM88" s="2">
        <f t="shared" si="36"/>
        <v>3</v>
      </c>
      <c r="BN88" s="2">
        <f t="shared" si="37"/>
        <v>-1</v>
      </c>
      <c r="BO88" s="2">
        <f t="shared" si="38"/>
        <v>12</v>
      </c>
      <c r="BP88" s="2">
        <f t="shared" si="41"/>
        <v>9</v>
      </c>
      <c r="BQ88" s="2">
        <f t="shared" si="40"/>
        <v>3</v>
      </c>
      <c r="BR88" s="3"/>
      <c r="BS88" s="3"/>
      <c r="BT88" s="3"/>
      <c r="BU88">
        <f t="shared" si="27"/>
        <v>20</v>
      </c>
      <c r="BV88" s="2" t="str">
        <f>CONCATENATE(
ROUND(BR88*VLOOKUP(I88,'ID Scheme'!$A$2:$E$7,3),0), "x",
ROUND(BS88*VLOOKUP(I88,'ID Scheme'!$A$2:$E$7,5),0), "x",
ROUND(BT88*VLOOKUP(I88,'ID Scheme'!$A$2:$E$7,4),0))</f>
        <v>0x0x0</v>
      </c>
    </row>
    <row r="89" spans="1:75" x14ac:dyDescent="0.25">
      <c r="A89" t="s">
        <v>41</v>
      </c>
      <c r="B89" t="s">
        <v>267</v>
      </c>
      <c r="C89" t="s">
        <v>382</v>
      </c>
      <c r="D89">
        <f>IF(F89 &gt; 2020, ((F89-2020)*4)+1610+H89,IF(F89 &gt; 1900, ((F89-1900)*10)+400+H89, ((F89-1730)*2)+H89))+VLOOKUP(I89,'ID Scheme'!$A$2:$B$7,2, FALSE)</f>
        <v>6121</v>
      </c>
      <c r="F89">
        <v>2012</v>
      </c>
      <c r="G89">
        <v>1</v>
      </c>
      <c r="H89">
        <v>1</v>
      </c>
      <c r="I89" t="s">
        <v>14</v>
      </c>
      <c r="J89">
        <v>92</v>
      </c>
      <c r="K89">
        <v>-1</v>
      </c>
      <c r="L89">
        <v>14</v>
      </c>
      <c r="M89">
        <v>5</v>
      </c>
      <c r="N89">
        <v>1.5</v>
      </c>
      <c r="O89">
        <v>125</v>
      </c>
      <c r="P89">
        <v>20</v>
      </c>
      <c r="Q89">
        <v>1</v>
      </c>
      <c r="R89" t="s">
        <v>377</v>
      </c>
      <c r="S89">
        <v>-4</v>
      </c>
      <c r="T89" s="2" t="s">
        <v>492</v>
      </c>
      <c r="U89" s="2"/>
      <c r="V89" s="2"/>
      <c r="W89" s="2"/>
      <c r="X89" s="2"/>
      <c r="Y89" s="2"/>
      <c r="Z89" s="2"/>
      <c r="AA89" s="2"/>
      <c r="AB89" s="2"/>
      <c r="AC89" s="2"/>
      <c r="AD89" s="2"/>
      <c r="AG89">
        <v>10</v>
      </c>
      <c r="AH89">
        <v>3</v>
      </c>
      <c r="AI89">
        <v>8</v>
      </c>
      <c r="AL89" s="8">
        <f t="shared" si="20"/>
        <v>8</v>
      </c>
      <c r="AN89">
        <v>70</v>
      </c>
      <c r="AU89" t="s">
        <v>361</v>
      </c>
      <c r="AZ89" s="2">
        <f>(SQRT(J89*AG89)*POWER((MIN(L89,20)+SQRT(MAX(L89-20,0))),0.9)*Data!$B$1)*(1-(Q89-1))</f>
        <v>24.460786058466841</v>
      </c>
      <c r="BA89" s="2">
        <f>(POWER((J89*J89*AG89), 0.33)*LOG10(O89)*10*Data!$B$1)*Q89</f>
        <v>66.487656097371513</v>
      </c>
      <c r="BB89" s="2"/>
      <c r="BC89" s="2"/>
      <c r="BD89" s="2">
        <f>IFERROR((SQRT($J89*$AH89)*POWER((MIN($L89,20)+SQRT(MAX($L89-20,0))),0.9)*Data!$B$1)*(1 - (Q89-1)),AZ89)</f>
        <v>13.39772429853017</v>
      </c>
      <c r="BE89" s="2">
        <f>IFERROR(((POWER(($J89*$J89*$AH89), 0.33)*LOG10($AE89)*10*Data!$B$1)*Q89),BA89)</f>
        <v>66.487656097371513</v>
      </c>
      <c r="BF89" s="2">
        <f t="shared" si="31"/>
        <v>74.193548387096769</v>
      </c>
      <c r="BG89" s="2">
        <f t="shared" si="32"/>
        <v>0</v>
      </c>
      <c r="BH89" s="2">
        <f t="shared" si="33"/>
        <v>0</v>
      </c>
      <c r="BI89" s="2">
        <f t="shared" si="34"/>
        <v>56.451612903225808</v>
      </c>
      <c r="BJ89" s="2">
        <v>1</v>
      </c>
      <c r="BK89" s="2">
        <v>1</v>
      </c>
      <c r="BL89" s="2">
        <f t="shared" si="35"/>
        <v>10</v>
      </c>
      <c r="BM89" s="2">
        <f t="shared" si="36"/>
        <v>3</v>
      </c>
      <c r="BN89" s="2">
        <f t="shared" si="37"/>
        <v>-1</v>
      </c>
      <c r="BO89" s="2">
        <f t="shared" si="38"/>
        <v>10</v>
      </c>
      <c r="BP89" s="2">
        <f t="shared" si="41"/>
        <v>8</v>
      </c>
      <c r="BQ89" s="2">
        <f t="shared" si="40"/>
        <v>3</v>
      </c>
      <c r="BR89" s="3"/>
      <c r="BS89" s="3"/>
      <c r="BT89" s="3"/>
      <c r="BU89">
        <f t="shared" si="27"/>
        <v>6</v>
      </c>
      <c r="BV89" s="2" t="str">
        <f>CONCATENATE(
ROUND(BR89*VLOOKUP(I89,'ID Scheme'!$A$2:$E$7,3),0), "x",
ROUND(BS89*VLOOKUP(I89,'ID Scheme'!$A$2:$E$7,5),0), "x",
ROUND(BT89*VLOOKUP(I89,'ID Scheme'!$A$2:$E$7,4),0))</f>
        <v>0x0x0</v>
      </c>
    </row>
    <row r="90" spans="1:75" x14ac:dyDescent="0.25">
      <c r="A90" t="s">
        <v>49</v>
      </c>
      <c r="B90" t="s">
        <v>260</v>
      </c>
      <c r="C90" t="s">
        <v>383</v>
      </c>
      <c r="D90">
        <f>IF(F90 &gt; 2020, ((F90-2020)*4)+1610+H90,IF(F90 &gt; 1900, ((F90-1900)*10)+400+H90, ((F90-1730)*2)+H90))+VLOOKUP(I90,'ID Scheme'!$A$2:$B$7,2, FALSE)</f>
        <v>7581</v>
      </c>
      <c r="F90">
        <v>1958</v>
      </c>
      <c r="G90">
        <v>1</v>
      </c>
      <c r="H90">
        <v>1</v>
      </c>
      <c r="I90" t="s">
        <v>48</v>
      </c>
      <c r="J90">
        <v>75</v>
      </c>
      <c r="K90">
        <v>50</v>
      </c>
      <c r="L90">
        <v>15</v>
      </c>
      <c r="M90">
        <v>5</v>
      </c>
      <c r="N90">
        <v>1.6</v>
      </c>
      <c r="O90">
        <v>68</v>
      </c>
      <c r="P90">
        <v>10</v>
      </c>
      <c r="Q90">
        <v>0.95</v>
      </c>
      <c r="R90" t="s">
        <v>377</v>
      </c>
      <c r="S90">
        <v>-4</v>
      </c>
      <c r="T90" s="2" t="s">
        <v>491</v>
      </c>
      <c r="U90" s="2"/>
      <c r="V90" s="2"/>
      <c r="W90" s="2"/>
      <c r="X90" s="2"/>
      <c r="Y90" s="2"/>
      <c r="Z90" s="2"/>
      <c r="AA90" s="2"/>
      <c r="AB90" s="2"/>
      <c r="AC90" s="2"/>
      <c r="AD90" s="2">
        <v>230</v>
      </c>
      <c r="AG90">
        <v>4</v>
      </c>
      <c r="AL90" s="8">
        <f t="shared" si="20"/>
        <v>0</v>
      </c>
      <c r="AN90">
        <v>70</v>
      </c>
      <c r="AU90" t="s">
        <v>362</v>
      </c>
      <c r="AZ90" s="2">
        <f>(SQRT(J90*AG90)*POWER((MIN(L90,20)+SQRT(MAX(L90-20,0))),0.9)*Data!$B$1)*(1-(Q90-1))</f>
        <v>15.606061820936905</v>
      </c>
      <c r="BA90" s="2">
        <f>(POWER((J90*J90*AG90), 0.33)*LOG10(O90)*10*Data!$B$1)*Q90</f>
        <v>35.649315485846252</v>
      </c>
      <c r="BB90" s="2"/>
      <c r="BC90" s="2"/>
      <c r="BD90" s="2">
        <f>IFERROR((SQRT($J90*$AH90)*POWER((MIN($L90,20)+SQRT(MAX($L90-20,0))),0.9)*Data!$B$1)*(1 - (Q90-1)),AZ90)</f>
        <v>0</v>
      </c>
      <c r="BE90" s="2">
        <f>IFERROR(((POWER(($J90*$J90*$AH90), 0.33)*LOG10($AE90)*10*Data!$B$1)*Q90),BA90)</f>
        <v>35.649315485846252</v>
      </c>
      <c r="BF90" s="2">
        <f t="shared" si="31"/>
        <v>60.483870967741936</v>
      </c>
      <c r="BG90" s="2">
        <f t="shared" si="32"/>
        <v>0</v>
      </c>
      <c r="BH90" s="2">
        <f t="shared" si="33"/>
        <v>0</v>
      </c>
      <c r="BI90" s="2">
        <f t="shared" si="34"/>
        <v>56.451612903225808</v>
      </c>
      <c r="BJ90" s="2">
        <v>1</v>
      </c>
      <c r="BK90" s="2">
        <v>1</v>
      </c>
      <c r="BL90" s="2">
        <f t="shared" si="35"/>
        <v>4</v>
      </c>
      <c r="BM90" s="2">
        <f t="shared" si="36"/>
        <v>0</v>
      </c>
      <c r="BN90" s="2">
        <f t="shared" si="37"/>
        <v>-1</v>
      </c>
      <c r="BO90" s="2">
        <f t="shared" si="38"/>
        <v>4</v>
      </c>
      <c r="BP90" s="2">
        <f t="shared" si="41"/>
        <v>-1</v>
      </c>
      <c r="BQ90" s="2">
        <f t="shared" si="40"/>
        <v>-1</v>
      </c>
      <c r="BR90" s="3"/>
      <c r="BS90" s="3"/>
      <c r="BT90" s="3"/>
      <c r="BU90">
        <f t="shared" si="27"/>
        <v>-54</v>
      </c>
      <c r="BV90" s="2" t="str">
        <f>CONCATENATE(
ROUND(BR90*VLOOKUP(I90,'ID Scheme'!$A$2:$E$7,3),0), "x",
ROUND(BS90*VLOOKUP(I90,'ID Scheme'!$A$2:$E$7,5),0), "x",
ROUND(BT90*VLOOKUP(I90,'ID Scheme'!$A$2:$E$7,4),0))</f>
        <v>0x0x0</v>
      </c>
      <c r="BW90" t="s">
        <v>55</v>
      </c>
    </row>
    <row r="91" spans="1:75" x14ac:dyDescent="0.25">
      <c r="A91" t="s">
        <v>71</v>
      </c>
      <c r="B91" t="s">
        <v>211</v>
      </c>
      <c r="C91" t="s">
        <v>295</v>
      </c>
      <c r="D91">
        <f>IF(F91 &gt; 2020, ((F91-2020)*4)+1610+H91,IF(F91 &gt; 1900, ((F91-1900)*10)+400+H91, ((F91-1730)*2)+H91))+VLOOKUP(I91,'ID Scheme'!$A$2:$B$7,2, FALSE)</f>
        <v>7741</v>
      </c>
      <c r="F91">
        <v>1974</v>
      </c>
      <c r="G91">
        <v>6</v>
      </c>
      <c r="H91">
        <v>1</v>
      </c>
      <c r="I91" t="s">
        <v>48</v>
      </c>
      <c r="J91">
        <v>63</v>
      </c>
      <c r="K91">
        <v>22</v>
      </c>
      <c r="L91">
        <v>12</v>
      </c>
      <c r="M91">
        <v>5</v>
      </c>
      <c r="N91">
        <v>1.5</v>
      </c>
      <c r="O91">
        <v>55</v>
      </c>
      <c r="P91">
        <v>20</v>
      </c>
      <c r="Q91">
        <v>1</v>
      </c>
      <c r="R91" t="s">
        <v>377</v>
      </c>
      <c r="S91">
        <v>-4</v>
      </c>
      <c r="T91" s="2" t="s">
        <v>490</v>
      </c>
      <c r="U91" s="2"/>
      <c r="V91" s="2"/>
      <c r="W91" s="2"/>
      <c r="X91" s="2"/>
      <c r="Y91" s="2"/>
      <c r="Z91" s="2"/>
      <c r="AA91" s="2"/>
      <c r="AB91" s="2"/>
      <c r="AC91" s="2"/>
      <c r="AD91" s="2"/>
      <c r="AG91">
        <v>8</v>
      </c>
      <c r="AL91" s="8">
        <f t="shared" si="20"/>
        <v>0</v>
      </c>
      <c r="AU91" t="s">
        <v>361</v>
      </c>
      <c r="AZ91" s="2">
        <f>(SQRT(J91*AG91)*POWER((MIN(L91,20)+SQRT(MAX(L91-20,0))),0.9)*Data!$B$1)*(1-(Q91-1))</f>
        <v>15.759399066413742</v>
      </c>
      <c r="BA91" s="2">
        <f>(POWER((J91*J91*AG91), 0.33)*LOG10(O91)*10*Data!$B$1)*Q91</f>
        <v>39.928728984013709</v>
      </c>
      <c r="BB91" s="2"/>
      <c r="BC91" s="2"/>
      <c r="BD91" s="2">
        <f>IFERROR((SQRT($J91*$AH91)*POWER((MIN($L91,20)+SQRT(MAX($L91-20,0))),0.9)*Data!$B$1)*(1 - (Q91-1)),AZ91)</f>
        <v>0</v>
      </c>
      <c r="BE91" s="2">
        <f>IFERROR(((POWER(($J91*$J91*$AH91), 0.33)*LOG10($AE91)*10*Data!$B$1)*Q91),BA91)</f>
        <v>39.928728984013709</v>
      </c>
      <c r="BF91" s="2">
        <f t="shared" si="31"/>
        <v>50.806451612903224</v>
      </c>
      <c r="BG91" s="2">
        <f t="shared" si="32"/>
        <v>0</v>
      </c>
      <c r="BH91" s="2">
        <f t="shared" si="33"/>
        <v>0</v>
      </c>
      <c r="BI91" s="2">
        <f t="shared" si="34"/>
        <v>0</v>
      </c>
      <c r="BJ91" s="2">
        <v>1</v>
      </c>
      <c r="BK91" s="2">
        <v>1</v>
      </c>
      <c r="BL91" s="2">
        <f t="shared" si="35"/>
        <v>8</v>
      </c>
      <c r="BM91" s="2">
        <f t="shared" si="36"/>
        <v>0</v>
      </c>
      <c r="BN91" s="2">
        <f t="shared" si="37"/>
        <v>-1</v>
      </c>
      <c r="BO91" s="2">
        <f t="shared" si="38"/>
        <v>8</v>
      </c>
      <c r="BP91" s="2">
        <f t="shared" si="41"/>
        <v>-1</v>
      </c>
      <c r="BQ91" s="2">
        <f t="shared" si="40"/>
        <v>-1</v>
      </c>
      <c r="BT91" s="3"/>
      <c r="BU91">
        <f t="shared" si="27"/>
        <v>16</v>
      </c>
      <c r="BV91" s="2" t="str">
        <f>CONCATENATE(
ROUND(BR91*VLOOKUP(I91,'ID Scheme'!$A$2:$E$7,3),0), "x",
ROUND(BS91*VLOOKUP(I91,'ID Scheme'!$A$2:$E$7,5),0), "x",
ROUND(BT91*VLOOKUP(I91,'ID Scheme'!$A$2:$E$7,4),0))</f>
        <v>0x0x0</v>
      </c>
    </row>
    <row r="92" spans="1:75" x14ac:dyDescent="0.25">
      <c r="A92" t="s">
        <v>51</v>
      </c>
      <c r="B92" t="s">
        <v>203</v>
      </c>
      <c r="C92" t="s">
        <v>295</v>
      </c>
      <c r="D92">
        <f>IF(F92 &gt; 2020, ((F92-2020)*4)+1610+H92,IF(F92 &gt; 1900, ((F92-1900)*10)+400+H92, ((F92-1730)*2)+H92))+VLOOKUP(I92,'ID Scheme'!$A$2:$B$7,2, FALSE)</f>
        <v>7761</v>
      </c>
      <c r="F92">
        <v>1976</v>
      </c>
      <c r="G92">
        <v>9</v>
      </c>
      <c r="H92">
        <v>1</v>
      </c>
      <c r="I92" t="s">
        <v>48</v>
      </c>
      <c r="J92">
        <v>90</v>
      </c>
      <c r="K92">
        <v>18</v>
      </c>
      <c r="L92">
        <v>10</v>
      </c>
      <c r="M92">
        <v>4</v>
      </c>
      <c r="N92">
        <v>1.2</v>
      </c>
      <c r="O92">
        <v>73</v>
      </c>
      <c r="P92">
        <v>20</v>
      </c>
      <c r="Q92">
        <v>1</v>
      </c>
      <c r="R92" t="s">
        <v>378</v>
      </c>
      <c r="S92">
        <v>-4</v>
      </c>
      <c r="T92" s="2" t="s">
        <v>489</v>
      </c>
      <c r="U92" s="2"/>
      <c r="V92" s="2"/>
      <c r="W92" s="2"/>
      <c r="X92" s="2"/>
      <c r="Y92" s="2"/>
      <c r="Z92" s="2"/>
      <c r="AA92" s="2"/>
      <c r="AB92" s="2"/>
      <c r="AC92" s="2"/>
      <c r="AD92" s="2">
        <v>275</v>
      </c>
      <c r="AG92">
        <v>4</v>
      </c>
      <c r="AL92" s="8">
        <f t="shared" si="20"/>
        <v>0</v>
      </c>
      <c r="AN92">
        <v>70</v>
      </c>
      <c r="AU92" t="s">
        <v>362</v>
      </c>
      <c r="AZ92" s="2">
        <f>(SQRT(J92*AG92)*POWER((MIN(L92,20)+SQRT(MAX(L92-20,0))),0.9)*Data!$B$1)*(1-(Q92-1))</f>
        <v>11.303488941793114</v>
      </c>
      <c r="BA92" s="2">
        <f>(POWER((J92*J92*AG92), 0.33)*LOG10(O92)*10*Data!$B$1)*Q92</f>
        <v>43.035735424114051</v>
      </c>
      <c r="BB92" s="2"/>
      <c r="BC92" s="2"/>
      <c r="BD92" s="2">
        <f>IFERROR((SQRT($J92*$AH92)*POWER((MIN($L92,20)+SQRT(MAX($L92-20,0))),0.9)*Data!$B$1)*(1 - (Q92-1)),AZ92)</f>
        <v>0</v>
      </c>
      <c r="BE92" s="2">
        <f>IFERROR(((POWER(($J92*$J92*$AH92), 0.33)*LOG10($AE92)*10*Data!$B$1)*Q92),BA92)</f>
        <v>43.035735424114051</v>
      </c>
      <c r="BF92" s="2">
        <f t="shared" si="31"/>
        <v>72.58064516129032</v>
      </c>
      <c r="BG92" s="2">
        <f t="shared" si="32"/>
        <v>0</v>
      </c>
      <c r="BH92" s="2">
        <f t="shared" si="33"/>
        <v>0</v>
      </c>
      <c r="BI92" s="2">
        <f t="shared" si="34"/>
        <v>56.451612903225808</v>
      </c>
      <c r="BJ92" s="2">
        <v>1</v>
      </c>
      <c r="BK92" s="2">
        <v>1</v>
      </c>
      <c r="BL92" s="2">
        <f t="shared" si="35"/>
        <v>4</v>
      </c>
      <c r="BM92" s="2">
        <f t="shared" si="36"/>
        <v>0</v>
      </c>
      <c r="BN92" s="2">
        <f t="shared" si="37"/>
        <v>-1</v>
      </c>
      <c r="BO92" s="2">
        <f t="shared" si="38"/>
        <v>4</v>
      </c>
      <c r="BP92" s="2">
        <f t="shared" si="41"/>
        <v>-1</v>
      </c>
      <c r="BQ92" s="2">
        <f t="shared" si="40"/>
        <v>-1</v>
      </c>
      <c r="BR92" s="3">
        <v>4.4000000000000004</v>
      </c>
      <c r="BS92" s="3">
        <v>1.8</v>
      </c>
      <c r="BT92" s="3">
        <v>1.5</v>
      </c>
      <c r="BU92">
        <f t="shared" ref="BU92:BU115" si="42">F92-F91</f>
        <v>2</v>
      </c>
      <c r="BV92" s="2" t="str">
        <f>CONCATENATE(
ROUND(BR92*VLOOKUP(I92,'ID Scheme'!$A$2:$E$7,3),0), "x",
ROUND(BS92*VLOOKUP(I92,'ID Scheme'!$A$2:$E$7,5),0), "x",
ROUND(BT92*VLOOKUP(I92,'ID Scheme'!$A$2:$E$7,4),0))</f>
        <v>41x26x15</v>
      </c>
    </row>
    <row r="93" spans="1:75" x14ac:dyDescent="0.25">
      <c r="A93" t="s">
        <v>99</v>
      </c>
      <c r="B93" t="s">
        <v>270</v>
      </c>
      <c r="C93" t="s">
        <v>295</v>
      </c>
      <c r="D93">
        <f>IF(F93 &gt; 2020, ((F93-2020)*4)+1610+H93,IF(F93 &gt; 1900, ((F93-1900)*10)+400+H93, ((F93-1730)*2)+H93))+VLOOKUP(I93,'ID Scheme'!$A$2:$B$7,2, FALSE)</f>
        <v>7861</v>
      </c>
      <c r="F93">
        <v>1986</v>
      </c>
      <c r="G93">
        <v>2</v>
      </c>
      <c r="H93">
        <v>1</v>
      </c>
      <c r="I93" t="s">
        <v>48</v>
      </c>
      <c r="J93">
        <v>80</v>
      </c>
      <c r="K93">
        <v>26</v>
      </c>
      <c r="L93">
        <v>14</v>
      </c>
      <c r="M93">
        <v>5</v>
      </c>
      <c r="N93">
        <v>1.5</v>
      </c>
      <c r="O93">
        <v>100</v>
      </c>
      <c r="P93">
        <v>20</v>
      </c>
      <c r="Q93">
        <v>1</v>
      </c>
      <c r="R93" t="s">
        <v>377</v>
      </c>
      <c r="S93">
        <v>-4</v>
      </c>
      <c r="T93" s="2" t="s">
        <v>495</v>
      </c>
      <c r="U93" s="2"/>
      <c r="V93" s="2"/>
      <c r="W93" s="2"/>
      <c r="X93" s="2"/>
      <c r="Y93" s="2"/>
      <c r="Z93" s="2"/>
      <c r="AA93" s="2"/>
      <c r="AB93" s="2"/>
      <c r="AC93" s="2"/>
      <c r="AD93" s="2"/>
      <c r="AG93">
        <v>9</v>
      </c>
      <c r="AL93" s="8">
        <f t="shared" si="20"/>
        <v>0</v>
      </c>
      <c r="AN93">
        <v>70</v>
      </c>
      <c r="AU93" t="s">
        <v>361</v>
      </c>
      <c r="AZ93" s="2">
        <f>(SQRT(J93*AG93)*POWER((MIN(L93,20)+SQRT(MAX(L93-20,0))),0.9)*Data!$B$1)*(1-(Q93-1))</f>
        <v>21.639276873280725</v>
      </c>
      <c r="BA93" s="2">
        <f>(POWER((J93*J93*AG93), 0.33)*LOG10(O93)*10*Data!$B$1)*Q93</f>
        <v>55.850964649456358</v>
      </c>
      <c r="BB93" s="2"/>
      <c r="BC93" s="2"/>
      <c r="BD93" s="2">
        <f>IFERROR((SQRT($J93*$AH93)*POWER((MIN($L93,20)+SQRT(MAX($L93-20,0))),0.9)*Data!$B$1)*(1 - (Q93-1)),AZ93)</f>
        <v>0</v>
      </c>
      <c r="BE93" s="2">
        <f>IFERROR(((POWER(($J93*$J93*$AH93), 0.33)*LOG10($AE93)*10*Data!$B$1)*Q93),BA93)</f>
        <v>55.850964649456358</v>
      </c>
      <c r="BF93" s="2">
        <f t="shared" si="31"/>
        <v>64.516129032258064</v>
      </c>
      <c r="BG93" s="2">
        <f t="shared" si="32"/>
        <v>0</v>
      </c>
      <c r="BH93" s="2">
        <f t="shared" si="33"/>
        <v>0</v>
      </c>
      <c r="BI93" s="2">
        <f t="shared" si="34"/>
        <v>56.451612903225808</v>
      </c>
      <c r="BJ93" s="2">
        <v>1</v>
      </c>
      <c r="BK93" s="2">
        <v>1</v>
      </c>
      <c r="BL93" s="2">
        <f t="shared" si="35"/>
        <v>9</v>
      </c>
      <c r="BM93" s="2">
        <f t="shared" si="36"/>
        <v>0</v>
      </c>
      <c r="BN93" s="2">
        <f t="shared" si="37"/>
        <v>-1</v>
      </c>
      <c r="BO93" s="2">
        <f t="shared" si="38"/>
        <v>9</v>
      </c>
      <c r="BP93" s="2">
        <f t="shared" si="41"/>
        <v>-1</v>
      </c>
      <c r="BQ93" s="2">
        <f t="shared" si="40"/>
        <v>-1</v>
      </c>
      <c r="BT93" s="3"/>
      <c r="BU93">
        <f t="shared" si="42"/>
        <v>10</v>
      </c>
      <c r="BV93" s="2" t="str">
        <f>CONCATENATE(
ROUND(BR93*VLOOKUP(I93,'ID Scheme'!$A$2:$E$7,3),0), "x",
ROUND(BS93*VLOOKUP(I93,'ID Scheme'!$A$2:$E$7,5),0), "x",
ROUND(BT93*VLOOKUP(I93,'ID Scheme'!$A$2:$E$7,4),0))</f>
        <v>0x0x0</v>
      </c>
    </row>
    <row r="94" spans="1:75" x14ac:dyDescent="0.25">
      <c r="A94" t="s">
        <v>52</v>
      </c>
      <c r="B94" t="s">
        <v>223</v>
      </c>
      <c r="C94" t="s">
        <v>295</v>
      </c>
      <c r="D94">
        <f>IF(F94 &gt; 2020, ((F94-2020)*4)+1610+H94,IF(F94 &gt; 1900, ((F94-1900)*10)+400+H94, ((F94-1730)*2)+H94))+VLOOKUP(I94,'ID Scheme'!$A$2:$B$7,2, FALSE)</f>
        <v>7941</v>
      </c>
      <c r="F94">
        <v>1994</v>
      </c>
      <c r="G94">
        <v>4</v>
      </c>
      <c r="H94">
        <v>1</v>
      </c>
      <c r="I94" t="s">
        <v>48</v>
      </c>
      <c r="J94">
        <v>120</v>
      </c>
      <c r="K94">
        <v>15</v>
      </c>
      <c r="L94">
        <v>12</v>
      </c>
      <c r="M94">
        <v>4</v>
      </c>
      <c r="N94">
        <v>1.7</v>
      </c>
      <c r="O94">
        <v>168</v>
      </c>
      <c r="P94">
        <v>20</v>
      </c>
      <c r="Q94">
        <v>1.05</v>
      </c>
      <c r="R94" t="s">
        <v>378</v>
      </c>
      <c r="S94">
        <v>-4</v>
      </c>
      <c r="T94" s="2" t="s">
        <v>487</v>
      </c>
      <c r="U94" s="2"/>
      <c r="V94" s="2"/>
      <c r="W94" s="2"/>
      <c r="X94" s="2"/>
      <c r="Y94" s="2"/>
      <c r="Z94" s="2"/>
      <c r="AA94" s="2"/>
      <c r="AB94" s="2"/>
      <c r="AC94" s="2"/>
      <c r="AD94" s="2">
        <v>275</v>
      </c>
      <c r="AG94">
        <v>4</v>
      </c>
      <c r="AL94" s="8">
        <f t="shared" si="20"/>
        <v>0</v>
      </c>
      <c r="AN94">
        <v>70</v>
      </c>
      <c r="AU94" t="s">
        <v>362</v>
      </c>
      <c r="AZ94" s="2">
        <f>(SQRT(J94*AG94)*POWER((MIN(L94,20)+SQRT(MAX(L94-20,0))),0.9)*Data!$B$1)*(1-(Q94-1))</f>
        <v>14.610618763611306</v>
      </c>
      <c r="BA94" s="2">
        <f>(POWER((J94*J94*AG94), 0.33)*LOG10(O94)*10*Data!$B$1)*Q94</f>
        <v>65.249976764583593</v>
      </c>
      <c r="BB94" s="2"/>
      <c r="BC94" s="2"/>
      <c r="BD94" s="2">
        <f>IFERROR((SQRT($J94*$AH94)*POWER((MIN($L94,20)+SQRT(MAX($L94-20,0))),0.9)*Data!$B$1)*(1 - (Q94-1)),AZ94)</f>
        <v>0</v>
      </c>
      <c r="BE94" s="2">
        <f>IFERROR(((POWER(($J94*$J94*$AH94), 0.33)*LOG10($AE94)*10*Data!$B$1)*Q94),BA94)</f>
        <v>65.249976764583593</v>
      </c>
      <c r="BF94" s="2">
        <f t="shared" si="31"/>
        <v>96.774193548387103</v>
      </c>
      <c r="BG94" s="2">
        <f t="shared" si="32"/>
        <v>0</v>
      </c>
      <c r="BH94" s="2">
        <f t="shared" si="33"/>
        <v>0</v>
      </c>
      <c r="BI94" s="2">
        <f t="shared" si="34"/>
        <v>56.451612903225808</v>
      </c>
      <c r="BJ94" s="2">
        <v>1</v>
      </c>
      <c r="BK94" s="2">
        <v>1</v>
      </c>
      <c r="BL94" s="2">
        <f t="shared" si="35"/>
        <v>4</v>
      </c>
      <c r="BM94" s="2">
        <f t="shared" si="36"/>
        <v>0</v>
      </c>
      <c r="BN94" s="2">
        <f t="shared" si="37"/>
        <v>-1</v>
      </c>
      <c r="BO94" s="2">
        <f t="shared" si="38"/>
        <v>4</v>
      </c>
      <c r="BP94" s="2">
        <f t="shared" si="41"/>
        <v>-1</v>
      </c>
      <c r="BQ94" s="2">
        <f t="shared" si="40"/>
        <v>-1</v>
      </c>
      <c r="BR94" s="3">
        <v>5</v>
      </c>
      <c r="BS94" s="3">
        <v>2</v>
      </c>
      <c r="BT94" s="3">
        <v>1.5</v>
      </c>
      <c r="BU94">
        <f t="shared" si="42"/>
        <v>8</v>
      </c>
      <c r="BV94" s="2" t="str">
        <f>CONCATENATE(
ROUND(BR94*VLOOKUP(I94,'ID Scheme'!$A$2:$E$7,3),0), "x",
ROUND(BS94*VLOOKUP(I94,'ID Scheme'!$A$2:$E$7,5),0), "x",
ROUND(BT94*VLOOKUP(I94,'ID Scheme'!$A$2:$E$7,4),0))</f>
        <v>47x29x15</v>
      </c>
    </row>
    <row r="95" spans="1:75" x14ac:dyDescent="0.25">
      <c r="A95" t="s">
        <v>50</v>
      </c>
      <c r="B95" t="s">
        <v>213</v>
      </c>
      <c r="C95" t="s">
        <v>383</v>
      </c>
      <c r="D95">
        <f>IF(F95 &gt; 2020, ((F95-2020)*4)+1610+H95,IF(F95 &gt; 1900, ((F95-1900)*10)+400+H95, ((F95-1730)*2)+H95))+VLOOKUP(I95,'ID Scheme'!$A$2:$B$7,2, FALSE)</f>
        <v>7971</v>
      </c>
      <c r="F95">
        <v>1997</v>
      </c>
      <c r="G95">
        <v>1</v>
      </c>
      <c r="H95">
        <v>1</v>
      </c>
      <c r="I95" t="s">
        <v>48</v>
      </c>
      <c r="J95">
        <v>81</v>
      </c>
      <c r="K95">
        <v>-1</v>
      </c>
      <c r="L95">
        <v>15</v>
      </c>
      <c r="M95">
        <v>5</v>
      </c>
      <c r="N95">
        <v>1.8</v>
      </c>
      <c r="O95">
        <v>88</v>
      </c>
      <c r="P95">
        <v>12</v>
      </c>
      <c r="Q95">
        <v>0.95</v>
      </c>
      <c r="R95" t="s">
        <v>377</v>
      </c>
      <c r="S95">
        <v>-4</v>
      </c>
      <c r="T95" s="2" t="s">
        <v>486</v>
      </c>
      <c r="U95" s="2"/>
      <c r="V95" s="2"/>
      <c r="W95" s="2"/>
      <c r="X95" s="2"/>
      <c r="Y95" s="2"/>
      <c r="Z95" s="2"/>
      <c r="AA95" s="2"/>
      <c r="AB95" s="2"/>
      <c r="AC95" s="2"/>
      <c r="AD95" s="2">
        <v>230</v>
      </c>
      <c r="AG95">
        <v>5</v>
      </c>
      <c r="AL95" s="8">
        <f t="shared" si="20"/>
        <v>0</v>
      </c>
      <c r="AN95">
        <v>70</v>
      </c>
      <c r="AU95" t="s">
        <v>362</v>
      </c>
      <c r="AZ95" s="2">
        <f>(SQRT(J95*AG95)*POWER((MIN(L95,20)+SQRT(MAX(L95-20,0))),0.9)*Data!$B$1)*(1-(Q95-1))</f>
        <v>18.132605259711607</v>
      </c>
      <c r="BA95" s="2">
        <f>(POWER((J95*J95*AG95), 0.33)*LOG10(O95)*10*Data!$B$1)*Q95</f>
        <v>42.839970188987628</v>
      </c>
      <c r="BB95" s="2"/>
      <c r="BC95" s="2"/>
      <c r="BD95" s="2">
        <f>IFERROR((SQRT($J95*$AH95)*POWER((MIN($L95,20)+SQRT(MAX($L95-20,0))),0.9)*Data!$B$1)*(1 - (Q95-1)),AZ95)</f>
        <v>0</v>
      </c>
      <c r="BE95" s="2">
        <f>IFERROR(((POWER(($J95*$J95*$AH95), 0.33)*LOG10($AE95)*10*Data!$B$1)*Q95),BA95)</f>
        <v>42.839970188987628</v>
      </c>
      <c r="BF95" s="2">
        <f t="shared" si="31"/>
        <v>65.322580645161295</v>
      </c>
      <c r="BG95" s="2">
        <f t="shared" si="32"/>
        <v>0</v>
      </c>
      <c r="BH95" s="2">
        <f t="shared" si="33"/>
        <v>0</v>
      </c>
      <c r="BI95" s="2">
        <f t="shared" si="34"/>
        <v>56.451612903225808</v>
      </c>
      <c r="BJ95" s="2">
        <v>1</v>
      </c>
      <c r="BK95" s="2">
        <v>1</v>
      </c>
      <c r="BL95" s="2">
        <f t="shared" si="35"/>
        <v>5</v>
      </c>
      <c r="BM95" s="2">
        <f t="shared" si="36"/>
        <v>0</v>
      </c>
      <c r="BN95" s="2">
        <f t="shared" si="37"/>
        <v>-1</v>
      </c>
      <c r="BO95" s="2">
        <f t="shared" si="38"/>
        <v>5</v>
      </c>
      <c r="BP95" s="2">
        <f t="shared" si="41"/>
        <v>-1</v>
      </c>
      <c r="BQ95" s="2">
        <f t="shared" si="40"/>
        <v>-1</v>
      </c>
      <c r="BR95" s="3"/>
      <c r="BS95" s="3"/>
      <c r="BT95" s="3"/>
      <c r="BU95">
        <f t="shared" si="42"/>
        <v>3</v>
      </c>
      <c r="BV95" s="2" t="str">
        <f>CONCATENATE(
ROUND(BR95*VLOOKUP(I95,'ID Scheme'!$A$2:$E$7,3),0), "x",
ROUND(BS95*VLOOKUP(I95,'ID Scheme'!$A$2:$E$7,5),0), "x",
ROUND(BT95*VLOOKUP(I95,'ID Scheme'!$A$2:$E$7,4),0))</f>
        <v>0x0x0</v>
      </c>
      <c r="BW95" t="s">
        <v>56</v>
      </c>
    </row>
    <row r="96" spans="1:75" x14ac:dyDescent="0.25">
      <c r="A96" t="s">
        <v>54</v>
      </c>
      <c r="B96" t="s">
        <v>272</v>
      </c>
      <c r="C96" t="s">
        <v>295</v>
      </c>
      <c r="D96">
        <f>IF(F96 &gt; 2020, ((F96-2020)*4)+1610+H96,IF(F96 &gt; 1900, ((F96-1900)*10)+400+H96, ((F96-1730)*2)+H96))+VLOOKUP(I96,'ID Scheme'!$A$2:$B$7,2, FALSE)</f>
        <v>8041</v>
      </c>
      <c r="F96">
        <v>2004</v>
      </c>
      <c r="G96">
        <v>2</v>
      </c>
      <c r="H96">
        <v>1</v>
      </c>
      <c r="I96" t="s">
        <v>48</v>
      </c>
      <c r="J96">
        <v>145</v>
      </c>
      <c r="K96">
        <v>10</v>
      </c>
      <c r="L96">
        <v>14</v>
      </c>
      <c r="M96">
        <v>4</v>
      </c>
      <c r="N96">
        <v>1.5</v>
      </c>
      <c r="O96">
        <v>217</v>
      </c>
      <c r="P96">
        <v>16</v>
      </c>
      <c r="Q96">
        <v>1</v>
      </c>
      <c r="R96" t="s">
        <v>379</v>
      </c>
      <c r="S96">
        <v>-4</v>
      </c>
      <c r="T96" s="2" t="s">
        <v>484</v>
      </c>
      <c r="U96" s="2"/>
      <c r="V96" s="2"/>
      <c r="W96" s="2"/>
      <c r="X96" s="2"/>
      <c r="Y96" s="2"/>
      <c r="Z96" s="2"/>
      <c r="AA96" s="2"/>
      <c r="AB96" s="2"/>
      <c r="AC96" s="2"/>
      <c r="AD96" s="2">
        <v>295</v>
      </c>
      <c r="AG96">
        <v>4</v>
      </c>
      <c r="AL96" s="8">
        <f t="shared" si="20"/>
        <v>0</v>
      </c>
      <c r="AN96">
        <v>70</v>
      </c>
      <c r="AU96" t="s">
        <v>363</v>
      </c>
      <c r="AZ96" s="2">
        <f>(SQRT(J96*AG96)*POWER((MIN(L96,20)+SQRT(MAX(L96-20,0))),0.9)*Data!$B$1)*(1-(Q96-1))</f>
        <v>19.421845378305154</v>
      </c>
      <c r="BA96" s="2">
        <f>(POWER((J96*J96*AG96), 0.33)*LOG10(O96)*10*Data!$B$1)*Q96</f>
        <v>73.926857052811044</v>
      </c>
      <c r="BB96" s="2"/>
      <c r="BC96" s="2"/>
      <c r="BD96" s="2">
        <f>IFERROR((SQRT($J96*$AH96)*POWER((MIN($L96,20)+SQRT(MAX($L96-20,0))),0.9)*Data!$B$1)*(1 - (Q96-1)),AZ96)</f>
        <v>0</v>
      </c>
      <c r="BE96" s="2">
        <f>IFERROR(((POWER(($J96*$J96*$AH96), 0.33)*LOG10($AE96)*10*Data!$B$1)*Q96),BA96)</f>
        <v>73.926857052811044</v>
      </c>
      <c r="BF96" s="2">
        <f t="shared" si="31"/>
        <v>116.93548387096774</v>
      </c>
      <c r="BG96" s="2">
        <f t="shared" si="32"/>
        <v>0</v>
      </c>
      <c r="BH96" s="2">
        <f t="shared" si="33"/>
        <v>0</v>
      </c>
      <c r="BI96" s="2">
        <f t="shared" si="34"/>
        <v>56.451612903225808</v>
      </c>
      <c r="BJ96" s="2">
        <v>1</v>
      </c>
      <c r="BK96" s="2">
        <v>1</v>
      </c>
      <c r="BL96" s="2">
        <f t="shared" si="35"/>
        <v>4</v>
      </c>
      <c r="BM96" s="2">
        <f t="shared" si="36"/>
        <v>0</v>
      </c>
      <c r="BN96" s="2">
        <f t="shared" si="37"/>
        <v>-1</v>
      </c>
      <c r="BO96" s="2">
        <f t="shared" si="38"/>
        <v>4</v>
      </c>
      <c r="BP96" s="2">
        <f t="shared" si="41"/>
        <v>-1</v>
      </c>
      <c r="BQ96" s="2">
        <f t="shared" si="40"/>
        <v>-1</v>
      </c>
      <c r="BR96" s="3"/>
      <c r="BS96" s="3"/>
      <c r="BT96" s="3"/>
      <c r="BU96">
        <f t="shared" si="42"/>
        <v>7</v>
      </c>
      <c r="BV96" s="2" t="str">
        <f>CONCATENATE(
ROUND(BR96*VLOOKUP(I96,'ID Scheme'!$A$2:$E$7,3),0), "x",
ROUND(BS96*VLOOKUP(I96,'ID Scheme'!$A$2:$E$7,5),0), "x",
ROUND(BT96*VLOOKUP(I96,'ID Scheme'!$A$2:$E$7,4),0))</f>
        <v>0x0x0</v>
      </c>
    </row>
    <row r="97" spans="1:75" x14ac:dyDescent="0.25">
      <c r="A97" t="s">
        <v>53</v>
      </c>
      <c r="B97" t="s">
        <v>222</v>
      </c>
      <c r="C97" t="s">
        <v>295</v>
      </c>
      <c r="D97">
        <f>IF(F97 &gt; 2020, ((F97-2020)*4)+1610+H97,IF(F97 &gt; 1900, ((F97-1900)*10)+400+H97, ((F97-1730)*2)+H97))+VLOOKUP(I97,'ID Scheme'!$A$2:$B$7,2, FALSE)</f>
        <v>8091</v>
      </c>
      <c r="F97">
        <v>2009</v>
      </c>
      <c r="G97">
        <v>1</v>
      </c>
      <c r="H97">
        <v>1</v>
      </c>
      <c r="I97" t="s">
        <v>48</v>
      </c>
      <c r="J97">
        <v>105</v>
      </c>
      <c r="K97">
        <v>-1</v>
      </c>
      <c r="L97">
        <v>12</v>
      </c>
      <c r="M97">
        <v>4</v>
      </c>
      <c r="N97">
        <v>1.5</v>
      </c>
      <c r="O97">
        <v>134</v>
      </c>
      <c r="P97">
        <v>20</v>
      </c>
      <c r="Q97">
        <v>0.85</v>
      </c>
      <c r="R97" t="s">
        <v>378</v>
      </c>
      <c r="S97">
        <v>-4</v>
      </c>
      <c r="T97" s="2" t="s">
        <v>483</v>
      </c>
      <c r="U97" s="2"/>
      <c r="V97" s="2"/>
      <c r="W97" s="2"/>
      <c r="X97" s="2"/>
      <c r="Y97" s="2"/>
      <c r="Z97" s="2"/>
      <c r="AA97" s="2"/>
      <c r="AB97" s="2"/>
      <c r="AC97" s="2"/>
      <c r="AD97" s="2">
        <v>275</v>
      </c>
      <c r="AG97">
        <v>4</v>
      </c>
      <c r="AL97" s="8">
        <f t="shared" si="20"/>
        <v>0</v>
      </c>
      <c r="AN97">
        <v>70</v>
      </c>
      <c r="AU97" t="s">
        <v>362</v>
      </c>
      <c r="AZ97" s="2">
        <f>(SQRT(J97*AG97)*POWER((MIN(L97,20)+SQRT(MAX(L97-20,0))),0.9)*Data!$B$1)*(1-(Q97-1))</f>
        <v>16.544241859351267</v>
      </c>
      <c r="BA97" s="2">
        <f>(POWER((J97*J97*AG97), 0.33)*LOG10(O97)*10*Data!$B$1)*Q97</f>
        <v>46.231055712636888</v>
      </c>
      <c r="BB97" s="2"/>
      <c r="BC97" s="2"/>
      <c r="BD97" s="2">
        <f>IFERROR((SQRT($J97*$AH97)*POWER((MIN($L97,20)+SQRT(MAX($L97-20,0))),0.9)*Data!$B$1)*(1 - (Q97-1)),AZ97)</f>
        <v>0</v>
      </c>
      <c r="BE97" s="2">
        <f>IFERROR(((POWER(($J97*$J97*$AH97), 0.33)*LOG10($AE97)*10*Data!$B$1)*Q97),BA97)</f>
        <v>46.231055712636888</v>
      </c>
      <c r="BF97" s="2">
        <f t="shared" si="31"/>
        <v>84.677419354838705</v>
      </c>
      <c r="BG97" s="2">
        <f t="shared" si="32"/>
        <v>0</v>
      </c>
      <c r="BH97" s="2">
        <f t="shared" si="33"/>
        <v>0</v>
      </c>
      <c r="BI97" s="2">
        <f t="shared" si="34"/>
        <v>56.451612903225808</v>
      </c>
      <c r="BJ97" s="2">
        <v>1</v>
      </c>
      <c r="BK97" s="2">
        <v>1</v>
      </c>
      <c r="BL97" s="2">
        <f t="shared" si="35"/>
        <v>4</v>
      </c>
      <c r="BM97" s="2">
        <f t="shared" si="36"/>
        <v>0</v>
      </c>
      <c r="BN97" s="2">
        <f t="shared" si="37"/>
        <v>-1</v>
      </c>
      <c r="BO97" s="2">
        <f t="shared" si="38"/>
        <v>4</v>
      </c>
      <c r="BP97" s="2">
        <f t="shared" si="41"/>
        <v>-1</v>
      </c>
      <c r="BQ97" s="2">
        <f t="shared" si="40"/>
        <v>-1</v>
      </c>
      <c r="BR97" s="3"/>
      <c r="BS97" s="3"/>
      <c r="BT97" s="3"/>
      <c r="BU97">
        <f t="shared" si="42"/>
        <v>5</v>
      </c>
      <c r="BV97" s="2" t="str">
        <f>CONCATENATE(
ROUND(BR97*VLOOKUP(I97,'ID Scheme'!$A$2:$E$7,3),0), "x",
ROUND(BS97*VLOOKUP(I97,'ID Scheme'!$A$2:$E$7,5),0), "x",
ROUND(BT97*VLOOKUP(I97,'ID Scheme'!$A$2:$E$7,4),0))</f>
        <v>0x0x0</v>
      </c>
    </row>
    <row r="98" spans="1:75" x14ac:dyDescent="0.25">
      <c r="A98" t="s">
        <v>100</v>
      </c>
      <c r="B98" t="s">
        <v>271</v>
      </c>
      <c r="C98" t="s">
        <v>295</v>
      </c>
      <c r="D98">
        <f>IF(F98 &gt; 2020, ((F98-2020)*4)+1610+H98,IF(F98 &gt; 1900, ((F98-1900)*10)+400+H98, ((F98-1730)*2)+H98))+VLOOKUP(I98,'ID Scheme'!$A$2:$B$7,2, FALSE)</f>
        <v>8141</v>
      </c>
      <c r="F98">
        <v>2014</v>
      </c>
      <c r="G98">
        <v>1</v>
      </c>
      <c r="H98">
        <v>1</v>
      </c>
      <c r="I98" t="s">
        <v>48</v>
      </c>
      <c r="J98">
        <v>95</v>
      </c>
      <c r="K98">
        <v>-1</v>
      </c>
      <c r="L98">
        <v>12</v>
      </c>
      <c r="M98">
        <v>5</v>
      </c>
      <c r="N98">
        <v>1.5</v>
      </c>
      <c r="O98">
        <v>120</v>
      </c>
      <c r="P98">
        <v>20</v>
      </c>
      <c r="Q98">
        <v>1</v>
      </c>
      <c r="R98" t="s">
        <v>378</v>
      </c>
      <c r="S98">
        <v>-4</v>
      </c>
      <c r="T98" s="2" t="s">
        <v>482</v>
      </c>
      <c r="U98" s="2"/>
      <c r="V98" s="2"/>
      <c r="W98" s="2"/>
      <c r="X98" s="2"/>
      <c r="Y98" s="2"/>
      <c r="Z98" s="2"/>
      <c r="AA98" s="2"/>
      <c r="AB98" s="2"/>
      <c r="AC98" s="2"/>
      <c r="AD98" s="2"/>
      <c r="AG98">
        <v>9</v>
      </c>
      <c r="AL98" s="8">
        <f t="shared" si="20"/>
        <v>0</v>
      </c>
      <c r="AN98">
        <v>70</v>
      </c>
      <c r="AU98" t="s">
        <v>361</v>
      </c>
      <c r="AZ98" s="2">
        <f>(SQRT(J98*AG98)*POWER((MIN(L98,20)+SQRT(MAX(L98-20,0))),0.9)*Data!$B$1)*(1-(Q98-1))</f>
        <v>20.52614734864143</v>
      </c>
      <c r="BA98" s="2">
        <f>(POWER((J98*J98*AG98), 0.33)*LOG10(O98)*10*Data!$B$1)*Q98</f>
        <v>65.035610325244349</v>
      </c>
      <c r="BB98" s="2"/>
      <c r="BC98" s="2"/>
      <c r="BD98" s="2">
        <f>IFERROR((SQRT($J98*$AH98)*POWER((MIN($L98,20)+SQRT(MAX($L98-20,0))),0.9)*Data!$B$1)*(1 - (Q98-1)),AZ98)</f>
        <v>0</v>
      </c>
      <c r="BE98" s="2">
        <f>IFERROR(((POWER(($J98*$J98*$AH98), 0.33)*LOG10($AE98)*10*Data!$B$1)*Q98),BA98)</f>
        <v>65.035610325244349</v>
      </c>
      <c r="BF98" s="2">
        <f t="shared" si="31"/>
        <v>76.612903225806448</v>
      </c>
      <c r="BG98" s="2">
        <f t="shared" si="32"/>
        <v>0</v>
      </c>
      <c r="BH98" s="2">
        <f t="shared" si="33"/>
        <v>0</v>
      </c>
      <c r="BI98" s="2">
        <f t="shared" si="34"/>
        <v>56.451612903225808</v>
      </c>
      <c r="BJ98" s="2">
        <v>1</v>
      </c>
      <c r="BK98" s="2">
        <v>1</v>
      </c>
      <c r="BL98" s="2">
        <f t="shared" si="35"/>
        <v>9</v>
      </c>
      <c r="BM98" s="2">
        <f t="shared" si="36"/>
        <v>0</v>
      </c>
      <c r="BN98" s="2">
        <f t="shared" si="37"/>
        <v>-1</v>
      </c>
      <c r="BO98" s="2">
        <f t="shared" si="38"/>
        <v>9</v>
      </c>
      <c r="BP98" s="2">
        <f t="shared" si="41"/>
        <v>-1</v>
      </c>
      <c r="BQ98" s="2">
        <f t="shared" si="40"/>
        <v>-1</v>
      </c>
      <c r="BT98" s="3"/>
      <c r="BU98">
        <f t="shared" si="42"/>
        <v>5</v>
      </c>
      <c r="BV98" s="2" t="str">
        <f>CONCATENATE(
ROUND(BR98*VLOOKUP(I98,'ID Scheme'!$A$2:$E$7,3),0), "x",
ROUND(BS98*VLOOKUP(I98,'ID Scheme'!$A$2:$E$7,5),0), "x",
ROUND(BT98*VLOOKUP(I98,'ID Scheme'!$A$2:$E$7,4),0))</f>
        <v>0x0x0</v>
      </c>
    </row>
    <row r="99" spans="1:75" x14ac:dyDescent="0.25">
      <c r="A99" t="s">
        <v>262</v>
      </c>
      <c r="B99" t="s">
        <v>385</v>
      </c>
      <c r="C99" t="s">
        <v>394</v>
      </c>
      <c r="D99">
        <f>IF(F99 &gt; 2020, ((F99-2020)*4)+1610+H99,IF(F99 &gt; 1900, ((F99-1900)*10)+400+H99, ((F99-1730)*2)+H99))+VLOOKUP(I99,'ID Scheme'!$A$2:$B$7,2, FALSE)</f>
        <v>8161</v>
      </c>
      <c r="F99">
        <v>2016</v>
      </c>
      <c r="G99">
        <v>1</v>
      </c>
      <c r="H99">
        <v>1</v>
      </c>
      <c r="I99" t="s">
        <v>48</v>
      </c>
      <c r="J99">
        <v>155</v>
      </c>
      <c r="K99">
        <v>-1</v>
      </c>
      <c r="L99">
        <v>10</v>
      </c>
      <c r="M99">
        <v>4</v>
      </c>
      <c r="N99">
        <v>1.7</v>
      </c>
      <c r="O99">
        <v>310</v>
      </c>
      <c r="P99">
        <v>22</v>
      </c>
      <c r="Q99">
        <v>1</v>
      </c>
      <c r="R99" t="s">
        <v>380</v>
      </c>
      <c r="S99">
        <v>-4</v>
      </c>
      <c r="T99" s="2" t="s">
        <v>485</v>
      </c>
      <c r="U99" s="2"/>
      <c r="V99" s="2"/>
      <c r="W99" s="2"/>
      <c r="X99" s="2"/>
      <c r="Y99" s="2"/>
      <c r="Z99" s="2"/>
      <c r="AA99" s="2"/>
      <c r="AB99" s="2"/>
      <c r="AC99" s="2"/>
      <c r="AD99" s="2">
        <v>335</v>
      </c>
      <c r="AG99">
        <v>4</v>
      </c>
      <c r="AH99">
        <v>2</v>
      </c>
      <c r="AI99">
        <v>3</v>
      </c>
      <c r="AL99" s="8">
        <f t="shared" si="20"/>
        <v>3</v>
      </c>
      <c r="AN99">
        <v>70</v>
      </c>
      <c r="AU99" t="s">
        <v>363</v>
      </c>
      <c r="AZ99" s="2">
        <f>(SQRT(J99*AG99)*POWER((MIN(L99,20)+SQRT(MAX(L99-20,0))),0.9)*Data!$B$1)*(1-(Q99-1))</f>
        <v>14.833960155247404</v>
      </c>
      <c r="BA99" s="2">
        <f>(POWER((J99*J99*AG99), 0.33)*LOG10(O99)*10*Data!$B$1)*Q99</f>
        <v>82.375253472873595</v>
      </c>
      <c r="BB99" s="2"/>
      <c r="BC99" s="2"/>
      <c r="BD99" s="2">
        <f>IFERROR((SQRT($J99*$AH99)*POWER((MIN($L99,20)+SQRT(MAX($L99-20,0))),0.9)*Data!$B$1)*(1 - (Q99-1)),AZ99)</f>
        <v>10.489193817626489</v>
      </c>
      <c r="BE99" s="2">
        <f>IFERROR(((POWER(($J99*$J99*$AH99), 0.33)*LOG10($AE99)*10*Data!$B$1)*Q99),BA99)</f>
        <v>82.375253472873595</v>
      </c>
      <c r="BF99" s="2">
        <f t="shared" si="31"/>
        <v>125</v>
      </c>
      <c r="BG99" s="2">
        <f t="shared" si="32"/>
        <v>0</v>
      </c>
      <c r="BH99" s="2">
        <f t="shared" si="33"/>
        <v>0</v>
      </c>
      <c r="BI99" s="2">
        <f t="shared" si="34"/>
        <v>56.451612903225808</v>
      </c>
      <c r="BJ99" s="2">
        <v>1</v>
      </c>
      <c r="BK99" s="2">
        <v>1</v>
      </c>
      <c r="BL99" s="2">
        <f t="shared" si="35"/>
        <v>4</v>
      </c>
      <c r="BM99" s="2">
        <f t="shared" si="36"/>
        <v>2</v>
      </c>
      <c r="BN99" s="2">
        <f t="shared" si="37"/>
        <v>-1</v>
      </c>
      <c r="BO99" s="2">
        <f t="shared" si="38"/>
        <v>4</v>
      </c>
      <c r="BP99" s="2">
        <f t="shared" si="41"/>
        <v>3</v>
      </c>
      <c r="BQ99" s="2">
        <f t="shared" si="40"/>
        <v>2</v>
      </c>
      <c r="BR99" s="3">
        <v>4.5999999999999996</v>
      </c>
      <c r="BS99" s="3">
        <v>1.8</v>
      </c>
      <c r="BT99" s="3">
        <v>1.4</v>
      </c>
      <c r="BU99">
        <f t="shared" si="42"/>
        <v>2</v>
      </c>
      <c r="BV99" s="2" t="str">
        <f>CONCATENATE(
ROUND(BR99*VLOOKUP(I99,'ID Scheme'!$A$2:$E$7,3),0), "x",
ROUND(BS99*VLOOKUP(I99,'ID Scheme'!$A$2:$E$7,5),0), "x",
ROUND(BT99*VLOOKUP(I99,'ID Scheme'!$A$2:$E$7,4),0))</f>
        <v>43x26x14</v>
      </c>
    </row>
    <row r="100" spans="1:75" x14ac:dyDescent="0.25">
      <c r="A100" t="s">
        <v>105</v>
      </c>
      <c r="B100" t="s">
        <v>204</v>
      </c>
      <c r="C100" t="s">
        <v>336</v>
      </c>
      <c r="D100">
        <f>IF(F100 &gt; 2020, ((F100-2020)*4)+1610+H100,IF(F100 &gt; 1900, ((F100-1900)*10)+400+H100, ((F100-1730)*2)+H100))+VLOOKUP(I100,'ID Scheme'!$A$2:$B$7,2, FALSE)</f>
        <v>8861</v>
      </c>
      <c r="F100">
        <v>1860</v>
      </c>
      <c r="G100">
        <v>1</v>
      </c>
      <c r="H100">
        <v>1</v>
      </c>
      <c r="I100" t="s">
        <v>104</v>
      </c>
      <c r="J100">
        <v>18</v>
      </c>
      <c r="K100">
        <v>50</v>
      </c>
      <c r="L100">
        <v>35</v>
      </c>
      <c r="M100">
        <v>9</v>
      </c>
      <c r="N100">
        <v>8</v>
      </c>
      <c r="O100">
        <v>15</v>
      </c>
      <c r="P100">
        <v>20</v>
      </c>
      <c r="Q100">
        <v>1</v>
      </c>
      <c r="R100" t="s">
        <v>297</v>
      </c>
      <c r="S100">
        <v>0</v>
      </c>
      <c r="T100" s="2" t="s">
        <v>475</v>
      </c>
      <c r="U100" s="2"/>
      <c r="V100" s="2"/>
      <c r="W100" s="2"/>
      <c r="X100" s="2"/>
      <c r="Y100" s="2"/>
      <c r="Z100" s="2"/>
      <c r="AA100" s="2"/>
      <c r="AB100" s="2"/>
      <c r="AC100" s="2"/>
      <c r="AD100" s="2"/>
      <c r="AG100">
        <v>24</v>
      </c>
      <c r="AL100" s="8">
        <f t="shared" si="20"/>
        <v>0</v>
      </c>
      <c r="AO100" t="s">
        <v>439</v>
      </c>
      <c r="AQ100" t="s">
        <v>528</v>
      </c>
      <c r="AR100" t="s">
        <v>528</v>
      </c>
      <c r="AS100" t="s">
        <v>439</v>
      </c>
      <c r="AT100" t="s">
        <v>440</v>
      </c>
      <c r="AU100" t="s">
        <v>364</v>
      </c>
      <c r="AV100">
        <v>1</v>
      </c>
      <c r="AY100" t="s">
        <v>389</v>
      </c>
      <c r="AZ100" s="2">
        <f>(SQRT(J100*AG100)*POWER((MIN(L100,20)+SQRT(MAX(L100-20,0))),0.9)*Data!$B$1)*(1-(Q100-1))</f>
        <v>27.096872159029786</v>
      </c>
      <c r="BA100" s="2">
        <f>(POWER((J100*J100*AG100), 0.33)*LOG10(O100)*10*Data!$B$1)*Q100</f>
        <v>16.961015410572251</v>
      </c>
      <c r="BB100" s="2"/>
      <c r="BC100" s="2"/>
      <c r="BD100" s="2">
        <f>IFERROR((SQRT($J100*$AH100)*POWER((MIN($L100,20)+SQRT(MAX($L100-20,0))),0.9)*Data!$B$1)*(1 - (Q100-1)),AZ100)</f>
        <v>0</v>
      </c>
      <c r="BE100" s="2">
        <f>IFERROR(((POWER(($J100*$J100*$AH100), 0.33)*LOG10($AE100)*10*Data!$B$1)*Q100),BA100)</f>
        <v>16.961015410572251</v>
      </c>
      <c r="BF100" s="2">
        <f t="shared" si="31"/>
        <v>14.516129032258064</v>
      </c>
      <c r="BG100" s="2">
        <f t="shared" si="32"/>
        <v>0</v>
      </c>
      <c r="BH100" s="2">
        <f t="shared" si="33"/>
        <v>0</v>
      </c>
      <c r="BI100" s="2">
        <f t="shared" si="34"/>
        <v>0</v>
      </c>
      <c r="BJ100" s="2">
        <v>1</v>
      </c>
      <c r="BK100" s="2">
        <v>1</v>
      </c>
      <c r="BL100" s="2">
        <f t="shared" si="35"/>
        <v>24</v>
      </c>
      <c r="BM100" s="2">
        <f t="shared" si="36"/>
        <v>0</v>
      </c>
      <c r="BN100" s="2">
        <f t="shared" si="37"/>
        <v>-1</v>
      </c>
      <c r="BO100" s="2">
        <f t="shared" si="38"/>
        <v>24</v>
      </c>
      <c r="BP100" s="2">
        <f t="shared" si="41"/>
        <v>-1</v>
      </c>
      <c r="BQ100" s="2">
        <f t="shared" si="40"/>
        <v>-1</v>
      </c>
      <c r="BT100" s="3"/>
      <c r="BU100">
        <f t="shared" si="42"/>
        <v>-156</v>
      </c>
      <c r="BV100" s="2" t="str">
        <f>CONCATENATE(
ROUND(BR100*VLOOKUP(I100,'ID Scheme'!$A$2:$E$7,3),0), "x",
ROUND(BS100*VLOOKUP(I100,'ID Scheme'!$A$2:$E$7,5),0), "x",
ROUND(BT100*VLOOKUP(I100,'ID Scheme'!$A$2:$E$7,4),0))</f>
        <v>0x0x0</v>
      </c>
    </row>
    <row r="101" spans="1:75" x14ac:dyDescent="0.25">
      <c r="A101" t="s">
        <v>106</v>
      </c>
      <c r="B101" t="s">
        <v>252</v>
      </c>
      <c r="C101" t="s">
        <v>301</v>
      </c>
      <c r="D101">
        <f>IF(F101 &gt; 2020, ((F101-2020)*4)+1610+H101,IF(F101 &gt; 1900, ((F101-1900)*10)+400+H101, ((F101-1730)*2)+H101))+VLOOKUP(I101,'ID Scheme'!$A$2:$B$7,2, FALSE)</f>
        <v>8887</v>
      </c>
      <c r="F101">
        <v>1873</v>
      </c>
      <c r="G101">
        <v>1</v>
      </c>
      <c r="H101">
        <v>1</v>
      </c>
      <c r="I101" t="s">
        <v>104</v>
      </c>
      <c r="J101">
        <v>20</v>
      </c>
      <c r="K101">
        <v>30</v>
      </c>
      <c r="L101">
        <v>30</v>
      </c>
      <c r="M101">
        <v>9</v>
      </c>
      <c r="N101">
        <v>9</v>
      </c>
      <c r="O101">
        <v>30</v>
      </c>
      <c r="P101">
        <v>18</v>
      </c>
      <c r="Q101">
        <v>1</v>
      </c>
      <c r="R101" t="s">
        <v>298</v>
      </c>
      <c r="S101">
        <v>0</v>
      </c>
      <c r="T101" s="2" t="s">
        <v>462</v>
      </c>
      <c r="U101" s="2"/>
      <c r="V101" s="2"/>
      <c r="W101" s="2"/>
      <c r="X101" s="2"/>
      <c r="Y101" s="2"/>
      <c r="Z101" s="2"/>
      <c r="AA101" s="2"/>
      <c r="AB101" s="2"/>
      <c r="AC101" s="2"/>
      <c r="AD101" s="2"/>
      <c r="AG101">
        <v>50</v>
      </c>
      <c r="AL101" s="8">
        <f t="shared" si="20"/>
        <v>0</v>
      </c>
      <c r="AU101" t="s">
        <v>364</v>
      </c>
      <c r="AV101">
        <v>1</v>
      </c>
      <c r="AZ101" s="2">
        <f>(SQRT(J101*AG101)*POWER((MIN(L101,20)+SQRT(MAX(L101-20,0))),0.9)*Data!$B$1)*(1-(Q101-1))</f>
        <v>40.120321127543804</v>
      </c>
      <c r="BA101" s="2">
        <f>(POWER((J101*J101*AG101), 0.33)*LOG10(O101)*10*Data!$B$1)*Q101</f>
        <v>29.094929509594969</v>
      </c>
      <c r="BB101" s="2"/>
      <c r="BC101" s="2"/>
      <c r="BD101" s="2">
        <f>IFERROR((SQRT($J101*$AH101)*POWER((MIN($L101,20)+SQRT(MAX($L101-20,0))),0.9)*Data!$B$1)*(1 - (Q101-1)),AZ101)</f>
        <v>0</v>
      </c>
      <c r="BE101" s="2">
        <f>IFERROR(((POWER(($J101*$J101*$AH101), 0.33)*LOG10($AE101)*10*Data!$B$1)*Q101),BA101)</f>
        <v>29.094929509594969</v>
      </c>
      <c r="BF101" s="2">
        <f t="shared" si="31"/>
        <v>16.129032258064516</v>
      </c>
      <c r="BG101" s="2">
        <f t="shared" si="32"/>
        <v>0</v>
      </c>
      <c r="BH101" s="2">
        <f t="shared" si="33"/>
        <v>0</v>
      </c>
      <c r="BI101" s="2">
        <f t="shared" si="34"/>
        <v>0</v>
      </c>
      <c r="BJ101" s="2">
        <v>1</v>
      </c>
      <c r="BK101" s="2">
        <v>1</v>
      </c>
      <c r="BL101" s="2">
        <f t="shared" si="35"/>
        <v>50</v>
      </c>
      <c r="BM101" s="2">
        <f t="shared" si="36"/>
        <v>0</v>
      </c>
      <c r="BN101" s="2">
        <f t="shared" si="37"/>
        <v>-1</v>
      </c>
      <c r="BO101" s="2">
        <f t="shared" si="38"/>
        <v>50</v>
      </c>
      <c r="BP101" s="2">
        <f t="shared" si="41"/>
        <v>-1</v>
      </c>
      <c r="BQ101" s="2">
        <f t="shared" si="40"/>
        <v>-1</v>
      </c>
      <c r="BT101" s="3"/>
      <c r="BU101">
        <f t="shared" si="42"/>
        <v>13</v>
      </c>
      <c r="BV101" s="2" t="str">
        <f>CONCATENATE(
ROUND(BR101*VLOOKUP(I101,'ID Scheme'!$A$2:$E$7,3),0), "x",
ROUND(BS101*VLOOKUP(I101,'ID Scheme'!$A$2:$E$7,5),0), "x",
ROUND(BT101*VLOOKUP(I101,'ID Scheme'!$A$2:$E$7,4),0))</f>
        <v>0x0x0</v>
      </c>
    </row>
    <row r="102" spans="1:75" x14ac:dyDescent="0.25">
      <c r="A102" t="s">
        <v>108</v>
      </c>
      <c r="B102" t="s">
        <v>245</v>
      </c>
      <c r="C102" t="s">
        <v>301</v>
      </c>
      <c r="D102">
        <f>IF(F102 &gt; 2020, ((F102-2020)*4)+1610+H102,IF(F102 &gt; 1900, ((F102-1900)*10)+400+H102, ((F102-1730)*2)+H102))+VLOOKUP(I102,'ID Scheme'!$A$2:$B$7,2, FALSE)</f>
        <v>8911</v>
      </c>
      <c r="F102">
        <v>1885</v>
      </c>
      <c r="G102">
        <v>1</v>
      </c>
      <c r="H102">
        <v>1</v>
      </c>
      <c r="I102" t="s">
        <v>104</v>
      </c>
      <c r="J102">
        <v>21</v>
      </c>
      <c r="K102">
        <v>35</v>
      </c>
      <c r="L102">
        <v>30</v>
      </c>
      <c r="M102">
        <v>8</v>
      </c>
      <c r="N102">
        <v>7</v>
      </c>
      <c r="O102">
        <v>20</v>
      </c>
      <c r="P102">
        <v>20</v>
      </c>
      <c r="Q102">
        <v>1</v>
      </c>
      <c r="R102" t="s">
        <v>387</v>
      </c>
      <c r="S102">
        <v>0</v>
      </c>
      <c r="T102" s="2" t="s">
        <v>474</v>
      </c>
      <c r="U102" s="2"/>
      <c r="V102" s="2"/>
      <c r="W102" s="2"/>
      <c r="X102" s="2"/>
      <c r="Y102" s="2"/>
      <c r="Z102" s="2"/>
      <c r="AA102" s="2"/>
      <c r="AB102" s="2"/>
      <c r="AC102" s="2"/>
      <c r="AD102" s="2"/>
      <c r="AG102">
        <v>32</v>
      </c>
      <c r="AL102" s="8">
        <f t="shared" si="20"/>
        <v>0</v>
      </c>
      <c r="AU102" t="s">
        <v>364</v>
      </c>
      <c r="AV102">
        <v>1</v>
      </c>
      <c r="AZ102" s="2">
        <f>(SQRT(J102*AG102)*POWER((MIN(L102,20)+SQRT(MAX(L102-20,0))),0.9)*Data!$B$1)*(1-(Q102-1))</f>
        <v>32.8888764246744</v>
      </c>
      <c r="BA102" s="2">
        <f>(POWER((J102*J102*AG102), 0.33)*LOG10(O102)*10*Data!$B$1)*Q102</f>
        <v>22.84087832220764</v>
      </c>
      <c r="BB102" s="2"/>
      <c r="BC102" s="2"/>
      <c r="BD102" s="2">
        <f>IFERROR((SQRT($J102*$AH102)*POWER((MIN($L102,20)+SQRT(MAX($L102-20,0))),0.9)*Data!$B$1)*(1 - (Q102-1)),AZ102)</f>
        <v>0</v>
      </c>
      <c r="BE102" s="2">
        <f>IFERROR(((POWER(($J102*$J102*$AH102), 0.33)*LOG10($AE102)*10*Data!$B$1)*Q102),BA102)</f>
        <v>22.84087832220764</v>
      </c>
      <c r="BF102" s="2">
        <f t="shared" si="31"/>
        <v>16.935483870967744</v>
      </c>
      <c r="BG102" s="2">
        <f t="shared" si="32"/>
        <v>0</v>
      </c>
      <c r="BH102" s="2">
        <f t="shared" si="33"/>
        <v>0</v>
      </c>
      <c r="BI102" s="2">
        <f t="shared" si="34"/>
        <v>0</v>
      </c>
      <c r="BJ102" s="2">
        <v>1</v>
      </c>
      <c r="BK102" s="2">
        <v>1</v>
      </c>
      <c r="BL102" s="2">
        <f t="shared" si="35"/>
        <v>32</v>
      </c>
      <c r="BM102" s="2">
        <f t="shared" si="36"/>
        <v>0</v>
      </c>
      <c r="BN102" s="2">
        <f t="shared" si="37"/>
        <v>-1</v>
      </c>
      <c r="BO102" s="2">
        <f t="shared" si="38"/>
        <v>32</v>
      </c>
      <c r="BP102" s="2">
        <f t="shared" si="41"/>
        <v>-1</v>
      </c>
      <c r="BQ102" s="2">
        <f t="shared" si="40"/>
        <v>-1</v>
      </c>
      <c r="BT102" s="3"/>
      <c r="BU102">
        <f t="shared" si="42"/>
        <v>12</v>
      </c>
      <c r="BV102" s="2" t="str">
        <f>CONCATENATE(
ROUND(BR102*VLOOKUP(I102,'ID Scheme'!$A$2:$E$7,3),0), "x",
ROUND(BS102*VLOOKUP(I102,'ID Scheme'!$A$2:$E$7,5),0), "x",
ROUND(BT102*VLOOKUP(I102,'ID Scheme'!$A$2:$E$7,4),0))</f>
        <v>0x0x0</v>
      </c>
      <c r="BW102" t="s">
        <v>124</v>
      </c>
    </row>
    <row r="103" spans="1:75" x14ac:dyDescent="0.25">
      <c r="A103" t="s">
        <v>131</v>
      </c>
      <c r="B103" t="s">
        <v>251</v>
      </c>
      <c r="C103" t="s">
        <v>295</v>
      </c>
      <c r="D103">
        <f>IF(F103 &gt; 2020, ((F103-2020)*4)+1610+H103,IF(F103 &gt; 1900, ((F103-1900)*10)+400+H103, ((F103-1730)*2)+H103))+VLOOKUP(I103,'ID Scheme'!$A$2:$B$7,2, FALSE)</f>
        <v>8927</v>
      </c>
      <c r="F103">
        <v>1893</v>
      </c>
      <c r="G103">
        <v>3</v>
      </c>
      <c r="H103">
        <v>1</v>
      </c>
      <c r="I103" t="s">
        <v>104</v>
      </c>
      <c r="J103">
        <v>22</v>
      </c>
      <c r="K103">
        <v>35</v>
      </c>
      <c r="L103">
        <v>75</v>
      </c>
      <c r="M103">
        <v>9</v>
      </c>
      <c r="N103">
        <v>7.5</v>
      </c>
      <c r="O103">
        <v>50</v>
      </c>
      <c r="P103">
        <v>20</v>
      </c>
      <c r="Q103">
        <v>1</v>
      </c>
      <c r="R103" t="s">
        <v>387</v>
      </c>
      <c r="S103">
        <v>0</v>
      </c>
      <c r="T103" s="2" t="s">
        <v>450</v>
      </c>
      <c r="U103" s="2"/>
      <c r="V103" s="2"/>
      <c r="W103" s="2"/>
      <c r="X103" s="2"/>
      <c r="Y103" s="2"/>
      <c r="Z103" s="2"/>
      <c r="AA103" s="2"/>
      <c r="AB103" s="2"/>
      <c r="AC103" s="2"/>
      <c r="AD103" s="2"/>
      <c r="AG103">
        <v>42</v>
      </c>
      <c r="AL103" s="8">
        <f t="shared" si="20"/>
        <v>0</v>
      </c>
      <c r="AU103" t="s">
        <v>364</v>
      </c>
      <c r="AV103">
        <v>1</v>
      </c>
      <c r="AZ103" s="2">
        <f>(SQRT(J103*AG103)*POWER((MIN(L103,20)+SQRT(MAX(L103-20,0))),0.9)*Data!$B$1)*(1-(Q103-1))</f>
        <v>44.885261640010725</v>
      </c>
      <c r="BA103" s="2">
        <f>(POWER((J103*J103*AG103), 0.33)*LOG10(O103)*10*Data!$B$1)*Q103</f>
        <v>33.644820060239276</v>
      </c>
      <c r="BB103" s="2"/>
      <c r="BC103" s="2"/>
      <c r="BD103" s="2">
        <f>IFERROR((SQRT($J103*$AH103)*POWER((MIN($L103,20)+SQRT(MAX($L103-20,0))),0.9)*Data!$B$1)*(1 - (Q103-1)),AZ103)</f>
        <v>0</v>
      </c>
      <c r="BE103" s="2">
        <f>IFERROR(((POWER(($J103*$J103*$AH103), 0.33)*LOG10($AE103)*10*Data!$B$1)*Q103),BA103)</f>
        <v>33.644820060239276</v>
      </c>
      <c r="BF103" s="2">
        <f t="shared" si="31"/>
        <v>17.741935483870968</v>
      </c>
      <c r="BG103" s="2">
        <f t="shared" si="32"/>
        <v>0</v>
      </c>
      <c r="BH103" s="2">
        <f t="shared" si="33"/>
        <v>0</v>
      </c>
      <c r="BI103" s="2">
        <f t="shared" si="34"/>
        <v>0</v>
      </c>
      <c r="BJ103" s="2">
        <v>1</v>
      </c>
      <c r="BK103" s="2">
        <v>1</v>
      </c>
      <c r="BL103" s="2">
        <f t="shared" si="35"/>
        <v>42</v>
      </c>
      <c r="BM103" s="2">
        <f t="shared" si="36"/>
        <v>0</v>
      </c>
      <c r="BN103" s="2">
        <f t="shared" si="37"/>
        <v>-1</v>
      </c>
      <c r="BO103" s="2">
        <f t="shared" si="38"/>
        <v>42</v>
      </c>
      <c r="BP103" s="2">
        <f t="shared" si="41"/>
        <v>-1</v>
      </c>
      <c r="BQ103" s="2">
        <f t="shared" si="40"/>
        <v>-1</v>
      </c>
      <c r="BT103" s="3"/>
      <c r="BU103">
        <f t="shared" si="42"/>
        <v>8</v>
      </c>
      <c r="BV103" s="2" t="str">
        <f>CONCATENATE(
ROUND(BR103*VLOOKUP(I103,'ID Scheme'!$A$2:$E$7,3),0), "x",
ROUND(BS103*VLOOKUP(I103,'ID Scheme'!$A$2:$E$7,5),0), "x",
ROUND(BT103*VLOOKUP(I103,'ID Scheme'!$A$2:$E$7,4),0))</f>
        <v>0x0x0</v>
      </c>
      <c r="BW103" t="s">
        <v>130</v>
      </c>
    </row>
    <row r="104" spans="1:75" x14ac:dyDescent="0.25">
      <c r="A104" t="s">
        <v>116</v>
      </c>
      <c r="B104" t="s">
        <v>254</v>
      </c>
      <c r="C104" t="s">
        <v>295</v>
      </c>
      <c r="D104">
        <f>IF(F104 &gt; 2020, ((F104-2020)*4)+1610+H104,IF(F104 &gt; 1900, ((F104-1900)*10)+400+H104, ((F104-1730)*2)+H104))+VLOOKUP(I104,'ID Scheme'!$A$2:$B$7,2, FALSE)</f>
        <v>8929</v>
      </c>
      <c r="F104">
        <v>1894</v>
      </c>
      <c r="G104">
        <v>6</v>
      </c>
      <c r="H104">
        <v>1</v>
      </c>
      <c r="I104" t="s">
        <v>104</v>
      </c>
      <c r="J104">
        <v>22</v>
      </c>
      <c r="K104">
        <v>35</v>
      </c>
      <c r="L104">
        <v>75</v>
      </c>
      <c r="M104">
        <v>9</v>
      </c>
      <c r="N104">
        <v>7</v>
      </c>
      <c r="O104">
        <v>80</v>
      </c>
      <c r="P104">
        <v>20</v>
      </c>
      <c r="Q104">
        <v>1</v>
      </c>
      <c r="R104" t="s">
        <v>387</v>
      </c>
      <c r="S104">
        <v>0</v>
      </c>
      <c r="T104" s="2" t="s">
        <v>451</v>
      </c>
      <c r="U104" s="2"/>
      <c r="V104" s="2"/>
      <c r="W104" s="2"/>
      <c r="X104" s="2"/>
      <c r="Y104" s="2"/>
      <c r="Z104" s="2"/>
      <c r="AA104" s="2"/>
      <c r="AB104" s="2"/>
      <c r="AC104" s="2"/>
      <c r="AD104" s="2"/>
      <c r="AG104">
        <v>36</v>
      </c>
      <c r="AL104" s="8">
        <f t="shared" si="20"/>
        <v>0</v>
      </c>
      <c r="AU104" t="s">
        <v>364</v>
      </c>
      <c r="AV104">
        <v>1</v>
      </c>
      <c r="AZ104" s="2">
        <f>(SQRT(J104*AG104)*POWER((MIN(L104,20)+SQRT(MAX(L104-20,0))),0.9)*Data!$B$1)*(1-(Q104-1))</f>
        <v>41.555677409871805</v>
      </c>
      <c r="BA104" s="2">
        <f>(POWER((J104*J104*AG104), 0.33)*LOG10(O104)*10*Data!$B$1)*Q104</f>
        <v>35.817839185344354</v>
      </c>
      <c r="BB104" s="2"/>
      <c r="BC104" s="2"/>
      <c r="BD104" s="2">
        <f>IFERROR((SQRT($J104*$AH104)*POWER((MIN($L104,20)+SQRT(MAX($L104-20,0))),0.9)*Data!$B$1)*(1 - (Q104-1)),AZ104)</f>
        <v>0</v>
      </c>
      <c r="BE104" s="2">
        <f>IFERROR(((POWER(($J104*$J104*$AH104), 0.33)*LOG10($AE104)*10*Data!$B$1)*Q104),BA104)</f>
        <v>35.817839185344354</v>
      </c>
      <c r="BF104" s="2">
        <f t="shared" si="31"/>
        <v>17.741935483870968</v>
      </c>
      <c r="BG104" s="2">
        <f t="shared" si="32"/>
        <v>0</v>
      </c>
      <c r="BH104" s="2">
        <f t="shared" si="33"/>
        <v>0</v>
      </c>
      <c r="BI104" s="2">
        <f t="shared" si="34"/>
        <v>0</v>
      </c>
      <c r="BJ104" s="2">
        <v>1</v>
      </c>
      <c r="BK104" s="2">
        <v>1</v>
      </c>
      <c r="BL104" s="2">
        <f t="shared" si="35"/>
        <v>36</v>
      </c>
      <c r="BM104" s="2">
        <f t="shared" si="36"/>
        <v>0</v>
      </c>
      <c r="BN104" s="2">
        <f t="shared" si="37"/>
        <v>-1</v>
      </c>
      <c r="BO104" s="2">
        <f t="shared" si="38"/>
        <v>36</v>
      </c>
      <c r="BP104" s="2">
        <f t="shared" si="41"/>
        <v>-1</v>
      </c>
      <c r="BQ104" s="2">
        <f t="shared" si="40"/>
        <v>-1</v>
      </c>
      <c r="BT104" s="3"/>
      <c r="BU104">
        <f t="shared" si="42"/>
        <v>1</v>
      </c>
      <c r="BV104" s="2" t="str">
        <f>CONCATENATE(
ROUND(BR104*VLOOKUP(I104,'ID Scheme'!$A$2:$E$7,3),0), "x",
ROUND(BS104*VLOOKUP(I104,'ID Scheme'!$A$2:$E$7,5),0), "x",
ROUND(BT104*VLOOKUP(I104,'ID Scheme'!$A$2:$E$7,4),0))</f>
        <v>0x0x0</v>
      </c>
      <c r="BW104" t="s">
        <v>118</v>
      </c>
    </row>
    <row r="105" spans="1:75" x14ac:dyDescent="0.25">
      <c r="A105" t="s">
        <v>111</v>
      </c>
      <c r="B105" t="s">
        <v>249</v>
      </c>
      <c r="C105" t="s">
        <v>295</v>
      </c>
      <c r="D105">
        <f>IF(F105 &gt; 2020, ((F105-2020)*4)+1610+H105,IF(F105 &gt; 1900, ((F105-1900)*10)+400+H105, ((F105-1730)*2)+H105))+VLOOKUP(I105,'ID Scheme'!$A$2:$B$7,2, FALSE)</f>
        <v>8937</v>
      </c>
      <c r="F105">
        <v>1898</v>
      </c>
      <c r="G105">
        <v>1</v>
      </c>
      <c r="H105">
        <v>1</v>
      </c>
      <c r="I105" t="s">
        <v>104</v>
      </c>
      <c r="J105">
        <v>23</v>
      </c>
      <c r="K105">
        <v>35</v>
      </c>
      <c r="L105">
        <v>45</v>
      </c>
      <c r="M105">
        <v>11</v>
      </c>
      <c r="N105">
        <v>8</v>
      </c>
      <c r="O105">
        <v>80</v>
      </c>
      <c r="P105">
        <v>20</v>
      </c>
      <c r="Q105">
        <v>1</v>
      </c>
      <c r="R105" t="s">
        <v>387</v>
      </c>
      <c r="S105">
        <v>0</v>
      </c>
      <c r="T105" s="2" t="s">
        <v>453</v>
      </c>
      <c r="U105" s="2"/>
      <c r="V105" s="2"/>
      <c r="W105" s="2"/>
      <c r="X105" s="2"/>
      <c r="Y105" s="2"/>
      <c r="Z105" s="2"/>
      <c r="AA105" s="2"/>
      <c r="AB105" s="2"/>
      <c r="AC105" s="2"/>
      <c r="AD105" s="2"/>
      <c r="AG105">
        <v>48</v>
      </c>
      <c r="AL105" s="8">
        <f t="shared" si="20"/>
        <v>0</v>
      </c>
      <c r="AU105" t="s">
        <v>364</v>
      </c>
      <c r="AV105">
        <v>1</v>
      </c>
      <c r="AZ105" s="2">
        <f>(SQRT(J105*AG105)*POWER((MIN(L105,20)+SQRT(MAX(L105-20,0))),0.9)*Data!$B$1)*(1-(Q105-1))</f>
        <v>45.153540372471618</v>
      </c>
      <c r="BA105" s="2">
        <f>(POWER((J105*J105*AG105), 0.33)*LOG10(O105)*10*Data!$B$1)*Q105</f>
        <v>40.55744311676029</v>
      </c>
      <c r="BB105" s="2"/>
      <c r="BC105" s="2"/>
      <c r="BD105" s="2">
        <f>IFERROR((SQRT($J105*$AH105)*POWER((MIN($L105,20)+SQRT(MAX($L105-20,0))),0.9)*Data!$B$1)*(1 - (Q105-1)),AZ105)</f>
        <v>0</v>
      </c>
      <c r="BE105" s="2">
        <f>IFERROR(((POWER(($J105*$J105*$AH105), 0.33)*LOG10($AE105)*10*Data!$B$1)*Q105),BA105)</f>
        <v>40.55744311676029</v>
      </c>
      <c r="BF105" s="2">
        <f t="shared" si="31"/>
        <v>18.548387096774192</v>
      </c>
      <c r="BG105" s="2">
        <f t="shared" si="32"/>
        <v>0</v>
      </c>
      <c r="BH105" s="2">
        <f t="shared" si="33"/>
        <v>0</v>
      </c>
      <c r="BI105" s="2">
        <f t="shared" si="34"/>
        <v>0</v>
      </c>
      <c r="BJ105" s="2">
        <v>1</v>
      </c>
      <c r="BK105" s="2">
        <v>1</v>
      </c>
      <c r="BL105" s="2">
        <f t="shared" si="35"/>
        <v>48</v>
      </c>
      <c r="BM105" s="2">
        <f t="shared" si="36"/>
        <v>0</v>
      </c>
      <c r="BN105" s="2">
        <f t="shared" si="37"/>
        <v>-1</v>
      </c>
      <c r="BO105" s="2">
        <f t="shared" si="38"/>
        <v>48</v>
      </c>
      <c r="BP105" s="2">
        <f t="shared" si="41"/>
        <v>-1</v>
      </c>
      <c r="BQ105" s="2">
        <f t="shared" si="40"/>
        <v>-1</v>
      </c>
      <c r="BT105" s="3"/>
      <c r="BU105">
        <f t="shared" si="42"/>
        <v>4</v>
      </c>
      <c r="BV105" s="2" t="str">
        <f>CONCATENATE(
ROUND(BR105*VLOOKUP(I105,'ID Scheme'!$A$2:$E$7,3),0), "x",
ROUND(BS105*VLOOKUP(I105,'ID Scheme'!$A$2:$E$7,5),0), "x",
ROUND(BT105*VLOOKUP(I105,'ID Scheme'!$A$2:$E$7,4),0))</f>
        <v>0x0x0</v>
      </c>
      <c r="BW105" t="s">
        <v>118</v>
      </c>
    </row>
    <row r="106" spans="1:75" x14ac:dyDescent="0.25">
      <c r="A106" t="s">
        <v>117</v>
      </c>
      <c r="B106" t="s">
        <v>255</v>
      </c>
      <c r="C106" t="s">
        <v>295</v>
      </c>
      <c r="D106">
        <f>IF(F106 &gt; 2020, ((F106-2020)*4)+1610+H106,IF(F106 &gt; 1900, ((F106-1900)*10)+400+H106, ((F106-1730)*2)+H106))+VLOOKUP(I106,'ID Scheme'!$A$2:$B$7,2, FALSE)</f>
        <v>8939</v>
      </c>
      <c r="F106">
        <v>1899</v>
      </c>
      <c r="G106">
        <v>1</v>
      </c>
      <c r="H106">
        <v>1</v>
      </c>
      <c r="I106" t="s">
        <v>104</v>
      </c>
      <c r="J106">
        <v>24</v>
      </c>
      <c r="K106">
        <v>35</v>
      </c>
      <c r="L106">
        <v>65</v>
      </c>
      <c r="M106">
        <v>9</v>
      </c>
      <c r="N106">
        <v>7</v>
      </c>
      <c r="O106">
        <v>80</v>
      </c>
      <c r="P106">
        <v>20</v>
      </c>
      <c r="Q106">
        <v>1</v>
      </c>
      <c r="R106" t="s">
        <v>387</v>
      </c>
      <c r="S106">
        <v>0</v>
      </c>
      <c r="T106" s="2" t="s">
        <v>452</v>
      </c>
      <c r="U106" s="2"/>
      <c r="V106" s="2"/>
      <c r="W106" s="2"/>
      <c r="X106" s="2"/>
      <c r="Y106" s="2"/>
      <c r="Z106" s="2"/>
      <c r="AA106" s="2"/>
      <c r="AB106" s="2"/>
      <c r="AC106" s="2"/>
      <c r="AD106" s="2"/>
      <c r="AG106">
        <v>48</v>
      </c>
      <c r="AL106" s="8">
        <f t="shared" si="20"/>
        <v>0</v>
      </c>
      <c r="AU106" t="s">
        <v>364</v>
      </c>
      <c r="AV106">
        <v>1</v>
      </c>
      <c r="AZ106" s="2">
        <f>(SQRT(J106*AG106)*POWER((MIN(L106,20)+SQRT(MAX(L106-20,0))),0.9)*Data!$B$1)*(1-(Q106-1))</f>
        <v>48.95169319243255</v>
      </c>
      <c r="BA106" s="2">
        <f>(POWER((J106*J106*AG106), 0.33)*LOG10(O106)*10*Data!$B$1)*Q106</f>
        <v>41.712826159953799</v>
      </c>
      <c r="BB106" s="2"/>
      <c r="BC106" s="2"/>
      <c r="BD106" s="2">
        <f>IFERROR((SQRT($J106*$AH106)*POWER((MIN($L106,20)+SQRT(MAX($L106-20,0))),0.9)*Data!$B$1)*(1 - (Q106-1)),AZ106)</f>
        <v>0</v>
      </c>
      <c r="BE106" s="2">
        <f>IFERROR(((POWER(($J106*$J106*$AH106), 0.33)*LOG10($AE106)*10*Data!$B$1)*Q106),BA106)</f>
        <v>41.712826159953799</v>
      </c>
      <c r="BF106" s="2">
        <f t="shared" si="31"/>
        <v>19.35483870967742</v>
      </c>
      <c r="BG106" s="2">
        <f t="shared" si="32"/>
        <v>0</v>
      </c>
      <c r="BH106" s="2">
        <f t="shared" si="33"/>
        <v>0</v>
      </c>
      <c r="BI106" s="2">
        <f t="shared" si="34"/>
        <v>0</v>
      </c>
      <c r="BJ106" s="2">
        <v>1</v>
      </c>
      <c r="BK106" s="2">
        <v>1</v>
      </c>
      <c r="BL106" s="2">
        <f t="shared" si="35"/>
        <v>48</v>
      </c>
      <c r="BM106" s="2">
        <f t="shared" si="36"/>
        <v>0</v>
      </c>
      <c r="BN106" s="2">
        <f t="shared" si="37"/>
        <v>-1</v>
      </c>
      <c r="BO106" s="2">
        <f t="shared" si="38"/>
        <v>48</v>
      </c>
      <c r="BP106" s="2">
        <f t="shared" si="41"/>
        <v>-1</v>
      </c>
      <c r="BQ106" s="2">
        <f t="shared" si="40"/>
        <v>-1</v>
      </c>
      <c r="BT106" s="3"/>
      <c r="BU106">
        <f t="shared" si="42"/>
        <v>1</v>
      </c>
      <c r="BV106" s="2" t="str">
        <f>CONCATENATE(
ROUND(BR106*VLOOKUP(I106,'ID Scheme'!$A$2:$E$7,3),0), "x",
ROUND(BS106*VLOOKUP(I106,'ID Scheme'!$A$2:$E$7,5),0), "x",
ROUND(BT106*VLOOKUP(I106,'ID Scheme'!$A$2:$E$7,4),0))</f>
        <v>0x0x0</v>
      </c>
      <c r="BW106" t="s">
        <v>118</v>
      </c>
    </row>
    <row r="107" spans="1:75" x14ac:dyDescent="0.25">
      <c r="A107" t="s">
        <v>109</v>
      </c>
      <c r="B107" t="s">
        <v>253</v>
      </c>
      <c r="C107" t="s">
        <v>295</v>
      </c>
      <c r="D107">
        <f>IF(F107 &gt; 2020, ((F107-2020)*4)+1610+H107,IF(F107 &gt; 1900, ((F107-1900)*10)+400+H107, ((F107-1730)*2)+H107))+VLOOKUP(I107,'ID Scheme'!$A$2:$B$7,2, FALSE)</f>
        <v>9011</v>
      </c>
      <c r="F107">
        <v>1901</v>
      </c>
      <c r="G107">
        <v>1</v>
      </c>
      <c r="H107">
        <v>1</v>
      </c>
      <c r="I107" t="s">
        <v>104</v>
      </c>
      <c r="J107">
        <v>25</v>
      </c>
      <c r="K107">
        <v>35</v>
      </c>
      <c r="L107">
        <v>32</v>
      </c>
      <c r="M107">
        <v>7</v>
      </c>
      <c r="N107">
        <v>7.5</v>
      </c>
      <c r="O107">
        <v>60</v>
      </c>
      <c r="P107">
        <v>20</v>
      </c>
      <c r="Q107">
        <v>1</v>
      </c>
      <c r="R107" t="s">
        <v>387</v>
      </c>
      <c r="S107">
        <v>0</v>
      </c>
      <c r="T107" s="2" t="s">
        <v>473</v>
      </c>
      <c r="U107" s="2"/>
      <c r="V107" s="2"/>
      <c r="W107" s="2"/>
      <c r="X107" s="2"/>
      <c r="Y107" s="2"/>
      <c r="Z107" s="2"/>
      <c r="AA107" s="2"/>
      <c r="AB107" s="2"/>
      <c r="AC107" s="2"/>
      <c r="AD107" s="2"/>
      <c r="AG107">
        <v>58</v>
      </c>
      <c r="AL107" s="8">
        <f t="shared" si="20"/>
        <v>0</v>
      </c>
      <c r="AU107" t="s">
        <v>364</v>
      </c>
      <c r="AV107">
        <v>1</v>
      </c>
      <c r="AZ107" s="2">
        <f>(SQRT(J107*AG107)*POWER((MIN(L107,20)+SQRT(MAX(L107-20,0))),0.9)*Data!$B$1)*(1-(Q107-1))</f>
        <v>48.877479495040532</v>
      </c>
      <c r="BA107" s="2">
        <f>(POWER((J107*J107*AG107), 0.33)*LOG10(O107)*10*Data!$B$1)*Q107</f>
        <v>42.618838192592996</v>
      </c>
      <c r="BB107" s="2"/>
      <c r="BC107" s="2"/>
      <c r="BD107" s="2">
        <f>IFERROR((SQRT($J107*$AH107)*POWER((MIN($L107,20)+SQRT(MAX($L107-20,0))),0.9)*Data!$B$1)*(1 - (Q107-1)),AZ107)</f>
        <v>0</v>
      </c>
      <c r="BE107" s="2">
        <f>IFERROR(((POWER(($J107*$J107*$AH107), 0.33)*LOG10($AE107)*10*Data!$B$1)*Q107),BA107)</f>
        <v>42.618838192592996</v>
      </c>
      <c r="BF107" s="2">
        <f t="shared" ref="BF107:BF125" si="43">J107/1.24</f>
        <v>20.161290322580644</v>
      </c>
      <c r="BG107" s="2">
        <f t="shared" ref="BG107:BG125" si="44">AF107/1.24</f>
        <v>0</v>
      </c>
      <c r="BH107" s="2">
        <f t="shared" ref="BH107:BH125" si="45">AM107/1.24</f>
        <v>0</v>
      </c>
      <c r="BI107" s="2">
        <f t="shared" ref="BI107:BI125" si="46">AN107/1.24</f>
        <v>0</v>
      </c>
      <c r="BJ107" s="2">
        <v>1</v>
      </c>
      <c r="BK107" s="2">
        <v>1</v>
      </c>
      <c r="BL107" s="2">
        <f t="shared" ref="BL107:BL125" si="47">AG107/BK107</f>
        <v>58</v>
      </c>
      <c r="BM107" s="2">
        <f t="shared" ref="BM107:BM125" si="48">AH107/BK107</f>
        <v>0</v>
      </c>
      <c r="BN107" s="2">
        <f t="shared" si="37"/>
        <v>-1</v>
      </c>
      <c r="BO107" s="2">
        <f t="shared" ref="BO107:BO125" si="49">(AG107)/MAX(BJ107-1, 1)</f>
        <v>58</v>
      </c>
      <c r="BP107" s="2">
        <f t="shared" si="41"/>
        <v>-1</v>
      </c>
      <c r="BQ107" s="2">
        <f t="shared" ref="BQ107:BQ125" si="50">IF(AH107 &gt; 0, (AH107)/MAX(BJ107-1, 1), -1)</f>
        <v>-1</v>
      </c>
      <c r="BT107" s="3"/>
      <c r="BU107">
        <f t="shared" si="42"/>
        <v>2</v>
      </c>
      <c r="BV107" s="2" t="str">
        <f>CONCATENATE(
ROUND(BR107*VLOOKUP(I107,'ID Scheme'!$A$2:$E$7,3),0), "x",
ROUND(BS107*VLOOKUP(I107,'ID Scheme'!$A$2:$E$7,5),0), "x",
ROUND(BT107*VLOOKUP(I107,'ID Scheme'!$A$2:$E$7,4),0))</f>
        <v>0x0x0</v>
      </c>
      <c r="BW107" t="s">
        <v>125</v>
      </c>
    </row>
    <row r="108" spans="1:75" x14ac:dyDescent="0.25">
      <c r="A108" t="s">
        <v>119</v>
      </c>
      <c r="B108" t="s">
        <v>257</v>
      </c>
      <c r="C108" t="s">
        <v>301</v>
      </c>
      <c r="D108">
        <f>IF(F108 &gt; 2020, ((F108-2020)*4)+1610+H108,IF(F108 &gt; 1900, ((F108-1900)*10)+400+H108, ((F108-1730)*2)+H108))+VLOOKUP(I108,'ID Scheme'!$A$2:$B$7,2, FALSE)</f>
        <v>9111</v>
      </c>
      <c r="F108">
        <v>1911</v>
      </c>
      <c r="G108">
        <v>1</v>
      </c>
      <c r="H108">
        <v>1</v>
      </c>
      <c r="I108" t="s">
        <v>104</v>
      </c>
      <c r="J108">
        <v>22</v>
      </c>
      <c r="K108">
        <v>30</v>
      </c>
      <c r="L108">
        <v>30</v>
      </c>
      <c r="M108">
        <v>12</v>
      </c>
      <c r="N108">
        <v>6</v>
      </c>
      <c r="O108">
        <v>105</v>
      </c>
      <c r="P108">
        <v>20</v>
      </c>
      <c r="Q108">
        <v>1</v>
      </c>
      <c r="R108" t="s">
        <v>387</v>
      </c>
      <c r="S108">
        <v>0</v>
      </c>
      <c r="T108" s="2" t="s">
        <v>454</v>
      </c>
      <c r="U108" s="2"/>
      <c r="V108" s="2"/>
      <c r="W108" s="2"/>
      <c r="X108" s="2"/>
      <c r="Y108" s="2"/>
      <c r="Z108" s="2"/>
      <c r="AA108" s="2"/>
      <c r="AB108" s="2"/>
      <c r="AC108" s="2"/>
      <c r="AD108" s="2"/>
      <c r="AG108">
        <v>68</v>
      </c>
      <c r="AL108" s="8">
        <f t="shared" si="20"/>
        <v>0</v>
      </c>
      <c r="AU108" t="s">
        <v>364</v>
      </c>
      <c r="AV108">
        <v>1</v>
      </c>
      <c r="AZ108" s="2">
        <f>(SQRT(J108*AG108)*POWER((MIN(L108,20)+SQRT(MAX(L108-20,0))),0.9)*Data!$B$1)*(1-(Q108-1))</f>
        <v>49.071597593682917</v>
      </c>
      <c r="BA108" s="2">
        <f>(POWER((J108*J108*AG108), 0.33)*LOG10(O108)*10*Data!$B$1)*Q108</f>
        <v>46.924014917422397</v>
      </c>
      <c r="BB108" s="2"/>
      <c r="BC108" s="2"/>
      <c r="BD108" s="2">
        <f>IFERROR((SQRT($J108*$AH108)*POWER((MIN($L108,20)+SQRT(MAX($L108-20,0))),0.9)*Data!$B$1)*(1 - (Q108-1)),AZ108)</f>
        <v>0</v>
      </c>
      <c r="BE108" s="2">
        <f>IFERROR(((POWER(($J108*$J108*$AH108), 0.33)*LOG10($AE108)*10*Data!$B$1)*Q108),BA108)</f>
        <v>46.924014917422397</v>
      </c>
      <c r="BF108" s="2">
        <f t="shared" si="43"/>
        <v>17.741935483870968</v>
      </c>
      <c r="BG108" s="2">
        <f t="shared" si="44"/>
        <v>0</v>
      </c>
      <c r="BH108" s="2">
        <f t="shared" si="45"/>
        <v>0</v>
      </c>
      <c r="BI108" s="2">
        <f t="shared" si="46"/>
        <v>0</v>
      </c>
      <c r="BJ108" s="2">
        <v>1</v>
      </c>
      <c r="BK108" s="2">
        <v>1</v>
      </c>
      <c r="BL108" s="2">
        <f t="shared" si="47"/>
        <v>68</v>
      </c>
      <c r="BM108" s="2">
        <f t="shared" si="48"/>
        <v>0</v>
      </c>
      <c r="BN108" s="2">
        <f t="shared" si="37"/>
        <v>-1</v>
      </c>
      <c r="BO108" s="2">
        <f t="shared" si="49"/>
        <v>68</v>
      </c>
      <c r="BP108" s="2">
        <f t="shared" si="41"/>
        <v>-1</v>
      </c>
      <c r="BQ108" s="2">
        <f t="shared" si="50"/>
        <v>-1</v>
      </c>
      <c r="BT108" s="3"/>
      <c r="BU108">
        <f t="shared" si="42"/>
        <v>10</v>
      </c>
      <c r="BV108" s="2" t="str">
        <f>CONCATENATE(
ROUND(BR108*VLOOKUP(I108,'ID Scheme'!$A$2:$E$7,3),0), "x",
ROUND(BS108*VLOOKUP(I108,'ID Scheme'!$A$2:$E$7,5),0), "x",
ROUND(BT108*VLOOKUP(I108,'ID Scheme'!$A$2:$E$7,4),0))</f>
        <v>0x0x0</v>
      </c>
      <c r="BW108" t="s">
        <v>82</v>
      </c>
    </row>
    <row r="109" spans="1:75" x14ac:dyDescent="0.25">
      <c r="A109" t="s">
        <v>110</v>
      </c>
      <c r="B109" t="s">
        <v>221</v>
      </c>
      <c r="C109" t="s">
        <v>295</v>
      </c>
      <c r="D109">
        <f>IF(F109 &gt; 2020, ((F109-2020)*4)+1610+H109,IF(F109 &gt; 1900, ((F109-1900)*10)+400+H109, ((F109-1730)*2)+H109))+VLOOKUP(I109,'ID Scheme'!$A$2:$B$7,2, FALSE)</f>
        <v>9231</v>
      </c>
      <c r="F109">
        <v>1923</v>
      </c>
      <c r="G109">
        <v>1</v>
      </c>
      <c r="H109">
        <v>1</v>
      </c>
      <c r="I109" t="s">
        <v>104</v>
      </c>
      <c r="J109">
        <v>30</v>
      </c>
      <c r="K109">
        <v>38</v>
      </c>
      <c r="L109">
        <v>50</v>
      </c>
      <c r="M109">
        <v>9</v>
      </c>
      <c r="N109">
        <v>9</v>
      </c>
      <c r="O109">
        <v>80</v>
      </c>
      <c r="P109">
        <v>20</v>
      </c>
      <c r="Q109">
        <v>1</v>
      </c>
      <c r="R109" t="s">
        <v>387</v>
      </c>
      <c r="S109">
        <v>0</v>
      </c>
      <c r="T109" s="2" t="s">
        <v>472</v>
      </c>
      <c r="U109" s="2"/>
      <c r="V109" s="2"/>
      <c r="W109" s="2"/>
      <c r="X109" s="2"/>
      <c r="Y109" s="2"/>
      <c r="Z109" s="2"/>
      <c r="AA109" s="2"/>
      <c r="AB109" s="2">
        <v>1</v>
      </c>
      <c r="AC109" s="2"/>
      <c r="AD109" s="2"/>
      <c r="AG109">
        <v>78</v>
      </c>
      <c r="AL109" s="8">
        <f t="shared" ref="AL109:AL125" si="51">AI109/BK109</f>
        <v>0</v>
      </c>
      <c r="AU109" t="s">
        <v>364</v>
      </c>
      <c r="AV109">
        <v>1</v>
      </c>
      <c r="AZ109" s="2">
        <f>(SQRT(J109*AG109)*POWER((MIN(L109,20)+SQRT(MAX(L109-20,0))),0.9)*Data!$B$1)*(1-(Q109-1))</f>
        <v>66.866118123314507</v>
      </c>
      <c r="BA109" s="2">
        <f>(POWER((J109*J109*AG109), 0.33)*LOG10(O109)*10*Data!$B$1)*Q109</f>
        <v>56.729876046306018</v>
      </c>
      <c r="BB109" s="2"/>
      <c r="BC109" s="2"/>
      <c r="BD109" s="2">
        <f>IFERROR((SQRT($J109*$AH109)*POWER((MIN($L109,20)+SQRT(MAX($L109-20,0))),0.9)*Data!$B$1)*(1 - (Q109-1)),AZ109)</f>
        <v>0</v>
      </c>
      <c r="BE109" s="2">
        <f>IFERROR(((POWER(($J109*$J109*$AH109), 0.33)*LOG10($AE109)*10*Data!$B$1)*Q109),BA109)</f>
        <v>56.729876046306018</v>
      </c>
      <c r="BF109" s="2">
        <f t="shared" si="43"/>
        <v>24.193548387096776</v>
      </c>
      <c r="BG109" s="2">
        <f t="shared" si="44"/>
        <v>0</v>
      </c>
      <c r="BH109" s="2">
        <f t="shared" si="45"/>
        <v>0</v>
      </c>
      <c r="BI109" s="2">
        <f t="shared" si="46"/>
        <v>0</v>
      </c>
      <c r="BJ109" s="2">
        <v>1</v>
      </c>
      <c r="BK109" s="2">
        <v>1</v>
      </c>
      <c r="BL109" s="2">
        <f t="shared" si="47"/>
        <v>78</v>
      </c>
      <c r="BM109" s="2">
        <f t="shared" si="48"/>
        <v>0</v>
      </c>
      <c r="BN109" s="2">
        <f t="shared" si="37"/>
        <v>-1</v>
      </c>
      <c r="BO109" s="2">
        <f t="shared" si="49"/>
        <v>78</v>
      </c>
      <c r="BP109" s="2">
        <f t="shared" si="41"/>
        <v>-1</v>
      </c>
      <c r="BQ109" s="2">
        <f t="shared" si="50"/>
        <v>-1</v>
      </c>
      <c r="BT109" s="3"/>
      <c r="BU109">
        <f t="shared" si="42"/>
        <v>12</v>
      </c>
      <c r="BV109" s="2" t="str">
        <f>CONCATENATE(
ROUND(BR109*VLOOKUP(I109,'ID Scheme'!$A$2:$E$7,3),0), "x",
ROUND(BS109*VLOOKUP(I109,'ID Scheme'!$A$2:$E$7,5),0), "x",
ROUND(BT109*VLOOKUP(I109,'ID Scheme'!$A$2:$E$7,4),0))</f>
        <v>0x0x0</v>
      </c>
    </row>
    <row r="110" spans="1:75" x14ac:dyDescent="0.25">
      <c r="A110" t="s">
        <v>120</v>
      </c>
      <c r="B110" t="s">
        <v>242</v>
      </c>
      <c r="C110" t="s">
        <v>295</v>
      </c>
      <c r="D110">
        <f>IF(F110 &gt; 2020, ((F110-2020)*4)+1610+H110,IF(F110 &gt; 1900, ((F110-1900)*10)+400+H110, ((F110-1730)*2)+H110))+VLOOKUP(I110,'ID Scheme'!$A$2:$B$7,2, FALSE)</f>
        <v>9341</v>
      </c>
      <c r="F110">
        <v>1934</v>
      </c>
      <c r="G110">
        <v>1</v>
      </c>
      <c r="H110">
        <v>1</v>
      </c>
      <c r="I110" t="s">
        <v>104</v>
      </c>
      <c r="J110">
        <v>35</v>
      </c>
      <c r="K110">
        <v>40</v>
      </c>
      <c r="L110">
        <v>55</v>
      </c>
      <c r="M110">
        <v>11</v>
      </c>
      <c r="N110">
        <v>11</v>
      </c>
      <c r="O110">
        <v>114</v>
      </c>
      <c r="P110">
        <v>20</v>
      </c>
      <c r="Q110">
        <v>1</v>
      </c>
      <c r="R110" t="s">
        <v>387</v>
      </c>
      <c r="S110">
        <v>0</v>
      </c>
      <c r="T110" s="2" t="s">
        <v>455</v>
      </c>
      <c r="U110" s="2"/>
      <c r="V110" s="2"/>
      <c r="W110" s="2"/>
      <c r="X110" s="2"/>
      <c r="Y110" s="2"/>
      <c r="Z110" s="2"/>
      <c r="AA110" s="2"/>
      <c r="AB110" s="2"/>
      <c r="AC110" s="2"/>
      <c r="AD110" s="2"/>
      <c r="AG110">
        <v>92</v>
      </c>
      <c r="AL110" s="8">
        <f t="shared" si="51"/>
        <v>0</v>
      </c>
      <c r="AU110" t="s">
        <v>364</v>
      </c>
      <c r="AV110">
        <v>1</v>
      </c>
      <c r="AZ110" s="2">
        <f>(SQRT(J110*AG110)*POWER((MIN(L110,20)+SQRT(MAX(L110-20,0))),0.9)*Data!$B$1)*(1-(Q110-1))</f>
        <v>79.652897151473837</v>
      </c>
      <c r="BA110" s="2">
        <f>(POWER((J110*J110*AG110), 0.33)*LOG10(O110)*10*Data!$B$1)*Q110</f>
        <v>71.682040289630535</v>
      </c>
      <c r="BB110" s="2"/>
      <c r="BC110" s="2"/>
      <c r="BD110" s="2">
        <f>IFERROR((SQRT($J110*$AH110)*POWER((MIN($L110,20)+SQRT(MAX($L110-20,0))),0.9)*Data!$B$1)*(1 - (Q110-1)),AZ110)</f>
        <v>0</v>
      </c>
      <c r="BE110" s="2">
        <f>IFERROR(((POWER(($J110*$J110*$AH110), 0.33)*LOG10($AE110)*10*Data!$B$1)*Q110),BA110)</f>
        <v>71.682040289630535</v>
      </c>
      <c r="BF110" s="2">
        <f t="shared" si="43"/>
        <v>28.225806451612904</v>
      </c>
      <c r="BG110" s="2">
        <f t="shared" si="44"/>
        <v>0</v>
      </c>
      <c r="BH110" s="2">
        <f t="shared" si="45"/>
        <v>0</v>
      </c>
      <c r="BI110" s="2">
        <f t="shared" si="46"/>
        <v>0</v>
      </c>
      <c r="BJ110" s="2">
        <v>1</v>
      </c>
      <c r="BK110" s="2">
        <v>1</v>
      </c>
      <c r="BL110" s="2">
        <f t="shared" si="47"/>
        <v>92</v>
      </c>
      <c r="BM110" s="2">
        <f t="shared" si="48"/>
        <v>0</v>
      </c>
      <c r="BN110" s="2">
        <f t="shared" si="37"/>
        <v>-1</v>
      </c>
      <c r="BO110" s="2">
        <f t="shared" si="49"/>
        <v>92</v>
      </c>
      <c r="BP110" s="2">
        <f t="shared" si="41"/>
        <v>-1</v>
      </c>
      <c r="BQ110" s="2">
        <f t="shared" si="50"/>
        <v>-1</v>
      </c>
      <c r="BT110" s="3"/>
      <c r="BU110">
        <f t="shared" si="42"/>
        <v>11</v>
      </c>
      <c r="BV110" s="2" t="str">
        <f>CONCATENATE(
ROUND(BR110*VLOOKUP(I110,'ID Scheme'!$A$2:$E$7,3),0), "x",
ROUND(BS110*VLOOKUP(I110,'ID Scheme'!$A$2:$E$7,5),0), "x",
ROUND(BT110*VLOOKUP(I110,'ID Scheme'!$A$2:$E$7,4),0))</f>
        <v>0x0x0</v>
      </c>
      <c r="BW110" t="s">
        <v>121</v>
      </c>
    </row>
    <row r="111" spans="1:75" x14ac:dyDescent="0.25">
      <c r="A111" t="s">
        <v>107</v>
      </c>
      <c r="B111" t="s">
        <v>246</v>
      </c>
      <c r="C111" t="s">
        <v>295</v>
      </c>
      <c r="D111">
        <f>IF(F111 &gt; 2020, ((F111-2020)*4)+1610+H111,IF(F111 &gt; 1900, ((F111-1900)*10)+400+H111, ((F111-1730)*2)+H111))+VLOOKUP(I111,'ID Scheme'!$A$2:$B$7,2, FALSE)</f>
        <v>9521</v>
      </c>
      <c r="F111">
        <v>1952</v>
      </c>
      <c r="G111">
        <v>1</v>
      </c>
      <c r="H111">
        <v>1</v>
      </c>
      <c r="I111" t="s">
        <v>104</v>
      </c>
      <c r="J111">
        <v>40</v>
      </c>
      <c r="K111">
        <v>20</v>
      </c>
      <c r="L111">
        <v>35</v>
      </c>
      <c r="M111">
        <v>11</v>
      </c>
      <c r="N111">
        <v>12</v>
      </c>
      <c r="O111">
        <v>180</v>
      </c>
      <c r="P111">
        <v>28</v>
      </c>
      <c r="Q111">
        <v>1.1000000000000001</v>
      </c>
      <c r="R111" t="s">
        <v>387</v>
      </c>
      <c r="S111">
        <v>0</v>
      </c>
      <c r="T111" s="2" t="s">
        <v>456</v>
      </c>
      <c r="U111" s="2"/>
      <c r="V111" s="2"/>
      <c r="W111" s="2"/>
      <c r="X111" s="2"/>
      <c r="Y111" s="2"/>
      <c r="Z111" s="2"/>
      <c r="AA111" s="2"/>
      <c r="AB111" s="2"/>
      <c r="AC111" s="2"/>
      <c r="AD111" s="2"/>
      <c r="AG111">
        <v>56</v>
      </c>
      <c r="AL111" s="8">
        <f t="shared" si="51"/>
        <v>0</v>
      </c>
      <c r="AU111" t="s">
        <v>364</v>
      </c>
      <c r="AV111">
        <v>1</v>
      </c>
      <c r="AZ111" s="2">
        <f>(SQRT(J111*AG111)*POWER((MIN(L111,20)+SQRT(MAX(L111-20,0))),0.9)*Data!$B$1)*(1-(Q111-1))</f>
        <v>55.532062985015898</v>
      </c>
      <c r="BA111" s="2">
        <f>(POWER((J111*J111*AG111), 0.33)*LOG10(O111)*10*Data!$B$1)*Q111</f>
        <v>80.152046772075309</v>
      </c>
      <c r="BB111" s="2"/>
      <c r="BC111" s="2"/>
      <c r="BD111" s="2">
        <f>IFERROR((SQRT($J111*$AH111)*POWER((MIN($L111,20)+SQRT(MAX($L111-20,0))),0.9)*Data!$B$1)*(1 - (Q111-1)),AZ111)</f>
        <v>0</v>
      </c>
      <c r="BE111" s="2">
        <f>IFERROR(((POWER(($J111*$J111*$AH111), 0.33)*LOG10($AE111)*10*Data!$B$1)*Q111),BA111)</f>
        <v>80.152046772075309</v>
      </c>
      <c r="BF111" s="2">
        <f t="shared" si="43"/>
        <v>32.258064516129032</v>
      </c>
      <c r="BG111" s="2">
        <f t="shared" si="44"/>
        <v>0</v>
      </c>
      <c r="BH111" s="2">
        <f t="shared" si="45"/>
        <v>0</v>
      </c>
      <c r="BI111" s="2">
        <f t="shared" si="46"/>
        <v>0</v>
      </c>
      <c r="BJ111" s="2">
        <v>1</v>
      </c>
      <c r="BK111" s="2">
        <v>1</v>
      </c>
      <c r="BL111" s="2">
        <f t="shared" si="47"/>
        <v>56</v>
      </c>
      <c r="BM111" s="2">
        <f t="shared" si="48"/>
        <v>0</v>
      </c>
      <c r="BN111" s="2">
        <f t="shared" si="37"/>
        <v>-1</v>
      </c>
      <c r="BO111" s="2">
        <f t="shared" si="49"/>
        <v>56</v>
      </c>
      <c r="BP111" s="2">
        <f t="shared" si="41"/>
        <v>-1</v>
      </c>
      <c r="BQ111" s="2">
        <f t="shared" si="50"/>
        <v>-1</v>
      </c>
      <c r="BT111" s="3"/>
      <c r="BU111">
        <f t="shared" si="42"/>
        <v>18</v>
      </c>
      <c r="BV111" s="2" t="str">
        <f>CONCATENATE(
ROUND(BR111*VLOOKUP(I111,'ID Scheme'!$A$2:$E$7,3),0), "x",
ROUND(BS111*VLOOKUP(I111,'ID Scheme'!$A$2:$E$7,5),0), "x",
ROUND(BT111*VLOOKUP(I111,'ID Scheme'!$A$2:$E$7,4),0))</f>
        <v>0x0x0</v>
      </c>
      <c r="BW111" t="s">
        <v>123</v>
      </c>
    </row>
    <row r="112" spans="1:75" x14ac:dyDescent="0.25">
      <c r="A112" t="s">
        <v>132</v>
      </c>
      <c r="B112" t="s">
        <v>256</v>
      </c>
      <c r="C112" t="s">
        <v>336</v>
      </c>
      <c r="D112">
        <f>IF(F112 &gt; 2020, ((F112-2020)*4)+1610+H112,IF(F112 &gt; 1900, ((F112-1900)*10)+400+H112, ((F112-1730)*2)+H112))+VLOOKUP(I112,'ID Scheme'!$A$2:$B$7,2, FALSE)</f>
        <v>9601</v>
      </c>
      <c r="F112">
        <v>1960</v>
      </c>
      <c r="G112">
        <v>1</v>
      </c>
      <c r="H112">
        <v>1</v>
      </c>
      <c r="I112" t="s">
        <v>104</v>
      </c>
      <c r="J112">
        <v>36</v>
      </c>
      <c r="K112">
        <v>30</v>
      </c>
      <c r="L112">
        <v>40</v>
      </c>
      <c r="M112">
        <v>12</v>
      </c>
      <c r="N112">
        <v>15</v>
      </c>
      <c r="O112">
        <v>114</v>
      </c>
      <c r="P112">
        <v>20</v>
      </c>
      <c r="Q112">
        <v>1</v>
      </c>
      <c r="R112" t="s">
        <v>387</v>
      </c>
      <c r="S112">
        <v>0</v>
      </c>
      <c r="T112" s="2" t="s">
        <v>457</v>
      </c>
      <c r="U112" s="2"/>
      <c r="V112" s="2"/>
      <c r="W112" s="2"/>
      <c r="X112" s="2"/>
      <c r="Y112" s="2"/>
      <c r="Z112" s="2"/>
      <c r="AA112" s="2"/>
      <c r="AB112" s="2"/>
      <c r="AC112" s="2"/>
      <c r="AD112" s="2"/>
      <c r="AG112">
        <v>122</v>
      </c>
      <c r="AL112" s="8">
        <f t="shared" si="51"/>
        <v>0</v>
      </c>
      <c r="AO112" t="s">
        <v>398</v>
      </c>
      <c r="AP112">
        <v>1</v>
      </c>
      <c r="AR112" t="s">
        <v>401</v>
      </c>
      <c r="AS112" t="s">
        <v>398</v>
      </c>
      <c r="AT112" t="s">
        <v>402</v>
      </c>
      <c r="AU112" t="s">
        <v>364</v>
      </c>
      <c r="AV112">
        <v>1</v>
      </c>
      <c r="AZ112" s="2">
        <f>(SQRT(J112*AG112)*POWER((MIN(L112,20)+SQRT(MAX(L112-20,0))),0.9)*Data!$B$1)*(1-(Q112-1))</f>
        <v>88.348080485686708</v>
      </c>
      <c r="BA112" s="2">
        <f>(POWER((J112*J112*AG112), 0.33)*LOG10(O112)*10*Data!$B$1)*Q112</f>
        <v>80.155598368589864</v>
      </c>
      <c r="BB112" s="2"/>
      <c r="BC112" s="2"/>
      <c r="BD112" s="2">
        <f>IFERROR((SQRT($J112*$AH112)*POWER((MIN($L112,20)+SQRT(MAX($L112-20,0))),0.9)*Data!$B$1)*(1 - (Q112-1)),AZ112)</f>
        <v>0</v>
      </c>
      <c r="BE112" s="2">
        <f>IFERROR(((POWER(($J112*$J112*$AH112), 0.33)*LOG10($AE112)*10*Data!$B$1)*Q112),BA112)</f>
        <v>80.155598368589864</v>
      </c>
      <c r="BF112" s="2">
        <f t="shared" si="43"/>
        <v>29.032258064516128</v>
      </c>
      <c r="BG112" s="2">
        <f t="shared" si="44"/>
        <v>0</v>
      </c>
      <c r="BH112" s="2">
        <f t="shared" si="45"/>
        <v>0</v>
      </c>
      <c r="BI112" s="2">
        <f t="shared" si="46"/>
        <v>0</v>
      </c>
      <c r="BJ112" s="2">
        <v>2</v>
      </c>
      <c r="BK112" s="2">
        <v>2</v>
      </c>
      <c r="BL112" s="2">
        <f t="shared" si="47"/>
        <v>61</v>
      </c>
      <c r="BM112" s="2">
        <f t="shared" si="48"/>
        <v>0</v>
      </c>
      <c r="BN112" s="2">
        <f t="shared" si="37"/>
        <v>-1</v>
      </c>
      <c r="BO112" s="2">
        <f t="shared" si="49"/>
        <v>122</v>
      </c>
      <c r="BP112" s="2">
        <f t="shared" si="41"/>
        <v>-1</v>
      </c>
      <c r="BQ112" s="2">
        <f t="shared" si="50"/>
        <v>-1</v>
      </c>
      <c r="BT112" s="3"/>
      <c r="BU112">
        <f t="shared" si="42"/>
        <v>8</v>
      </c>
      <c r="BV112" s="2" t="str">
        <f>CONCATENATE(
ROUND(BR112*VLOOKUP(I112,'ID Scheme'!$A$2:$E$7,3),0), "x",
ROUND(BS112*VLOOKUP(I112,'ID Scheme'!$A$2:$E$7,5),0), "x",
ROUND(BT112*VLOOKUP(I112,'ID Scheme'!$A$2:$E$7,4),0))</f>
        <v>0x0x0</v>
      </c>
      <c r="BW112" t="s">
        <v>122</v>
      </c>
    </row>
    <row r="113" spans="1:75" x14ac:dyDescent="0.25">
      <c r="A113" t="s">
        <v>112</v>
      </c>
      <c r="B113" t="s">
        <v>207</v>
      </c>
      <c r="C113" t="s">
        <v>295</v>
      </c>
      <c r="D113">
        <f>IF(F113 &gt; 2020, ((F113-2020)*4)+1610+H113,IF(F113 &gt; 1900, ((F113-1900)*10)+400+H113, ((F113-1730)*2)+H113))+VLOOKUP(I113,'ID Scheme'!$A$2:$B$7,2, FALSE)</f>
        <v>9791</v>
      </c>
      <c r="F113">
        <v>1979</v>
      </c>
      <c r="G113">
        <v>6</v>
      </c>
      <c r="H113">
        <v>1</v>
      </c>
      <c r="I113" t="s">
        <v>104</v>
      </c>
      <c r="J113">
        <v>40</v>
      </c>
      <c r="K113">
        <v>25</v>
      </c>
      <c r="L113">
        <v>35</v>
      </c>
      <c r="M113">
        <v>11</v>
      </c>
      <c r="N113">
        <v>12</v>
      </c>
      <c r="O113">
        <v>114</v>
      </c>
      <c r="P113">
        <v>20</v>
      </c>
      <c r="Q113">
        <v>1</v>
      </c>
      <c r="R113" t="s">
        <v>387</v>
      </c>
      <c r="S113">
        <v>0</v>
      </c>
      <c r="T113" s="2" t="s">
        <v>458</v>
      </c>
      <c r="U113" s="2"/>
      <c r="V113" s="2"/>
      <c r="W113" s="2"/>
      <c r="X113" s="2"/>
      <c r="Y113" s="2"/>
      <c r="Z113" s="2"/>
      <c r="AA113" s="2"/>
      <c r="AB113" s="2"/>
      <c r="AC113" s="2"/>
      <c r="AD113" s="2"/>
      <c r="AG113">
        <v>108</v>
      </c>
      <c r="AL113" s="8">
        <f t="shared" si="51"/>
        <v>0</v>
      </c>
      <c r="AU113" t="s">
        <v>364</v>
      </c>
      <c r="AV113">
        <v>1</v>
      </c>
      <c r="AZ113" s="2">
        <f>(SQRT(J113*AG113)*POWER((MIN(L113,20)+SQRT(MAX(L113-20,0))),0.9)*Data!$B$1)*(1-(Q113-1))</f>
        <v>85.687833488938395</v>
      </c>
      <c r="BA113" s="2">
        <f>(POWER((J113*J113*AG113), 0.33)*LOG10(O113)*10*Data!$B$1)*Q113</f>
        <v>82.540082660234276</v>
      </c>
      <c r="BB113" s="2"/>
      <c r="BC113" s="2"/>
      <c r="BD113" s="2">
        <f>IFERROR((SQRT($J113*$AH113)*POWER((MIN($L113,20)+SQRT(MAX($L113-20,0))),0.9)*Data!$B$1)*(1 - (Q113-1)),AZ113)</f>
        <v>0</v>
      </c>
      <c r="BE113" s="2">
        <f>IFERROR(((POWER(($J113*$J113*$AH113), 0.33)*LOG10($AE113)*10*Data!$B$1)*Q113),BA113)</f>
        <v>82.540082660234276</v>
      </c>
      <c r="BF113" s="2">
        <f t="shared" si="43"/>
        <v>32.258064516129032</v>
      </c>
      <c r="BG113" s="2">
        <f t="shared" si="44"/>
        <v>0</v>
      </c>
      <c r="BH113" s="2">
        <f t="shared" si="45"/>
        <v>0</v>
      </c>
      <c r="BI113" s="2">
        <f t="shared" si="46"/>
        <v>0</v>
      </c>
      <c r="BJ113" s="2">
        <v>1</v>
      </c>
      <c r="BK113" s="2">
        <v>1</v>
      </c>
      <c r="BL113" s="2">
        <f t="shared" si="47"/>
        <v>108</v>
      </c>
      <c r="BM113" s="2">
        <f t="shared" si="48"/>
        <v>0</v>
      </c>
      <c r="BN113" s="2">
        <f t="shared" si="37"/>
        <v>-1</v>
      </c>
      <c r="BO113" s="2">
        <f t="shared" si="49"/>
        <v>108</v>
      </c>
      <c r="BP113" s="2">
        <f t="shared" si="41"/>
        <v>-1</v>
      </c>
      <c r="BQ113" s="2">
        <f t="shared" si="50"/>
        <v>-1</v>
      </c>
      <c r="BT113" s="3"/>
      <c r="BU113">
        <f t="shared" si="42"/>
        <v>19</v>
      </c>
      <c r="BV113" s="2" t="str">
        <f>CONCATENATE(
ROUND(BR113*VLOOKUP(I113,'ID Scheme'!$A$2:$E$7,3),0), "x",
ROUND(BS113*VLOOKUP(I113,'ID Scheme'!$A$2:$E$7,5),0), "x",
ROUND(BT113*VLOOKUP(I113,'ID Scheme'!$A$2:$E$7,4),0))</f>
        <v>0x0x0</v>
      </c>
      <c r="BW113" t="s">
        <v>121</v>
      </c>
    </row>
    <row r="114" spans="1:75" x14ac:dyDescent="0.25">
      <c r="A114" t="s">
        <v>113</v>
      </c>
      <c r="B114" t="s">
        <v>244</v>
      </c>
      <c r="C114" t="s">
        <v>295</v>
      </c>
      <c r="D114">
        <f>IF(F114 &gt; 2020, ((F114-2020)*4)+1610+H114,IF(F114 &gt; 1900, ((F114-1900)*10)+400+H114, ((F114-1730)*2)+H114))+VLOOKUP(I114,'ID Scheme'!$A$2:$B$7,2, FALSE)</f>
        <v>9841</v>
      </c>
      <c r="F114">
        <v>1984</v>
      </c>
      <c r="G114">
        <v>1</v>
      </c>
      <c r="H114">
        <v>1</v>
      </c>
      <c r="I114" t="s">
        <v>104</v>
      </c>
      <c r="J114">
        <v>43</v>
      </c>
      <c r="K114">
        <v>30</v>
      </c>
      <c r="L114">
        <v>40</v>
      </c>
      <c r="M114">
        <v>10</v>
      </c>
      <c r="N114">
        <v>8</v>
      </c>
      <c r="O114">
        <v>114</v>
      </c>
      <c r="P114">
        <v>20</v>
      </c>
      <c r="Q114">
        <v>1</v>
      </c>
      <c r="R114" t="s">
        <v>387</v>
      </c>
      <c r="S114">
        <v>0</v>
      </c>
      <c r="T114" s="2" t="s">
        <v>459</v>
      </c>
      <c r="U114" s="2"/>
      <c r="V114" s="2"/>
      <c r="W114" s="2"/>
      <c r="X114" s="2"/>
      <c r="Y114" s="2"/>
      <c r="Z114" s="2"/>
      <c r="AA114" s="2"/>
      <c r="AB114" s="2"/>
      <c r="AC114" s="2"/>
      <c r="AD114" s="2"/>
      <c r="AG114">
        <v>70</v>
      </c>
      <c r="AL114" s="8">
        <f t="shared" si="51"/>
        <v>0</v>
      </c>
      <c r="AU114" t="s">
        <v>364</v>
      </c>
      <c r="AV114">
        <v>1</v>
      </c>
      <c r="AZ114" s="2">
        <f>(SQRT(J114*AG114)*POWER((MIN(L114,20)+SQRT(MAX(L114-20,0))),0.9)*Data!$B$1)*(1-(Q114-1))</f>
        <v>73.139030669847884</v>
      </c>
      <c r="BA114" s="2">
        <f>(POWER((J114*J114*AG114), 0.33)*LOG10(O114)*10*Data!$B$1)*Q114</f>
        <v>75.032082395822727</v>
      </c>
      <c r="BB114" s="2"/>
      <c r="BC114" s="2"/>
      <c r="BD114" s="2">
        <f>IFERROR((SQRT($J114*$AH114)*POWER((MIN($L114,20)+SQRT(MAX($L114-20,0))),0.9)*Data!$B$1)*(1 - (Q114-1)),AZ114)</f>
        <v>0</v>
      </c>
      <c r="BE114" s="2">
        <f>IFERROR(((POWER(($J114*$J114*$AH114), 0.33)*LOG10($AE114)*10*Data!$B$1)*Q114),BA114)</f>
        <v>75.032082395822727</v>
      </c>
      <c r="BF114" s="2">
        <f t="shared" si="43"/>
        <v>34.677419354838712</v>
      </c>
      <c r="BG114" s="2">
        <f t="shared" si="44"/>
        <v>0</v>
      </c>
      <c r="BH114" s="2">
        <f t="shared" si="45"/>
        <v>0</v>
      </c>
      <c r="BI114" s="2">
        <f t="shared" si="46"/>
        <v>0</v>
      </c>
      <c r="BJ114" s="2">
        <v>1</v>
      </c>
      <c r="BK114" s="2">
        <v>1</v>
      </c>
      <c r="BL114" s="2">
        <f t="shared" si="47"/>
        <v>70</v>
      </c>
      <c r="BM114" s="2">
        <f t="shared" si="48"/>
        <v>0</v>
      </c>
      <c r="BN114" s="2">
        <f t="shared" si="37"/>
        <v>-1</v>
      </c>
      <c r="BO114" s="2">
        <f t="shared" si="49"/>
        <v>70</v>
      </c>
      <c r="BP114" s="2">
        <f t="shared" si="41"/>
        <v>-1</v>
      </c>
      <c r="BQ114" s="2">
        <f t="shared" si="50"/>
        <v>-1</v>
      </c>
      <c r="BT114" s="3"/>
      <c r="BU114">
        <f t="shared" si="42"/>
        <v>5</v>
      </c>
      <c r="BV114" s="2" t="str">
        <f>CONCATENATE(
ROUND(BR114*VLOOKUP(I114,'ID Scheme'!$A$2:$E$7,3),0), "x",
ROUND(BS114*VLOOKUP(I114,'ID Scheme'!$A$2:$E$7,5),0), "x",
ROUND(BT114*VLOOKUP(I114,'ID Scheme'!$A$2:$E$7,4),0))</f>
        <v>0x0x0</v>
      </c>
      <c r="BW114" t="s">
        <v>121</v>
      </c>
    </row>
    <row r="115" spans="1:75" x14ac:dyDescent="0.25">
      <c r="A115" t="s">
        <v>114</v>
      </c>
      <c r="B115" t="s">
        <v>248</v>
      </c>
      <c r="C115" t="s">
        <v>336</v>
      </c>
      <c r="D115">
        <f>IF(F115 &gt; 2020, ((F115-2020)*4)+1610+H115,IF(F115 &gt; 1900, ((F115-1900)*10)+400+H115, ((F115-1730)*2)+H115))+VLOOKUP(I115,'ID Scheme'!$A$2:$B$7,2, FALSE)</f>
        <v>9871</v>
      </c>
      <c r="E115">
        <f>D115+1</f>
        <v>9872</v>
      </c>
      <c r="F115">
        <v>1987</v>
      </c>
      <c r="G115">
        <v>1</v>
      </c>
      <c r="H115">
        <v>1</v>
      </c>
      <c r="I115" t="s">
        <v>104</v>
      </c>
      <c r="J115">
        <v>40</v>
      </c>
      <c r="K115">
        <v>28</v>
      </c>
      <c r="L115">
        <v>25</v>
      </c>
      <c r="M115">
        <v>14</v>
      </c>
      <c r="N115">
        <v>18</v>
      </c>
      <c r="O115">
        <v>375</v>
      </c>
      <c r="P115">
        <v>20</v>
      </c>
      <c r="Q115">
        <v>1</v>
      </c>
      <c r="R115" t="s">
        <v>387</v>
      </c>
      <c r="S115">
        <v>0</v>
      </c>
      <c r="T115" s="2" t="s">
        <v>463</v>
      </c>
      <c r="U115" s="2"/>
      <c r="V115" s="2"/>
      <c r="W115" s="2"/>
      <c r="X115" s="2"/>
      <c r="Y115" s="2"/>
      <c r="Z115" s="2"/>
      <c r="AA115" s="2"/>
      <c r="AB115" s="2"/>
      <c r="AC115" s="2"/>
      <c r="AD115" s="2"/>
      <c r="AG115">
        <v>188</v>
      </c>
      <c r="AL115" s="8">
        <f t="shared" si="51"/>
        <v>0</v>
      </c>
      <c r="AO115" t="s">
        <v>398</v>
      </c>
      <c r="AR115" t="s">
        <v>403</v>
      </c>
      <c r="AS115" t="s">
        <v>404</v>
      </c>
      <c r="AT115" t="s">
        <v>405</v>
      </c>
      <c r="AU115" t="s">
        <v>364</v>
      </c>
      <c r="AV115">
        <v>1</v>
      </c>
      <c r="AW115">
        <v>1</v>
      </c>
      <c r="AZ115" s="2">
        <f>(SQRT(J115*AG115)*POWER((MIN(L115,20)+SQRT(MAX(L115-20,0))),0.9)*Data!$B$1)*(1-(Q115-1))</f>
        <v>106.05285816833118</v>
      </c>
      <c r="BA115" s="2">
        <f>(POWER((J115*J115*AG115), 0.33)*LOG10(O115)*10*Data!$B$1)*Q115</f>
        <v>124.02429472574501</v>
      </c>
      <c r="BB115" s="2">
        <v>59</v>
      </c>
      <c r="BC115" s="2">
        <v>41</v>
      </c>
      <c r="BD115" s="2">
        <f>IFERROR((SQRT($J115*$AH115)*POWER((MIN($L115,20)+SQRT(MAX($L115-20,0))),0.9)*Data!$B$1)*(1 - (Q115-1)),AZ115)</f>
        <v>0</v>
      </c>
      <c r="BE115" s="2">
        <f>IFERROR(((POWER(($J115*$J115*$AH115), 0.33)*LOG10($AE115)*10*Data!$B$1)*Q115),BA115)</f>
        <v>124.02429472574501</v>
      </c>
      <c r="BF115" s="2">
        <f t="shared" si="43"/>
        <v>32.258064516129032</v>
      </c>
      <c r="BG115" s="2">
        <f t="shared" si="44"/>
        <v>0</v>
      </c>
      <c r="BH115" s="2">
        <f t="shared" si="45"/>
        <v>0</v>
      </c>
      <c r="BI115" s="2">
        <f t="shared" si="46"/>
        <v>0</v>
      </c>
      <c r="BJ115" s="2">
        <v>4</v>
      </c>
      <c r="BK115" s="2">
        <v>4</v>
      </c>
      <c r="BL115" s="2">
        <f t="shared" si="47"/>
        <v>47</v>
      </c>
      <c r="BM115" s="2">
        <f t="shared" si="48"/>
        <v>0</v>
      </c>
      <c r="BN115" s="2">
        <f t="shared" si="37"/>
        <v>-1</v>
      </c>
      <c r="BO115" s="2">
        <f t="shared" si="49"/>
        <v>62.666666666666664</v>
      </c>
      <c r="BP115" s="2">
        <f t="shared" si="41"/>
        <v>-1</v>
      </c>
      <c r="BQ115" s="2">
        <f t="shared" si="50"/>
        <v>-1</v>
      </c>
      <c r="BR115">
        <v>28</v>
      </c>
      <c r="BS115">
        <v>2.65</v>
      </c>
      <c r="BT115" s="3">
        <v>3.47</v>
      </c>
      <c r="BU115">
        <f t="shared" si="42"/>
        <v>3</v>
      </c>
      <c r="BV115" s="2" t="str">
        <f>CONCATENATE(
ROUND(BR115*VLOOKUP(I115,'ID Scheme'!$A$2:$E$7,3),0), "x",
ROUND(BS115*VLOOKUP(I115,'ID Scheme'!$A$2:$E$7,5),0), "x",
ROUND(BT115*VLOOKUP(I115,'ID Scheme'!$A$2:$E$7,4),0))</f>
        <v>262x38x34</v>
      </c>
      <c r="BW115" t="s">
        <v>128</v>
      </c>
    </row>
    <row r="116" spans="1:75" x14ac:dyDescent="0.25">
      <c r="A116" t="s">
        <v>126</v>
      </c>
      <c r="B116" t="s">
        <v>243</v>
      </c>
      <c r="C116" t="s">
        <v>336</v>
      </c>
      <c r="D116">
        <f>IF(F116 &gt; 2020, ((F116-2020)*4)+1610+H116,IF(F116 &gt; 1900, ((F116-1900)*10)+400+H116, ((F116-1730)*2)+H116))+VLOOKUP(I116,'ID Scheme'!$A$2:$B$7,2, FALSE)</f>
        <v>9981</v>
      </c>
      <c r="F116">
        <v>1998</v>
      </c>
      <c r="G116">
        <v>9</v>
      </c>
      <c r="H116">
        <v>1</v>
      </c>
      <c r="I116" t="s">
        <v>104</v>
      </c>
      <c r="J116">
        <v>50</v>
      </c>
      <c r="K116">
        <v>-1</v>
      </c>
      <c r="L116">
        <v>25</v>
      </c>
      <c r="M116">
        <v>14</v>
      </c>
      <c r="N116">
        <v>36</v>
      </c>
      <c r="O116">
        <v>480</v>
      </c>
      <c r="P116">
        <v>20</v>
      </c>
      <c r="Q116">
        <v>1</v>
      </c>
      <c r="R116" t="s">
        <v>387</v>
      </c>
      <c r="S116">
        <v>0</v>
      </c>
      <c r="T116" s="2" t="s">
        <v>460</v>
      </c>
      <c r="U116" s="2"/>
      <c r="V116" s="2"/>
      <c r="W116" s="2"/>
      <c r="X116" s="2"/>
      <c r="Y116" s="2"/>
      <c r="Z116" s="2"/>
      <c r="AA116" s="2"/>
      <c r="AB116" s="2"/>
      <c r="AC116" s="2"/>
      <c r="AD116" s="2"/>
      <c r="AG116">
        <v>208</v>
      </c>
      <c r="AL116" s="8">
        <f t="shared" si="51"/>
        <v>0</v>
      </c>
      <c r="AO116" t="s">
        <v>398</v>
      </c>
      <c r="AP116" t="s">
        <v>407</v>
      </c>
      <c r="AR116" s="5">
        <v>104104</v>
      </c>
      <c r="AS116" t="s">
        <v>398</v>
      </c>
      <c r="AT116" t="s">
        <v>402</v>
      </c>
      <c r="AU116" t="s">
        <v>364</v>
      </c>
      <c r="AV116">
        <v>1</v>
      </c>
      <c r="AZ116" s="2">
        <f>(SQRT(J116*AG116)*POWER((MIN(L116,20)+SQRT(MAX(L116-20,0))),0.9)*Data!$B$1)*(1-(Q116-1))</f>
        <v>124.71828400555908</v>
      </c>
      <c r="BA116" s="2">
        <f>(POWER((J116*J116*AG116), 0.33)*LOG10(O116)*10*Data!$B$1)*Q116</f>
        <v>154.76696175306753</v>
      </c>
      <c r="BB116" s="2"/>
      <c r="BC116" s="2"/>
      <c r="BD116" s="2">
        <f>IFERROR((SQRT($J116*$AH116)*POWER((MIN($L116,20)+SQRT(MAX($L116-20,0))),0.9)*Data!$B$1)*(1 - (Q116-1)),AZ116)</f>
        <v>0</v>
      </c>
      <c r="BE116" s="2">
        <f>IFERROR(((POWER(($J116*$J116*$AH116), 0.33)*LOG10($AE116)*10*Data!$B$1)*Q116),BA116)</f>
        <v>154.76696175306753</v>
      </c>
      <c r="BF116" s="2">
        <f t="shared" si="43"/>
        <v>40.322580645161288</v>
      </c>
      <c r="BG116" s="2">
        <f t="shared" si="44"/>
        <v>0</v>
      </c>
      <c r="BH116" s="2">
        <f t="shared" si="45"/>
        <v>0</v>
      </c>
      <c r="BI116" s="2">
        <f t="shared" si="46"/>
        <v>0</v>
      </c>
      <c r="BJ116" s="2">
        <v>2</v>
      </c>
      <c r="BK116" s="2">
        <v>2</v>
      </c>
      <c r="BL116" s="2">
        <f t="shared" si="47"/>
        <v>104</v>
      </c>
      <c r="BM116" s="2">
        <f t="shared" si="48"/>
        <v>0</v>
      </c>
      <c r="BN116" s="2">
        <f t="shared" si="37"/>
        <v>-1</v>
      </c>
      <c r="BO116" s="2">
        <f t="shared" si="49"/>
        <v>208</v>
      </c>
      <c r="BP116" s="2">
        <f t="shared" si="41"/>
        <v>-1</v>
      </c>
      <c r="BQ116" s="2">
        <f t="shared" si="50"/>
        <v>-1</v>
      </c>
      <c r="BR116">
        <v>30</v>
      </c>
      <c r="BS116">
        <v>2.65</v>
      </c>
      <c r="BT116" s="3">
        <v>3.67</v>
      </c>
      <c r="BU116" t="e">
        <f>F116-#REF!</f>
        <v>#REF!</v>
      </c>
      <c r="BV116" s="2" t="str">
        <f>CONCATENATE(
ROUND(BR116*VLOOKUP(I116,'ID Scheme'!$A$2:$E$7,3),0), "x",
ROUND(BS116*VLOOKUP(I116,'ID Scheme'!$A$2:$E$7,5),0), "x",
ROUND(BT116*VLOOKUP(I116,'ID Scheme'!$A$2:$E$7,4),0))</f>
        <v>280x38x36</v>
      </c>
      <c r="BW116" t="s">
        <v>127</v>
      </c>
    </row>
    <row r="117" spans="1:75" x14ac:dyDescent="0.25">
      <c r="A117" t="s">
        <v>115</v>
      </c>
      <c r="B117" t="s">
        <v>247</v>
      </c>
      <c r="C117" t="s">
        <v>336</v>
      </c>
      <c r="D117">
        <f>IF(F117 &gt; 2020, ((F117-2020)*4)+1610+H117,IF(F117 &gt; 1900, ((F117-1900)*10)+400+H117, ((F117-1730)*2)+H117))+VLOOKUP(I117,'ID Scheme'!$A$2:$B$7,2, FALSE)</f>
        <v>10082</v>
      </c>
      <c r="E117">
        <f>D117+1</f>
        <v>10083</v>
      </c>
      <c r="F117">
        <v>2008</v>
      </c>
      <c r="G117">
        <v>1</v>
      </c>
      <c r="H117">
        <v>2</v>
      </c>
      <c r="I117" t="s">
        <v>104</v>
      </c>
      <c r="J117">
        <v>62</v>
      </c>
      <c r="K117">
        <v>-1</v>
      </c>
      <c r="L117">
        <v>25</v>
      </c>
      <c r="M117">
        <v>14</v>
      </c>
      <c r="N117">
        <v>36</v>
      </c>
      <c r="O117">
        <v>375</v>
      </c>
      <c r="P117">
        <v>20</v>
      </c>
      <c r="Q117">
        <v>1</v>
      </c>
      <c r="R117" t="s">
        <v>387</v>
      </c>
      <c r="S117">
        <v>0</v>
      </c>
      <c r="T117" s="2" t="s">
        <v>465</v>
      </c>
      <c r="U117" s="2"/>
      <c r="V117" s="2"/>
      <c r="W117" s="2"/>
      <c r="X117" s="2"/>
      <c r="Y117" s="2"/>
      <c r="Z117" s="2"/>
      <c r="AA117" s="2"/>
      <c r="AB117" s="2"/>
      <c r="AC117" s="2"/>
      <c r="AD117" s="2"/>
      <c r="AG117">
        <v>284</v>
      </c>
      <c r="AL117" s="8">
        <f t="shared" si="51"/>
        <v>0</v>
      </c>
      <c r="AO117" t="s">
        <v>398</v>
      </c>
      <c r="AP117" t="s">
        <v>430</v>
      </c>
      <c r="AR117" t="s">
        <v>409</v>
      </c>
      <c r="AS117" t="s">
        <v>410</v>
      </c>
      <c r="AT117" t="s">
        <v>411</v>
      </c>
      <c r="AU117" t="s">
        <v>364</v>
      </c>
      <c r="AV117">
        <v>1</v>
      </c>
      <c r="AW117">
        <v>1</v>
      </c>
      <c r="AZ117" s="2">
        <f>(SQRT(J117*AG117)*POWER((MIN(L117,20)+SQRT(MAX(L117-20,0))),0.9)*Data!$B$1)*(1-(Q117-1))</f>
        <v>162.28129769016738</v>
      </c>
      <c r="BA117" s="2">
        <f>(POWER((J117*J117*AG117), 0.33)*LOG10(O117)*10*Data!$B$1)*Q117</f>
        <v>189.77921627665754</v>
      </c>
      <c r="BB117" s="2">
        <v>91</v>
      </c>
      <c r="BC117" s="2">
        <v>64</v>
      </c>
      <c r="BD117" s="2">
        <f>IFERROR((SQRT($J117*$AH117)*POWER((MIN($L117,20)+SQRT(MAX($L117-20,0))),0.9)*Data!$B$1)*(1 - (Q117-1)),AZ117)</f>
        <v>0</v>
      </c>
      <c r="BE117" s="2">
        <f>IFERROR(((POWER(($J117*$J117*$AH117), 0.33)*LOG10($AE117)*10*Data!$B$1)*Q117),BA117)</f>
        <v>189.77921627665754</v>
      </c>
      <c r="BF117" s="2">
        <f t="shared" si="43"/>
        <v>50</v>
      </c>
      <c r="BG117" s="2">
        <f t="shared" si="44"/>
        <v>0</v>
      </c>
      <c r="BH117" s="2">
        <f t="shared" si="45"/>
        <v>0</v>
      </c>
      <c r="BI117" s="2">
        <f t="shared" si="46"/>
        <v>0</v>
      </c>
      <c r="BJ117" s="2">
        <v>6</v>
      </c>
      <c r="BK117" s="2">
        <v>6</v>
      </c>
      <c r="BL117" s="2">
        <f t="shared" si="47"/>
        <v>47.333333333333336</v>
      </c>
      <c r="BM117" s="2">
        <f t="shared" si="48"/>
        <v>0</v>
      </c>
      <c r="BN117" s="2">
        <f t="shared" si="37"/>
        <v>-1</v>
      </c>
      <c r="BO117" s="2">
        <f t="shared" si="49"/>
        <v>56.8</v>
      </c>
      <c r="BP117" s="2">
        <f t="shared" si="41"/>
        <v>-1</v>
      </c>
      <c r="BQ117" s="2">
        <f t="shared" si="50"/>
        <v>-1</v>
      </c>
      <c r="BR117">
        <v>32</v>
      </c>
      <c r="BS117">
        <v>2.65</v>
      </c>
      <c r="BT117" s="3">
        <v>3.42</v>
      </c>
      <c r="BU117">
        <f>F117-F116</f>
        <v>10</v>
      </c>
      <c r="BV117" s="2" t="str">
        <f>CONCATENATE(
ROUND(BR117*VLOOKUP(I117,'ID Scheme'!$A$2:$E$7,3),0), "x",
ROUND(BS117*VLOOKUP(I117,'ID Scheme'!$A$2:$E$7,5),0), "x",
ROUND(BT117*VLOOKUP(I117,'ID Scheme'!$A$2:$E$7,4),0))</f>
        <v>299x38x33</v>
      </c>
      <c r="BW117" t="s">
        <v>129</v>
      </c>
    </row>
    <row r="118" spans="1:75" x14ac:dyDescent="0.25">
      <c r="A118" t="s">
        <v>135</v>
      </c>
      <c r="B118" t="s">
        <v>250</v>
      </c>
      <c r="C118" t="s">
        <v>336</v>
      </c>
      <c r="D118">
        <f>IF(F118 &gt; 2020, ((F118-2020)*4)+1610+H118,IF(F118 &gt; 1900, ((F118-1900)*10)+400+H118, ((F118-1730)*2)+H118))+VLOOKUP(I118,'ID Scheme'!$A$2:$B$7,2, FALSE)</f>
        <v>10101</v>
      </c>
      <c r="F118">
        <v>2010</v>
      </c>
      <c r="G118">
        <v>11</v>
      </c>
      <c r="H118">
        <v>1</v>
      </c>
      <c r="I118" t="s">
        <v>104</v>
      </c>
      <c r="J118">
        <v>44</v>
      </c>
      <c r="K118">
        <v>-1</v>
      </c>
      <c r="L118">
        <v>25</v>
      </c>
      <c r="M118">
        <v>14</v>
      </c>
      <c r="N118">
        <v>41</v>
      </c>
      <c r="O118">
        <v>640</v>
      </c>
      <c r="P118">
        <v>20</v>
      </c>
      <c r="Q118">
        <v>1</v>
      </c>
      <c r="R118" t="s">
        <v>387</v>
      </c>
      <c r="S118">
        <v>0</v>
      </c>
      <c r="T118" s="2" t="s">
        <v>461</v>
      </c>
      <c r="U118" s="2"/>
      <c r="V118" s="2"/>
      <c r="W118" s="2"/>
      <c r="X118" s="2"/>
      <c r="Y118" s="2"/>
      <c r="Z118" s="2"/>
      <c r="AA118" s="2"/>
      <c r="AB118" s="2"/>
      <c r="AC118" s="2"/>
      <c r="AD118" s="2"/>
      <c r="AG118">
        <v>225</v>
      </c>
      <c r="AL118" s="8">
        <f t="shared" si="51"/>
        <v>0</v>
      </c>
      <c r="AO118" t="s">
        <v>412</v>
      </c>
      <c r="AP118" t="s">
        <v>431</v>
      </c>
      <c r="AR118" t="s">
        <v>413</v>
      </c>
      <c r="AS118" t="s">
        <v>414</v>
      </c>
      <c r="AT118" t="s">
        <v>415</v>
      </c>
      <c r="AU118" t="s">
        <v>364</v>
      </c>
      <c r="AV118">
        <v>1</v>
      </c>
      <c r="AZ118" s="2">
        <f>(SQRT(J118*AG118)*POWER((MIN(L118,20)+SQRT(MAX(L118-20,0))),0.9)*Data!$B$1)*(1-(Q118-1))</f>
        <v>121.68332110930714</v>
      </c>
      <c r="BA118" s="2">
        <f>(POWER((J118*J118*AG118), 0.33)*LOG10(O118)*10*Data!$B$1)*Q118</f>
        <v>152.78326328641526</v>
      </c>
      <c r="BB118" s="2"/>
      <c r="BC118" s="2"/>
      <c r="BD118" s="2">
        <f>IFERROR((SQRT($J118*$AH118)*POWER((MIN($L118,20)+SQRT(MAX($L118-20,0))),0.9)*Data!$B$1)*(1 - (Q118-1)),AZ118)</f>
        <v>0</v>
      </c>
      <c r="BE118" s="2">
        <f>IFERROR(((POWER(($J118*$J118*$AH118), 0.33)*LOG10($AE118)*10*Data!$B$1)*Q118),BA118)</f>
        <v>152.78326328641526</v>
      </c>
      <c r="BF118" s="2">
        <f t="shared" si="43"/>
        <v>35.483870967741936</v>
      </c>
      <c r="BG118" s="2">
        <f t="shared" si="44"/>
        <v>0</v>
      </c>
      <c r="BH118" s="2">
        <f t="shared" si="45"/>
        <v>0</v>
      </c>
      <c r="BI118" s="2">
        <f t="shared" si="46"/>
        <v>0</v>
      </c>
      <c r="BJ118" s="2">
        <v>5</v>
      </c>
      <c r="BK118" s="2">
        <v>5</v>
      </c>
      <c r="BL118" s="2">
        <f t="shared" si="47"/>
        <v>45</v>
      </c>
      <c r="BM118" s="2">
        <f t="shared" si="48"/>
        <v>0</v>
      </c>
      <c r="BN118" s="2">
        <f t="shared" si="37"/>
        <v>-1</v>
      </c>
      <c r="BO118" s="2">
        <f t="shared" si="49"/>
        <v>56.25</v>
      </c>
      <c r="BP118" s="2">
        <f t="shared" si="41"/>
        <v>-1</v>
      </c>
      <c r="BQ118" s="2">
        <f t="shared" si="50"/>
        <v>-1</v>
      </c>
      <c r="BT118" s="3"/>
      <c r="BU118" t="e">
        <f>F118-#REF!</f>
        <v>#REF!</v>
      </c>
      <c r="BV118" s="2" t="str">
        <f>CONCATENATE(
ROUND(BR118*VLOOKUP(I118,'ID Scheme'!$A$2:$E$7,3),0), "x",
ROUND(BS118*VLOOKUP(I118,'ID Scheme'!$A$2:$E$7,5),0), "x",
ROUND(BT118*VLOOKUP(I118,'ID Scheme'!$A$2:$E$7,4),0))</f>
        <v>0x0x0</v>
      </c>
      <c r="BW118" t="s">
        <v>136</v>
      </c>
    </row>
    <row r="119" spans="1:75" x14ac:dyDescent="0.25">
      <c r="A119" t="s">
        <v>133</v>
      </c>
      <c r="B119" t="s">
        <v>258</v>
      </c>
      <c r="C119" t="s">
        <v>336</v>
      </c>
      <c r="D119">
        <f>IF(F119 &gt; 2020, ((F119-2020)*4)+1610+H119,IF(F119 &gt; 1900, ((F119-1900)*10)+400+H119, ((F119-1730)*2)+H119))+VLOOKUP(I119,'ID Scheme'!$A$2:$B$7,2, FALSE)</f>
        <v>10171</v>
      </c>
      <c r="E119">
        <f>D119+1</f>
        <v>10172</v>
      </c>
      <c r="F119">
        <v>2017</v>
      </c>
      <c r="G119">
        <v>1</v>
      </c>
      <c r="H119">
        <v>1</v>
      </c>
      <c r="I119" t="s">
        <v>104</v>
      </c>
      <c r="J119">
        <v>62</v>
      </c>
      <c r="K119">
        <v>-1</v>
      </c>
      <c r="L119">
        <v>30</v>
      </c>
      <c r="M119">
        <v>12</v>
      </c>
      <c r="N119">
        <v>63</v>
      </c>
      <c r="O119">
        <v>1180</v>
      </c>
      <c r="P119">
        <v>20</v>
      </c>
      <c r="Q119">
        <v>1</v>
      </c>
      <c r="R119" t="s">
        <v>387</v>
      </c>
      <c r="S119">
        <v>0</v>
      </c>
      <c r="T119" s="2" t="s">
        <v>464</v>
      </c>
      <c r="U119" s="2"/>
      <c r="V119" s="2"/>
      <c r="W119" s="2"/>
      <c r="X119" s="2"/>
      <c r="Y119" s="2"/>
      <c r="Z119" s="2"/>
      <c r="AA119" s="2"/>
      <c r="AB119" s="2"/>
      <c r="AC119" s="2"/>
      <c r="AD119" s="2"/>
      <c r="AG119">
        <v>238</v>
      </c>
      <c r="AL119" s="8">
        <f t="shared" si="51"/>
        <v>0</v>
      </c>
      <c r="AO119" t="s">
        <v>416</v>
      </c>
      <c r="AP119" t="s">
        <v>432</v>
      </c>
      <c r="AR119" t="s">
        <v>417</v>
      </c>
      <c r="AS119" t="s">
        <v>416</v>
      </c>
      <c r="AT119" t="s">
        <v>418</v>
      </c>
      <c r="AU119" t="s">
        <v>364</v>
      </c>
      <c r="AV119">
        <v>1</v>
      </c>
      <c r="AX119">
        <v>1</v>
      </c>
      <c r="AZ119" s="2">
        <f>(SQRT(J119*AG119)*POWER((MIN(L119,20)+SQRT(MAX(L119-20,0))),0.9)*Data!$B$1)*(1-(Q119-1))</f>
        <v>154.11635315507084</v>
      </c>
      <c r="BA119" s="2">
        <f>(POWER((J119*J119*AG119), 0.33)*LOG10(O119)*10*Data!$B$1)*Q119</f>
        <v>213.65580865997862</v>
      </c>
      <c r="BB119" s="2">
        <v>86</v>
      </c>
      <c r="BC119" s="2">
        <v>72</v>
      </c>
      <c r="BD119" s="2">
        <f>IFERROR((SQRT($J119*$AH119)*POWER((MIN($L119,20)+SQRT(MAX($L119-20,0))),0.9)*Data!$B$1)*(1 - (Q119-1)),AZ119)</f>
        <v>0</v>
      </c>
      <c r="BE119" s="2">
        <f>IFERROR(((POWER(($J119*$J119*$AH119), 0.33)*LOG10($AE119)*10*Data!$B$1)*Q119),BA119)</f>
        <v>213.65580865997862</v>
      </c>
      <c r="BF119" s="2">
        <f t="shared" si="43"/>
        <v>50</v>
      </c>
      <c r="BG119" s="2">
        <f t="shared" si="44"/>
        <v>0</v>
      </c>
      <c r="BH119" s="2">
        <f t="shared" si="45"/>
        <v>0</v>
      </c>
      <c r="BI119" s="2">
        <f t="shared" si="46"/>
        <v>0</v>
      </c>
      <c r="BJ119" s="2">
        <v>3</v>
      </c>
      <c r="BK119" s="2">
        <v>3</v>
      </c>
      <c r="BL119" s="2">
        <f t="shared" si="47"/>
        <v>79.333333333333329</v>
      </c>
      <c r="BM119" s="2">
        <f t="shared" si="48"/>
        <v>0</v>
      </c>
      <c r="BN119" s="2">
        <f t="shared" si="37"/>
        <v>-1</v>
      </c>
      <c r="BO119" s="2">
        <f t="shared" si="49"/>
        <v>119</v>
      </c>
      <c r="BP119" s="2">
        <f t="shared" si="41"/>
        <v>-1</v>
      </c>
      <c r="BQ119" s="2">
        <f t="shared" si="50"/>
        <v>-1</v>
      </c>
      <c r="BR119">
        <v>37.200000000000003</v>
      </c>
      <c r="BS119">
        <v>2.65</v>
      </c>
      <c r="BT119" s="3">
        <v>3.6</v>
      </c>
      <c r="BU119">
        <f>F119-F118</f>
        <v>7</v>
      </c>
      <c r="BV119" s="2" t="str">
        <f>CONCATENATE(
ROUND(BR119*VLOOKUP(I119,'ID Scheme'!$A$2:$E$7,3),0), "x",
ROUND(BS119*VLOOKUP(I119,'ID Scheme'!$A$2:$E$7,5),0), "x",
ROUND(BT119*VLOOKUP(I119,'ID Scheme'!$A$2:$E$7,4),0))</f>
        <v>347x38x35</v>
      </c>
      <c r="BW119" t="s">
        <v>134</v>
      </c>
    </row>
    <row r="120" spans="1:75" x14ac:dyDescent="0.25">
      <c r="A120" t="s">
        <v>138</v>
      </c>
      <c r="B120" t="s">
        <v>205</v>
      </c>
      <c r="C120" t="s">
        <v>369</v>
      </c>
      <c r="D120">
        <f>IF(F120 &gt; 2020, ((F120-2020)*4)+1610+H120,IF(F120 &gt; 1900, ((F120-1900)*10)+400+H120, ((F120-1730)*2)+H120))+VLOOKUP(I120,'ID Scheme'!$A$2:$B$7,2, FALSE)</f>
        <v>10721</v>
      </c>
      <c r="F120">
        <v>1790</v>
      </c>
      <c r="G120">
        <v>1</v>
      </c>
      <c r="H120">
        <v>1</v>
      </c>
      <c r="I120" t="s">
        <v>137</v>
      </c>
      <c r="J120">
        <v>18</v>
      </c>
      <c r="K120">
        <v>110</v>
      </c>
      <c r="L120">
        <v>12</v>
      </c>
      <c r="M120">
        <v>5</v>
      </c>
      <c r="N120">
        <v>2</v>
      </c>
      <c r="O120">
        <v>15</v>
      </c>
      <c r="P120">
        <v>20</v>
      </c>
      <c r="Q120">
        <v>1</v>
      </c>
      <c r="R120" t="s">
        <v>297</v>
      </c>
      <c r="S120">
        <v>0</v>
      </c>
      <c r="T120" s="2" t="s">
        <v>471</v>
      </c>
      <c r="U120" s="2" t="s">
        <v>343</v>
      </c>
      <c r="V120" s="2"/>
      <c r="W120" s="2" t="s">
        <v>343</v>
      </c>
      <c r="X120" s="2" t="s">
        <v>343</v>
      </c>
      <c r="Y120" s="2"/>
      <c r="Z120" s="2"/>
      <c r="AA120" s="2"/>
      <c r="AB120" s="2"/>
      <c r="AC120" s="2" t="s">
        <v>419</v>
      </c>
      <c r="AD120" s="2"/>
      <c r="AG120">
        <v>24</v>
      </c>
      <c r="AI120" s="6">
        <f t="shared" ref="AI120:AI125" si="52">AH120*2</f>
        <v>0</v>
      </c>
      <c r="AJ120" s="6">
        <f t="shared" ref="AJ120:AJ125" si="53">(AG120*1.5)-MOD((AG120*1.5), BJ119)</f>
        <v>36</v>
      </c>
      <c r="AK120" s="6">
        <f t="shared" ref="AK120:AK125" si="54">(BL120*1.5)-MOD((BL120*1.5), BK120)</f>
        <v>12</v>
      </c>
      <c r="AL120" s="8">
        <f t="shared" si="51"/>
        <v>0</v>
      </c>
      <c r="AS120" t="s">
        <v>441</v>
      </c>
      <c r="AT120" t="s">
        <v>442</v>
      </c>
      <c r="AU120" t="s">
        <v>365</v>
      </c>
      <c r="AV120">
        <v>1</v>
      </c>
      <c r="AY120" t="s">
        <v>392</v>
      </c>
      <c r="AZ120" s="2">
        <f>(SQRT(J120*AG120)*POWER((MIN(L120,20)+SQRT(MAX(L120-20,0))),0.9)*Data!$B$1)*(1-(Q120-1))</f>
        <v>14.590368416022624</v>
      </c>
      <c r="BA120" s="2">
        <f>(POWER((J120*J120*AG120), 0.33)*LOG10(O120)*10*Data!$B$1)*Q120</f>
        <v>16.961015410572251</v>
      </c>
      <c r="BB120" s="2"/>
      <c r="BC120" s="2"/>
      <c r="BD120" s="2">
        <f>IFERROR((SQRT($J120*$AH120)*POWER((MIN($L120,20)+SQRT(MAX($L120-20,0))),0.9)*Data!$B$1)*(1 - (Q120-1)),AZ120)</f>
        <v>0</v>
      </c>
      <c r="BE120" s="2">
        <f>IFERROR(((POWER(($J120*$J120*$AH120), 0.33)*LOG10($AE120)*10*Data!$B$1)*Q120),BA120)</f>
        <v>16.961015410572251</v>
      </c>
      <c r="BF120" s="2">
        <f t="shared" si="43"/>
        <v>14.516129032258064</v>
      </c>
      <c r="BG120" s="2">
        <f t="shared" si="44"/>
        <v>0</v>
      </c>
      <c r="BH120" s="2">
        <f t="shared" si="45"/>
        <v>0</v>
      </c>
      <c r="BI120" s="2">
        <f t="shared" si="46"/>
        <v>0</v>
      </c>
      <c r="BJ120" s="2">
        <v>3</v>
      </c>
      <c r="BK120" s="2">
        <v>3</v>
      </c>
      <c r="BL120" s="2">
        <f t="shared" si="47"/>
        <v>8</v>
      </c>
      <c r="BM120" s="2">
        <f t="shared" si="48"/>
        <v>0</v>
      </c>
      <c r="BN120" s="2">
        <f t="shared" si="37"/>
        <v>18</v>
      </c>
      <c r="BO120" s="2">
        <f t="shared" si="49"/>
        <v>12</v>
      </c>
      <c r="BP120" s="2">
        <f t="shared" si="41"/>
        <v>-1</v>
      </c>
      <c r="BQ120" s="2">
        <f t="shared" si="50"/>
        <v>-1</v>
      </c>
      <c r="BT120" s="3"/>
      <c r="BU120" t="e">
        <f>F120-#REF!</f>
        <v>#REF!</v>
      </c>
      <c r="BV120" s="2" t="str">
        <f>CONCATENATE(
ROUND(BR120*VLOOKUP(I120,'ID Scheme'!$A$2:$E$7,3),0), "x",
ROUND(BS120*VLOOKUP(I120,'ID Scheme'!$A$2:$E$7,5),0), "x",
ROUND(BT120*VLOOKUP(I120,'ID Scheme'!$A$2:$E$7,4),0))</f>
        <v>0x0x0</v>
      </c>
    </row>
    <row r="121" spans="1:75" x14ac:dyDescent="0.25">
      <c r="A121" t="s">
        <v>140</v>
      </c>
      <c r="B121" t="s">
        <v>241</v>
      </c>
      <c r="C121" t="s">
        <v>369</v>
      </c>
      <c r="D121">
        <f>IF(F121 &gt; 2020, ((F121-2020)*4)+1610+H121,IF(F121 &gt; 1900, ((F121-1900)*10)+400+H121, ((F121-1730)*2)+H121))+VLOOKUP(I121,'ID Scheme'!$A$2:$B$7,2, FALSE)</f>
        <v>10907</v>
      </c>
      <c r="F121">
        <v>1883</v>
      </c>
      <c r="G121">
        <v>1</v>
      </c>
      <c r="H121">
        <v>1</v>
      </c>
      <c r="I121" t="s">
        <v>137</v>
      </c>
      <c r="J121">
        <v>22</v>
      </c>
      <c r="K121">
        <v>30</v>
      </c>
      <c r="L121">
        <v>30</v>
      </c>
      <c r="M121">
        <v>5</v>
      </c>
      <c r="N121">
        <v>19</v>
      </c>
      <c r="O121">
        <v>50</v>
      </c>
      <c r="P121">
        <v>20</v>
      </c>
      <c r="Q121">
        <v>1</v>
      </c>
      <c r="R121" t="s">
        <v>298</v>
      </c>
      <c r="S121">
        <v>-1</v>
      </c>
      <c r="T121" s="2" t="s">
        <v>466</v>
      </c>
      <c r="U121" s="2" t="s">
        <v>343</v>
      </c>
      <c r="V121" s="2"/>
      <c r="W121" s="2" t="s">
        <v>343</v>
      </c>
      <c r="X121" s="2" t="s">
        <v>343</v>
      </c>
      <c r="Y121" s="2"/>
      <c r="Z121" s="2"/>
      <c r="AA121" s="2"/>
      <c r="AB121" s="2"/>
      <c r="AC121" s="2" t="s">
        <v>419</v>
      </c>
      <c r="AD121" s="2"/>
      <c r="AG121">
        <v>36</v>
      </c>
      <c r="AI121" s="6">
        <f t="shared" si="52"/>
        <v>0</v>
      </c>
      <c r="AJ121" s="6">
        <f t="shared" si="53"/>
        <v>54</v>
      </c>
      <c r="AK121" s="6">
        <f t="shared" si="54"/>
        <v>12</v>
      </c>
      <c r="AL121" s="8">
        <f t="shared" si="51"/>
        <v>0</v>
      </c>
      <c r="AP121">
        <v>1</v>
      </c>
      <c r="AS121" t="s">
        <v>426</v>
      </c>
      <c r="AT121" t="s">
        <v>434</v>
      </c>
      <c r="AU121" t="s">
        <v>365</v>
      </c>
      <c r="AV121">
        <v>1</v>
      </c>
      <c r="AZ121" s="2">
        <f>(SQRT(J121*AG121)*POWER((MIN(L121,20)+SQRT(MAX(L121-20,0))),0.9)*Data!$B$1)*(1-(Q121-1))</f>
        <v>35.704831781745895</v>
      </c>
      <c r="BA121" s="2">
        <f>(POWER((J121*J121*AG121), 0.33)*LOG10(O121)*10*Data!$B$1)*Q121</f>
        <v>31.97612031589599</v>
      </c>
      <c r="BB121" s="2"/>
      <c r="BC121" s="2"/>
      <c r="BD121" s="2">
        <f>IFERROR((SQRT($J121*$AH121)*POWER((MIN($L121,20)+SQRT(MAX($L121-20,0))),0.9)*Data!$B$1)*(1 - (Q121-1)),AZ121)</f>
        <v>0</v>
      </c>
      <c r="BE121" s="2">
        <f>IFERROR(((POWER(($J121*$J121*$AH121), 0.33)*LOG10($AE121)*10*Data!$B$1)*Q121),BA121)</f>
        <v>31.97612031589599</v>
      </c>
      <c r="BF121" s="2">
        <f t="shared" si="43"/>
        <v>17.741935483870968</v>
      </c>
      <c r="BG121" s="2">
        <f t="shared" si="44"/>
        <v>0</v>
      </c>
      <c r="BH121" s="2">
        <f t="shared" si="45"/>
        <v>0</v>
      </c>
      <c r="BI121" s="2">
        <f t="shared" si="46"/>
        <v>0</v>
      </c>
      <c r="BJ121" s="2">
        <v>4</v>
      </c>
      <c r="BK121" s="2">
        <v>4</v>
      </c>
      <c r="BL121" s="2">
        <f t="shared" si="47"/>
        <v>9</v>
      </c>
      <c r="BM121" s="2">
        <f t="shared" si="48"/>
        <v>0</v>
      </c>
      <c r="BN121" s="2">
        <f t="shared" si="37"/>
        <v>18</v>
      </c>
      <c r="BO121" s="2">
        <f t="shared" si="49"/>
        <v>12</v>
      </c>
      <c r="BP121" s="2">
        <f t="shared" si="41"/>
        <v>-1</v>
      </c>
      <c r="BQ121" s="2">
        <f t="shared" si="50"/>
        <v>-1</v>
      </c>
      <c r="BR121">
        <v>6</v>
      </c>
      <c r="BT121" s="3"/>
      <c r="BU121">
        <f>F121-F120</f>
        <v>93</v>
      </c>
      <c r="BV121" s="2" t="str">
        <f>CONCATENATE(
ROUND(BR121*VLOOKUP(I121,'ID Scheme'!$A$2:$E$7,3),0), "x",
ROUND(BS121*VLOOKUP(I121,'ID Scheme'!$A$2:$E$7,5),0), "x",
ROUND(BT121*VLOOKUP(I121,'ID Scheme'!$A$2:$E$7,4),0))</f>
        <v>56x0x0</v>
      </c>
    </row>
    <row r="122" spans="1:75" x14ac:dyDescent="0.25">
      <c r="A122" t="s">
        <v>139</v>
      </c>
      <c r="B122" t="s">
        <v>239</v>
      </c>
      <c r="C122" t="s">
        <v>369</v>
      </c>
      <c r="D122">
        <f>IF(F122 &gt; 2020, ((F122-2020)*4)+1610+H122,IF(F122 &gt; 1900, ((F122-1900)*10)+400+H122, ((F122-1730)*2)+H122))+VLOOKUP(I122,'ID Scheme'!$A$2:$B$7,2, FALSE)</f>
        <v>11031</v>
      </c>
      <c r="F122">
        <v>1903</v>
      </c>
      <c r="G122">
        <v>1</v>
      </c>
      <c r="H122">
        <v>1</v>
      </c>
      <c r="I122" t="s">
        <v>137</v>
      </c>
      <c r="J122">
        <v>22</v>
      </c>
      <c r="K122">
        <v>30</v>
      </c>
      <c r="L122">
        <v>30</v>
      </c>
      <c r="M122">
        <v>5</v>
      </c>
      <c r="N122">
        <v>24</v>
      </c>
      <c r="O122">
        <v>60</v>
      </c>
      <c r="P122">
        <v>20</v>
      </c>
      <c r="Q122">
        <v>1</v>
      </c>
      <c r="R122" t="s">
        <v>298</v>
      </c>
      <c r="S122">
        <v>-1</v>
      </c>
      <c r="T122" s="2" t="s">
        <v>467</v>
      </c>
      <c r="U122" s="2" t="s">
        <v>343</v>
      </c>
      <c r="V122" s="2"/>
      <c r="W122" s="2" t="s">
        <v>343</v>
      </c>
      <c r="X122" s="2" t="s">
        <v>343</v>
      </c>
      <c r="Y122" s="2"/>
      <c r="Z122" s="2"/>
      <c r="AA122" s="2"/>
      <c r="AB122" s="2"/>
      <c r="AC122" s="2" t="s">
        <v>419</v>
      </c>
      <c r="AD122" s="2"/>
      <c r="AG122">
        <v>60</v>
      </c>
      <c r="AI122" s="6">
        <f t="shared" si="52"/>
        <v>0</v>
      </c>
      <c r="AJ122" s="6">
        <f t="shared" si="53"/>
        <v>88</v>
      </c>
      <c r="AK122" s="6">
        <f t="shared" si="54"/>
        <v>12</v>
      </c>
      <c r="AL122" s="8">
        <f t="shared" si="51"/>
        <v>0</v>
      </c>
      <c r="AP122">
        <v>1</v>
      </c>
      <c r="AS122" t="s">
        <v>425</v>
      </c>
      <c r="AT122" t="s">
        <v>435</v>
      </c>
      <c r="AU122" t="s">
        <v>365</v>
      </c>
      <c r="AV122">
        <v>1</v>
      </c>
      <c r="AZ122" s="2">
        <f>(SQRT(J122*AG122)*POWER((MIN(L122,20)+SQRT(MAX(L122-20,0))),0.9)*Data!$B$1)*(1-(Q122-1))</f>
        <v>46.094739623279715</v>
      </c>
      <c r="BA122" s="2">
        <f>(POWER((J122*J122*AG122), 0.33)*LOG10(O122)*10*Data!$B$1)*Q122</f>
        <v>39.61127712007552</v>
      </c>
      <c r="BB122" s="2"/>
      <c r="BC122" s="2"/>
      <c r="BD122" s="2">
        <f>IFERROR((SQRT($J122*$AH122)*POWER((MIN($L122,20)+SQRT(MAX($L122-20,0))),0.9)*Data!$B$1)*(1 - (Q122-1)),AZ122)</f>
        <v>0</v>
      </c>
      <c r="BE122" s="2">
        <f>IFERROR(((POWER(($J122*$J122*$AH122), 0.33)*LOG10($AE122)*10*Data!$B$1)*Q122),BA122)</f>
        <v>39.61127712007552</v>
      </c>
      <c r="BF122" s="2">
        <f t="shared" si="43"/>
        <v>17.741935483870968</v>
      </c>
      <c r="BG122" s="2">
        <f t="shared" si="44"/>
        <v>0</v>
      </c>
      <c r="BH122" s="2">
        <f t="shared" si="45"/>
        <v>0</v>
      </c>
      <c r="BI122" s="2">
        <f t="shared" si="46"/>
        <v>0</v>
      </c>
      <c r="BJ122" s="2">
        <v>6</v>
      </c>
      <c r="BK122" s="2">
        <v>6</v>
      </c>
      <c r="BL122" s="2">
        <f t="shared" si="47"/>
        <v>10</v>
      </c>
      <c r="BM122" s="2">
        <f t="shared" si="48"/>
        <v>0</v>
      </c>
      <c r="BN122" s="2">
        <f t="shared" si="37"/>
        <v>17.600000000000001</v>
      </c>
      <c r="BO122" s="2">
        <f t="shared" si="49"/>
        <v>12</v>
      </c>
      <c r="BP122" s="2">
        <f t="shared" si="41"/>
        <v>-1</v>
      </c>
      <c r="BQ122" s="2">
        <f t="shared" si="50"/>
        <v>-1</v>
      </c>
      <c r="BR122">
        <v>6</v>
      </c>
      <c r="BT122" s="3"/>
      <c r="BU122">
        <f>F122-F121</f>
        <v>20</v>
      </c>
      <c r="BV122" s="2" t="str">
        <f>CONCATENATE(
ROUND(BR122*VLOOKUP(I122,'ID Scheme'!$A$2:$E$7,3),0), "x",
ROUND(BS122*VLOOKUP(I122,'ID Scheme'!$A$2:$E$7,5),0), "x",
ROUND(BT122*VLOOKUP(I122,'ID Scheme'!$A$2:$E$7,4),0))</f>
        <v>56x0x0</v>
      </c>
    </row>
    <row r="123" spans="1:75" x14ac:dyDescent="0.25">
      <c r="A123" t="s">
        <v>141</v>
      </c>
      <c r="B123" t="s">
        <v>240</v>
      </c>
      <c r="C123" t="s">
        <v>369</v>
      </c>
      <c r="D123">
        <f>IF(F123 &gt; 2020, ((F123-2020)*4)+1610+H123,IF(F123 &gt; 1900, ((F123-1900)*10)+400+H123, ((F123-1730)*2)+H123))+VLOOKUP(I123,'ID Scheme'!$A$2:$B$7,2, FALSE)</f>
        <v>11301</v>
      </c>
      <c r="F123">
        <v>1930</v>
      </c>
      <c r="G123">
        <v>9</v>
      </c>
      <c r="H123">
        <v>1</v>
      </c>
      <c r="I123" t="s">
        <v>137</v>
      </c>
      <c r="J123">
        <v>24</v>
      </c>
      <c r="K123">
        <v>32</v>
      </c>
      <c r="L123">
        <v>26</v>
      </c>
      <c r="M123">
        <v>5</v>
      </c>
      <c r="N123">
        <v>24</v>
      </c>
      <c r="O123">
        <v>200</v>
      </c>
      <c r="P123">
        <v>20</v>
      </c>
      <c r="Q123">
        <v>1</v>
      </c>
      <c r="R123" t="s">
        <v>298</v>
      </c>
      <c r="S123">
        <v>0</v>
      </c>
      <c r="T123" s="2" t="s">
        <v>468</v>
      </c>
      <c r="U123" s="2" t="s">
        <v>343</v>
      </c>
      <c r="V123" s="2"/>
      <c r="W123" s="2" t="s">
        <v>343</v>
      </c>
      <c r="X123" s="2" t="s">
        <v>343</v>
      </c>
      <c r="Y123" s="2"/>
      <c r="Z123" s="2"/>
      <c r="AA123" s="2"/>
      <c r="AB123" s="2"/>
      <c r="AC123" s="2" t="s">
        <v>419</v>
      </c>
      <c r="AD123" s="2"/>
      <c r="AG123">
        <v>60</v>
      </c>
      <c r="AI123" s="6">
        <f t="shared" si="52"/>
        <v>0</v>
      </c>
      <c r="AJ123" s="6">
        <f t="shared" si="53"/>
        <v>90</v>
      </c>
      <c r="AK123" s="6">
        <f t="shared" si="54"/>
        <v>12</v>
      </c>
      <c r="AL123" s="8">
        <f t="shared" si="51"/>
        <v>0</v>
      </c>
      <c r="AP123">
        <v>1</v>
      </c>
      <c r="AS123" t="s">
        <v>425</v>
      </c>
      <c r="AT123" t="s">
        <v>436</v>
      </c>
      <c r="AU123" t="s">
        <v>365</v>
      </c>
      <c r="AV123">
        <v>1</v>
      </c>
      <c r="AZ123" s="2">
        <f>(SQRT(J123*AG123)*POWER((MIN(L123,20)+SQRT(MAX(L123-20,0))),0.9)*Data!$B$1)*(1-(Q123-1))</f>
        <v>46.808889320396581</v>
      </c>
      <c r="BA123" s="2">
        <f>(POWER((J123*J123*AG123), 0.33)*LOG10(O123)*10*Data!$B$1)*Q123</f>
        <v>54.289129200123334</v>
      </c>
      <c r="BB123" s="2"/>
      <c r="BC123" s="2"/>
      <c r="BD123" s="2">
        <f>IFERROR((SQRT($J123*$AH123)*POWER((MIN($L123,20)+SQRT(MAX($L123-20,0))),0.9)*Data!$B$1)*(1 - (Q123-1)),AZ123)</f>
        <v>0</v>
      </c>
      <c r="BE123" s="2">
        <f>IFERROR(((POWER(($J123*$J123*$AH123), 0.33)*LOG10($AE123)*10*Data!$B$1)*Q123),BA123)</f>
        <v>54.289129200123334</v>
      </c>
      <c r="BF123" s="2">
        <f t="shared" si="43"/>
        <v>19.35483870967742</v>
      </c>
      <c r="BG123" s="2">
        <f t="shared" si="44"/>
        <v>0</v>
      </c>
      <c r="BH123" s="2">
        <f t="shared" si="45"/>
        <v>0</v>
      </c>
      <c r="BI123" s="2">
        <f t="shared" si="46"/>
        <v>0</v>
      </c>
      <c r="BJ123" s="2">
        <v>6</v>
      </c>
      <c r="BK123" s="2">
        <v>6</v>
      </c>
      <c r="BL123" s="2">
        <f t="shared" si="47"/>
        <v>10</v>
      </c>
      <c r="BM123" s="2">
        <f t="shared" si="48"/>
        <v>0</v>
      </c>
      <c r="BN123" s="2">
        <f t="shared" si="37"/>
        <v>18</v>
      </c>
      <c r="BO123" s="2">
        <f t="shared" si="49"/>
        <v>12</v>
      </c>
      <c r="BP123" s="2">
        <f t="shared" si="41"/>
        <v>-1</v>
      </c>
      <c r="BQ123" s="2">
        <f t="shared" si="50"/>
        <v>-1</v>
      </c>
      <c r="BR123">
        <v>7</v>
      </c>
      <c r="BT123" s="3"/>
      <c r="BU123">
        <f>F123-F122</f>
        <v>27</v>
      </c>
      <c r="BV123" s="2" t="str">
        <f>CONCATENATE(
ROUND(BR123*VLOOKUP(I123,'ID Scheme'!$A$2:$E$7,3),0), "x",
ROUND(BS123*VLOOKUP(I123,'ID Scheme'!$A$2:$E$7,5),0), "x",
ROUND(BT123*VLOOKUP(I123,'ID Scheme'!$A$2:$E$7,4),0))</f>
        <v>65x0x0</v>
      </c>
    </row>
    <row r="124" spans="1:75" x14ac:dyDescent="0.25">
      <c r="A124" t="s">
        <v>143</v>
      </c>
      <c r="B124" t="s">
        <v>238</v>
      </c>
      <c r="C124" t="s">
        <v>369</v>
      </c>
      <c r="D124">
        <f>IF(F124 &gt; 2020, ((F124-2020)*4)+1610+H124,IF(F124 &gt; 1900, ((F124-1900)*10)+400+H124, ((F124-1730)*2)+H124))+VLOOKUP(I124,'ID Scheme'!$A$2:$B$7,2, FALSE)</f>
        <v>11481</v>
      </c>
      <c r="F124">
        <v>1948</v>
      </c>
      <c r="G124">
        <v>1</v>
      </c>
      <c r="H124">
        <v>1</v>
      </c>
      <c r="I124" t="s">
        <v>137</v>
      </c>
      <c r="J124">
        <v>25</v>
      </c>
      <c r="K124">
        <v>-1</v>
      </c>
      <c r="L124">
        <v>30</v>
      </c>
      <c r="M124">
        <v>5</v>
      </c>
      <c r="N124">
        <v>22</v>
      </c>
      <c r="O124">
        <v>123</v>
      </c>
      <c r="P124">
        <v>20</v>
      </c>
      <c r="Q124">
        <v>1</v>
      </c>
      <c r="R124" t="s">
        <v>299</v>
      </c>
      <c r="S124">
        <v>-1</v>
      </c>
      <c r="T124" s="2" t="s">
        <v>470</v>
      </c>
      <c r="U124" s="2" t="s">
        <v>343</v>
      </c>
      <c r="V124" s="2"/>
      <c r="W124" s="2" t="s">
        <v>343</v>
      </c>
      <c r="X124" s="2" t="s">
        <v>343</v>
      </c>
      <c r="Y124" s="2"/>
      <c r="Z124" s="2"/>
      <c r="AA124" s="2"/>
      <c r="AB124" s="2"/>
      <c r="AC124" s="2" t="s">
        <v>419</v>
      </c>
      <c r="AD124" s="2"/>
      <c r="AG124">
        <v>60</v>
      </c>
      <c r="AI124" s="6">
        <f t="shared" si="52"/>
        <v>0</v>
      </c>
      <c r="AJ124" s="6">
        <f t="shared" si="53"/>
        <v>90</v>
      </c>
      <c r="AK124" s="6">
        <f t="shared" si="54"/>
        <v>12</v>
      </c>
      <c r="AL124" s="8">
        <f t="shared" si="51"/>
        <v>0</v>
      </c>
      <c r="AP124">
        <v>1</v>
      </c>
      <c r="AS124" t="s">
        <v>425</v>
      </c>
      <c r="AT124" t="s">
        <v>435</v>
      </c>
      <c r="AU124" t="s">
        <v>365</v>
      </c>
      <c r="AV124">
        <v>1</v>
      </c>
      <c r="AZ124" s="2">
        <f>(SQRT(J124*AG124)*POWER((MIN(L124,20)+SQRT(MAX(L124-20,0))),0.9)*Data!$B$1)*(1-(Q124-1))</f>
        <v>49.137157539542891</v>
      </c>
      <c r="BA124" s="2">
        <f>(POWER((J124*J124*AG124), 0.33)*LOG10(O124)*10*Data!$B$1)*Q124</f>
        <v>50.654513648978117</v>
      </c>
      <c r="BB124" s="2"/>
      <c r="BC124" s="2"/>
      <c r="BD124" s="2">
        <f>IFERROR((SQRT($J124*$AH124)*POWER((MIN($L124,20)+SQRT(MAX($L124-20,0))),0.9)*Data!$B$1)*(1 - (Q124-1)),AZ124)</f>
        <v>0</v>
      </c>
      <c r="BE124" s="2">
        <f>IFERROR(((POWER(($J124*$J124*$AH124), 0.33)*LOG10($AE124)*10*Data!$B$1)*Q124),BA124)</f>
        <v>50.654513648978117</v>
      </c>
      <c r="BF124" s="2">
        <f t="shared" si="43"/>
        <v>20.161290322580644</v>
      </c>
      <c r="BG124" s="2">
        <f t="shared" si="44"/>
        <v>0</v>
      </c>
      <c r="BH124" s="2">
        <f t="shared" si="45"/>
        <v>0</v>
      </c>
      <c r="BI124" s="2">
        <f t="shared" si="46"/>
        <v>0</v>
      </c>
      <c r="BJ124" s="2">
        <v>6</v>
      </c>
      <c r="BK124" s="2">
        <v>6</v>
      </c>
      <c r="BL124" s="2">
        <f t="shared" si="47"/>
        <v>10</v>
      </c>
      <c r="BM124" s="2">
        <f t="shared" si="48"/>
        <v>0</v>
      </c>
      <c r="BN124" s="2">
        <f t="shared" si="37"/>
        <v>18</v>
      </c>
      <c r="BO124" s="2">
        <f t="shared" si="49"/>
        <v>12</v>
      </c>
      <c r="BP124" s="2">
        <f t="shared" si="41"/>
        <v>-1</v>
      </c>
      <c r="BQ124" s="2">
        <f t="shared" si="50"/>
        <v>-1</v>
      </c>
      <c r="BR124">
        <v>6</v>
      </c>
      <c r="BT124" s="3"/>
      <c r="BU124">
        <f>F124-F123</f>
        <v>18</v>
      </c>
      <c r="BV124" s="2" t="str">
        <f>CONCATENATE(
ROUND(BR124*VLOOKUP(I124,'ID Scheme'!$A$2:$E$7,3),0), "x",
ROUND(BS124*VLOOKUP(I124,'ID Scheme'!$A$2:$E$7,5),0), "x",
ROUND(BT124*VLOOKUP(I124,'ID Scheme'!$A$2:$E$7,4),0))</f>
        <v>56x0x0</v>
      </c>
    </row>
    <row r="125" spans="1:75" x14ac:dyDescent="0.25">
      <c r="A125" t="s">
        <v>142</v>
      </c>
      <c r="B125" t="s">
        <v>237</v>
      </c>
      <c r="C125" t="s">
        <v>369</v>
      </c>
      <c r="D125">
        <f>IF(F125 &gt; 2020, ((F125-2020)*4)+1610+H125,IF(F125 &gt; 1900, ((F125-1900)*10)+400+H125, ((F125-1730)*2)+H125))+VLOOKUP(I125,'ID Scheme'!$A$2:$B$7,2, FALSE)</f>
        <v>11522</v>
      </c>
      <c r="F125">
        <v>1952</v>
      </c>
      <c r="G125">
        <v>1</v>
      </c>
      <c r="H125">
        <v>2</v>
      </c>
      <c r="I125" t="s">
        <v>137</v>
      </c>
      <c r="J125">
        <v>27</v>
      </c>
      <c r="K125">
        <v>-1</v>
      </c>
      <c r="L125">
        <v>26</v>
      </c>
      <c r="M125">
        <v>5</v>
      </c>
      <c r="N125">
        <v>31</v>
      </c>
      <c r="O125">
        <v>152</v>
      </c>
      <c r="P125">
        <v>20</v>
      </c>
      <c r="Q125">
        <v>1</v>
      </c>
      <c r="R125" t="s">
        <v>299</v>
      </c>
      <c r="S125">
        <v>-1</v>
      </c>
      <c r="T125" s="2" t="s">
        <v>469</v>
      </c>
      <c r="U125" s="2" t="s">
        <v>343</v>
      </c>
      <c r="V125" s="2"/>
      <c r="W125" s="2" t="s">
        <v>343</v>
      </c>
      <c r="X125" s="2" t="s">
        <v>343</v>
      </c>
      <c r="Y125" s="2"/>
      <c r="Z125" s="2"/>
      <c r="AA125" s="2"/>
      <c r="AB125" s="2"/>
      <c r="AC125" s="2" t="s">
        <v>419</v>
      </c>
      <c r="AD125" s="2"/>
      <c r="AG125">
        <v>60</v>
      </c>
      <c r="AI125" s="6">
        <f t="shared" si="52"/>
        <v>0</v>
      </c>
      <c r="AJ125" s="6">
        <f t="shared" si="53"/>
        <v>90</v>
      </c>
      <c r="AK125" s="6">
        <f t="shared" si="54"/>
        <v>12</v>
      </c>
      <c r="AL125" s="8">
        <f t="shared" si="51"/>
        <v>0</v>
      </c>
      <c r="AP125">
        <v>1</v>
      </c>
      <c r="AS125" t="s">
        <v>425</v>
      </c>
      <c r="AT125" t="s">
        <v>436</v>
      </c>
      <c r="AU125" t="s">
        <v>365</v>
      </c>
      <c r="AV125">
        <v>1</v>
      </c>
      <c r="AZ125" s="2">
        <f>(SQRT(J125*AG125)*POWER((MIN(L125,20)+SQRT(MAX(L125-20,0))),0.9)*Data!$B$1)*(1-(Q125-1))</f>
        <v>49.648324587394477</v>
      </c>
      <c r="BA125" s="2">
        <f>(POWER((J125*J125*AG125), 0.33)*LOG10(O125)*10*Data!$B$1)*Q125</f>
        <v>55.638430948840913</v>
      </c>
      <c r="BB125" s="2"/>
      <c r="BC125" s="2"/>
      <c r="BD125" s="2">
        <f>IFERROR((SQRT($J125*$AH125)*POWER((MIN($L125,20)+SQRT(MAX($L125-20,0))),0.9)*Data!$B$1)*(1 - (Q125-1)),AZ125)</f>
        <v>0</v>
      </c>
      <c r="BE125" s="2">
        <f>IFERROR(((POWER(($J125*$J125*$AH125), 0.33)*LOG10($AE125)*10*Data!$B$1)*Q125),BA125)</f>
        <v>55.638430948840913</v>
      </c>
      <c r="BF125" s="2">
        <f t="shared" si="43"/>
        <v>21.774193548387096</v>
      </c>
      <c r="BG125" s="2">
        <f t="shared" si="44"/>
        <v>0</v>
      </c>
      <c r="BH125" s="2">
        <f t="shared" si="45"/>
        <v>0</v>
      </c>
      <c r="BI125" s="2">
        <f t="shared" si="46"/>
        <v>0</v>
      </c>
      <c r="BJ125" s="2">
        <v>6</v>
      </c>
      <c r="BK125" s="2">
        <v>6</v>
      </c>
      <c r="BL125" s="2">
        <f t="shared" si="47"/>
        <v>10</v>
      </c>
      <c r="BM125" s="2">
        <f t="shared" si="48"/>
        <v>0</v>
      </c>
      <c r="BN125" s="2">
        <f t="shared" si="37"/>
        <v>18</v>
      </c>
      <c r="BO125" s="2">
        <f t="shared" si="49"/>
        <v>12</v>
      </c>
      <c r="BP125" s="2">
        <f t="shared" si="41"/>
        <v>-1</v>
      </c>
      <c r="BQ125" s="2">
        <f t="shared" si="50"/>
        <v>-1</v>
      </c>
      <c r="BR125">
        <v>7</v>
      </c>
      <c r="BT125" s="3"/>
      <c r="BU125">
        <f>F125-F124</f>
        <v>4</v>
      </c>
      <c r="BV125" s="2" t="str">
        <f>CONCATENATE(
ROUND(BR125*VLOOKUP(I125,'ID Scheme'!$A$2:$E$7,3),0), "x",
ROUND(BS125*VLOOKUP(I125,'ID Scheme'!$A$2:$E$7,5),0), "x",
ROUND(BT125*VLOOKUP(I125,'ID Scheme'!$A$2:$E$7,4),0))</f>
        <v>65x0x0</v>
      </c>
    </row>
  </sheetData>
  <autoFilter ref="A1:BW125" xr:uid="{56F55A87-583C-464E-B7D6-67124107F553}">
    <sortState xmlns:xlrd2="http://schemas.microsoft.com/office/spreadsheetml/2017/richdata2" ref="A2:BW125">
      <sortCondition ref="D1:D124"/>
    </sortState>
  </autoFilter>
  <sortState xmlns:xlrd2="http://schemas.microsoft.com/office/spreadsheetml/2017/richdata2" ref="A2:BW125">
    <sortCondition ref="D53"/>
  </sortState>
  <conditionalFormatting sqref="BU2:BU3 BU5:BU39 BU41:BU52 BU54:BU57 BU59:BU1048576">
    <cfRule type="cellIs" dxfId="4" priority="17" operator="greaterThan">
      <formula>10</formula>
    </cfRule>
  </conditionalFormatting>
  <conditionalFormatting sqref="BU4">
    <cfRule type="cellIs" dxfId="3" priority="4" operator="greaterThan">
      <formula>10</formula>
    </cfRule>
  </conditionalFormatting>
  <conditionalFormatting sqref="BU40">
    <cfRule type="cellIs" dxfId="2" priority="3" operator="greaterThan">
      <formula>10</formula>
    </cfRule>
  </conditionalFormatting>
  <conditionalFormatting sqref="BU53">
    <cfRule type="cellIs" dxfId="1" priority="2" operator="greaterThan">
      <formula>10</formula>
    </cfRule>
  </conditionalFormatting>
  <conditionalFormatting sqref="BU58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2020-07-25T12:16:29Z</dcterms:modified>
</cp:coreProperties>
</file>