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D:\projects\timberwolfs_road_vehicles\"/>
    </mc:Choice>
  </mc:AlternateContent>
  <xr:revisionPtr revIDLastSave="0" documentId="13_ncr:1_{912237F7-8FF5-4140-B250-581F16B5A4BF}" xr6:coauthVersionLast="47" xr6:coauthVersionMax="47" xr10:uidLastSave="{00000000-0000-0000-0000-000000000000}"/>
  <bookViews>
    <workbookView xWindow="480" yWindow="1950" windowWidth="22755" windowHeight="16380" tabRatio="1000" xr2:uid="{00000000-000D-0000-FFFF-FFFF00000000}"/>
  </bookViews>
  <sheets>
    <sheet name="table" sheetId="1" r:id="rId1"/>
    <sheet name="Data" sheetId="3" r:id="rId2"/>
    <sheet name="ID Scheme" sheetId="2" r:id="rId3"/>
  </sheets>
  <definedNames>
    <definedName name="_xlnm._FilterDatabase" localSheetId="0" hidden="1">table!$A$1:$BH$164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6" i="1" l="1"/>
  <c r="BC6" i="1"/>
  <c r="BB6" i="1"/>
  <c r="AW6" i="1"/>
  <c r="AV6" i="1"/>
  <c r="D6" i="1"/>
  <c r="BG7" i="1"/>
  <c r="BC7" i="1"/>
  <c r="BB7" i="1"/>
  <c r="AW7" i="1"/>
  <c r="AV7" i="1"/>
  <c r="D7" i="1"/>
  <c r="BG8" i="1"/>
  <c r="BC8" i="1"/>
  <c r="BB8" i="1"/>
  <c r="AW8" i="1"/>
  <c r="AV8" i="1"/>
  <c r="D8" i="1"/>
  <c r="BG47" i="1"/>
  <c r="BC47" i="1"/>
  <c r="BB47" i="1"/>
  <c r="AW47" i="1"/>
  <c r="AV47" i="1"/>
  <c r="AU47" i="1"/>
  <c r="AS47" i="1"/>
  <c r="D47" i="1"/>
  <c r="BG48" i="1"/>
  <c r="BC48" i="1"/>
  <c r="BB48" i="1"/>
  <c r="AW48" i="1"/>
  <c r="AV48" i="1"/>
  <c r="AU48" i="1"/>
  <c r="AS48" i="1"/>
  <c r="D48" i="1"/>
  <c r="BG122" i="1"/>
  <c r="BC122" i="1"/>
  <c r="BB122" i="1"/>
  <c r="AW122" i="1"/>
  <c r="AV122" i="1"/>
  <c r="AU122" i="1"/>
  <c r="AS122" i="1"/>
  <c r="D122" i="1"/>
  <c r="BG33" i="1"/>
  <c r="BC33" i="1"/>
  <c r="BB33" i="1"/>
  <c r="AW33" i="1"/>
  <c r="AV33" i="1"/>
  <c r="AU33" i="1"/>
  <c r="AS33" i="1"/>
  <c r="D33" i="1"/>
  <c r="D5" i="1"/>
  <c r="BG5" i="1"/>
  <c r="BC5" i="1"/>
  <c r="BB5" i="1"/>
  <c r="AW5" i="1"/>
  <c r="AV5" i="1"/>
  <c r="BG88" i="1"/>
  <c r="BC88" i="1"/>
  <c r="BB88" i="1"/>
  <c r="AW88" i="1"/>
  <c r="AV88" i="1"/>
  <c r="AU88" i="1"/>
  <c r="AS88" i="1"/>
  <c r="D88" i="1"/>
  <c r="BG91" i="1"/>
  <c r="BC91" i="1"/>
  <c r="BB91" i="1"/>
  <c r="AW91" i="1"/>
  <c r="AV91" i="1"/>
  <c r="AU91" i="1"/>
  <c r="AS91" i="1"/>
  <c r="D91" i="1"/>
  <c r="BG76" i="1"/>
  <c r="BC76" i="1"/>
  <c r="BB76" i="1"/>
  <c r="AW76" i="1"/>
  <c r="AV76" i="1"/>
  <c r="AU76" i="1"/>
  <c r="AS76" i="1"/>
  <c r="D76" i="1"/>
  <c r="BG129" i="1"/>
  <c r="BC129" i="1"/>
  <c r="BB129" i="1"/>
  <c r="AW129" i="1"/>
  <c r="AV129" i="1"/>
  <c r="AU129" i="1"/>
  <c r="AS129" i="1"/>
  <c r="D129" i="1"/>
  <c r="BG50" i="1"/>
  <c r="BC50" i="1"/>
  <c r="BB50" i="1"/>
  <c r="AW50" i="1"/>
  <c r="AV50" i="1"/>
  <c r="AU50" i="1"/>
  <c r="AS50" i="1"/>
  <c r="D50" i="1"/>
  <c r="BG125" i="1"/>
  <c r="BC125" i="1"/>
  <c r="BB125" i="1"/>
  <c r="AW125" i="1"/>
  <c r="AV125" i="1"/>
  <c r="AU125" i="1"/>
  <c r="AS125" i="1"/>
  <c r="D125" i="1"/>
  <c r="BG42" i="1"/>
  <c r="BC42" i="1"/>
  <c r="BB42" i="1"/>
  <c r="AW42" i="1"/>
  <c r="AV42" i="1"/>
  <c r="AU42" i="1"/>
  <c r="AS42" i="1"/>
  <c r="D42" i="1"/>
  <c r="BG121" i="1"/>
  <c r="BC121" i="1"/>
  <c r="BB121" i="1"/>
  <c r="AW121" i="1"/>
  <c r="AV121" i="1"/>
  <c r="AU121" i="1"/>
  <c r="AS121" i="1"/>
  <c r="D121" i="1"/>
  <c r="BG87" i="1"/>
  <c r="BC87" i="1"/>
  <c r="BB87" i="1"/>
  <c r="AW87" i="1"/>
  <c r="AV87" i="1"/>
  <c r="AU87" i="1"/>
  <c r="AS87" i="1"/>
  <c r="D87" i="1"/>
  <c r="BG80" i="1"/>
  <c r="BC80" i="1"/>
  <c r="BB80" i="1"/>
  <c r="AW80" i="1"/>
  <c r="AV80" i="1"/>
  <c r="AU80" i="1"/>
  <c r="AS80" i="1"/>
  <c r="D80" i="1"/>
  <c r="BG17" i="1"/>
  <c r="BC17" i="1"/>
  <c r="BB17" i="1"/>
  <c r="AW17" i="1"/>
  <c r="AV17" i="1"/>
  <c r="AU17" i="1"/>
  <c r="AS17" i="1"/>
  <c r="D17" i="1"/>
  <c r="BC44" i="1"/>
  <c r="BB44" i="1"/>
  <c r="AW44" i="1"/>
  <c r="AV44" i="1"/>
  <c r="BC26" i="1"/>
  <c r="BB26" i="1"/>
  <c r="AW26" i="1"/>
  <c r="AV26" i="1"/>
  <c r="BG118" i="1"/>
  <c r="BC118" i="1"/>
  <c r="BB118" i="1"/>
  <c r="AW118" i="1"/>
  <c r="AV118" i="1"/>
  <c r="AU118" i="1"/>
  <c r="AS118" i="1"/>
  <c r="D118" i="1"/>
  <c r="BG116" i="1"/>
  <c r="BC116" i="1"/>
  <c r="BB116" i="1"/>
  <c r="AW116" i="1"/>
  <c r="AV116" i="1"/>
  <c r="AU116" i="1"/>
  <c r="AS116" i="1"/>
  <c r="D116" i="1"/>
  <c r="BG21" i="1"/>
  <c r="BC21" i="1"/>
  <c r="BB21" i="1"/>
  <c r="AW21" i="1"/>
  <c r="AV21" i="1"/>
  <c r="AU21" i="1"/>
  <c r="AS21" i="1"/>
  <c r="D21" i="1"/>
  <c r="BG109" i="1"/>
  <c r="BC109" i="1"/>
  <c r="BB109" i="1"/>
  <c r="AW109" i="1"/>
  <c r="AV109" i="1"/>
  <c r="AU109" i="1"/>
  <c r="AS109" i="1"/>
  <c r="D109" i="1"/>
  <c r="BG110" i="1"/>
  <c r="BC110" i="1"/>
  <c r="BB110" i="1"/>
  <c r="AW110" i="1"/>
  <c r="AV110" i="1"/>
  <c r="AU110" i="1"/>
  <c r="AS110" i="1"/>
  <c r="D110" i="1"/>
  <c r="BG90" i="1"/>
  <c r="BC90" i="1"/>
  <c r="BB90" i="1"/>
  <c r="AW90" i="1"/>
  <c r="AV90" i="1"/>
  <c r="AU90" i="1"/>
  <c r="AS90" i="1"/>
  <c r="D90" i="1"/>
  <c r="BG100" i="1" l="1"/>
  <c r="BC100" i="1"/>
  <c r="BB100" i="1"/>
  <c r="AW100" i="1"/>
  <c r="AV100" i="1"/>
  <c r="AU100" i="1"/>
  <c r="AS100" i="1"/>
  <c r="D100" i="1"/>
  <c r="BG96" i="1"/>
  <c r="BC96" i="1"/>
  <c r="BB96" i="1"/>
  <c r="AW96" i="1"/>
  <c r="AV96" i="1"/>
  <c r="AU96" i="1"/>
  <c r="AS96" i="1"/>
  <c r="D96" i="1"/>
  <c r="BG45" i="1" l="1"/>
  <c r="BC45" i="1"/>
  <c r="BB45" i="1"/>
  <c r="AW45" i="1"/>
  <c r="AV45" i="1"/>
  <c r="AU45" i="1"/>
  <c r="AS45" i="1"/>
  <c r="D45" i="1"/>
  <c r="BG35" i="1"/>
  <c r="BC35" i="1"/>
  <c r="BB35" i="1"/>
  <c r="AW35" i="1"/>
  <c r="AV35" i="1"/>
  <c r="AU35" i="1"/>
  <c r="AS35" i="1"/>
  <c r="D35" i="1"/>
  <c r="BG63" i="1" l="1"/>
  <c r="BC63" i="1"/>
  <c r="BB63" i="1"/>
  <c r="AW63" i="1"/>
  <c r="AV63" i="1"/>
  <c r="AU63" i="1"/>
  <c r="AS63" i="1"/>
  <c r="D63" i="1"/>
  <c r="BG68" i="1"/>
  <c r="BC68" i="1"/>
  <c r="BB68" i="1"/>
  <c r="AW68" i="1"/>
  <c r="AV68" i="1"/>
  <c r="AU68" i="1"/>
  <c r="AS68" i="1"/>
  <c r="D68" i="1"/>
  <c r="BG41" i="1" l="1"/>
  <c r="BC41" i="1"/>
  <c r="BB41" i="1"/>
  <c r="AW41" i="1"/>
  <c r="AV41" i="1"/>
  <c r="AU41" i="1"/>
  <c r="AS41" i="1"/>
  <c r="D41" i="1"/>
  <c r="BG39" i="1"/>
  <c r="BC39" i="1"/>
  <c r="BB39" i="1"/>
  <c r="AW39" i="1"/>
  <c r="AV39" i="1"/>
  <c r="AU39" i="1"/>
  <c r="AS39" i="1"/>
  <c r="D39" i="1"/>
  <c r="AU54" i="1"/>
  <c r="AU55" i="1"/>
  <c r="AU56" i="1"/>
  <c r="AU57" i="1"/>
  <c r="AU58" i="1"/>
  <c r="AU59" i="1"/>
  <c r="AU60" i="1"/>
  <c r="AU61" i="1"/>
  <c r="AU62" i="1"/>
  <c r="AU64" i="1"/>
  <c r="AU65" i="1"/>
  <c r="AU66" i="1"/>
  <c r="AU67" i="1"/>
  <c r="AU69" i="1"/>
  <c r="AU70" i="1"/>
  <c r="AU71" i="1"/>
  <c r="AU72" i="1"/>
  <c r="AU73" i="1"/>
  <c r="AU74" i="1"/>
  <c r="AU75" i="1"/>
  <c r="AU77" i="1"/>
  <c r="AU78" i="1"/>
  <c r="AU79" i="1"/>
  <c r="AU81" i="1"/>
  <c r="AU82" i="1"/>
  <c r="AU83" i="1"/>
  <c r="AU84" i="1"/>
  <c r="AU85" i="1"/>
  <c r="AU86" i="1"/>
  <c r="AU89" i="1"/>
  <c r="AU92" i="1"/>
  <c r="AU93" i="1"/>
  <c r="AU94" i="1"/>
  <c r="AU95" i="1"/>
  <c r="AU97" i="1"/>
  <c r="AU98" i="1"/>
  <c r="AU99" i="1"/>
  <c r="AU101" i="1"/>
  <c r="AU102" i="1"/>
  <c r="AU103" i="1"/>
  <c r="AU104" i="1"/>
  <c r="AU105" i="1"/>
  <c r="AU106" i="1"/>
  <c r="AU107" i="1"/>
  <c r="AU108" i="1"/>
  <c r="AU111" i="1"/>
  <c r="AU112" i="1"/>
  <c r="AU113" i="1"/>
  <c r="AU114" i="1"/>
  <c r="AU115" i="1"/>
  <c r="AU117" i="1"/>
  <c r="AU119" i="1"/>
  <c r="AU120" i="1"/>
  <c r="AU123" i="1"/>
  <c r="AU124" i="1"/>
  <c r="AU126" i="1"/>
  <c r="AU127" i="1"/>
  <c r="AU128"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9" i="1"/>
  <c r="AU10" i="1"/>
  <c r="AU11" i="1"/>
  <c r="AU12" i="1"/>
  <c r="AU13" i="1"/>
  <c r="AU15" i="1"/>
  <c r="AU16" i="1"/>
  <c r="AU19" i="1"/>
  <c r="AU20" i="1"/>
  <c r="AU22" i="1"/>
  <c r="AU23" i="1"/>
  <c r="AU24" i="1"/>
  <c r="AU27" i="1"/>
  <c r="AU28" i="1"/>
  <c r="AU29" i="1"/>
  <c r="AU30" i="1"/>
  <c r="AU31" i="1"/>
  <c r="AU37" i="1"/>
  <c r="AU46" i="1"/>
  <c r="AU49" i="1"/>
  <c r="AU51" i="1"/>
  <c r="AU52" i="1"/>
  <c r="AU53" i="1"/>
  <c r="BG144" i="1" l="1"/>
  <c r="BC144" i="1"/>
  <c r="BB144" i="1"/>
  <c r="AW144" i="1"/>
  <c r="AV144" i="1"/>
  <c r="AS144" i="1"/>
  <c r="D144" i="1"/>
  <c r="BG51" i="1" l="1"/>
  <c r="BC51" i="1"/>
  <c r="BB51" i="1"/>
  <c r="AW51" i="1"/>
  <c r="AV51" i="1"/>
  <c r="AS51" i="1"/>
  <c r="D51" i="1"/>
  <c r="BG54" i="1" l="1"/>
  <c r="BC54" i="1"/>
  <c r="AV53" i="1"/>
  <c r="AW53" i="1"/>
  <c r="BB53" i="1"/>
  <c r="AV54" i="1"/>
  <c r="AW54" i="1"/>
  <c r="BB54" i="1"/>
  <c r="AV55" i="1"/>
  <c r="AW55" i="1"/>
  <c r="BB55" i="1"/>
  <c r="AS54" i="1"/>
  <c r="D54" i="1"/>
  <c r="BB106" i="1" l="1"/>
  <c r="BB19" i="1"/>
  <c r="BB107" i="1"/>
  <c r="BB108" i="1"/>
  <c r="BB23" i="1"/>
  <c r="BB22" i="1"/>
  <c r="BB24" i="1"/>
  <c r="BB111" i="1"/>
  <c r="BB112" i="1"/>
  <c r="BB113" i="1"/>
  <c r="BB114" i="1"/>
  <c r="BB27" i="1"/>
  <c r="BB115" i="1"/>
  <c r="BB28" i="1"/>
  <c r="BB117" i="1"/>
  <c r="BB30" i="1"/>
  <c r="BB119" i="1"/>
  <c r="BB29" i="1"/>
  <c r="BB120" i="1"/>
  <c r="BB31" i="1"/>
  <c r="BB123" i="1"/>
  <c r="BB124" i="1"/>
  <c r="BB126" i="1"/>
  <c r="BB127" i="1"/>
  <c r="BB128" i="1"/>
  <c r="BB130" i="1"/>
  <c r="BB131" i="1"/>
  <c r="BB132" i="1"/>
  <c r="BB133" i="1"/>
  <c r="BB134" i="1"/>
  <c r="BB135" i="1"/>
  <c r="BB136" i="1"/>
  <c r="BB137" i="1"/>
  <c r="BB138" i="1"/>
  <c r="BB139" i="1"/>
  <c r="BB140" i="1"/>
  <c r="BB141" i="1"/>
  <c r="BB142" i="1"/>
  <c r="BB143" i="1"/>
  <c r="BB145" i="1"/>
  <c r="BB146" i="1"/>
  <c r="BB147" i="1"/>
  <c r="BB148" i="1"/>
  <c r="BB149" i="1"/>
  <c r="BB150" i="1"/>
  <c r="BB151" i="1"/>
  <c r="BB152" i="1"/>
  <c r="BB153" i="1"/>
  <c r="BB154" i="1"/>
  <c r="BB155" i="1"/>
  <c r="BB156" i="1"/>
  <c r="BB157" i="1"/>
  <c r="BB158" i="1"/>
  <c r="BB159" i="1"/>
  <c r="BB160" i="1"/>
  <c r="BB161" i="1"/>
  <c r="BB162" i="1"/>
  <c r="BB163" i="1"/>
  <c r="BB164" i="1"/>
  <c r="BB9" i="1"/>
  <c r="BB10" i="1"/>
  <c r="BB11" i="1"/>
  <c r="BB12" i="1"/>
  <c r="BB13" i="1"/>
  <c r="BB46" i="1"/>
  <c r="BB49" i="1"/>
  <c r="BB52" i="1"/>
  <c r="BB56" i="1"/>
  <c r="BB57" i="1"/>
  <c r="BB58" i="1"/>
  <c r="BB59" i="1"/>
  <c r="BB60" i="1"/>
  <c r="BB61" i="1"/>
  <c r="BB62" i="1"/>
  <c r="BB64" i="1"/>
  <c r="BB65" i="1"/>
  <c r="BB66" i="1"/>
  <c r="BB67" i="1"/>
  <c r="BB69" i="1"/>
  <c r="BB70" i="1"/>
  <c r="BB71" i="1"/>
  <c r="BB72" i="1"/>
  <c r="BB73" i="1"/>
  <c r="BB74" i="1"/>
  <c r="BB75" i="1"/>
  <c r="BB77" i="1"/>
  <c r="BB78" i="1"/>
  <c r="BB79" i="1"/>
  <c r="BB81" i="1"/>
  <c r="BB82" i="1"/>
  <c r="BB83" i="1"/>
  <c r="BB84" i="1"/>
  <c r="BB85" i="1"/>
  <c r="BB86" i="1"/>
  <c r="BB89" i="1"/>
  <c r="BB37" i="1"/>
  <c r="BB92" i="1"/>
  <c r="BB93" i="1"/>
  <c r="BB94" i="1"/>
  <c r="BB95" i="1"/>
  <c r="BB15" i="1"/>
  <c r="BB97" i="1"/>
  <c r="BB16" i="1"/>
  <c r="BB98" i="1"/>
  <c r="BB99" i="1"/>
  <c r="BB101" i="1"/>
  <c r="BB102" i="1"/>
  <c r="BB103" i="1"/>
  <c r="BB104" i="1"/>
  <c r="BB105" i="1"/>
  <c r="BB20" i="1"/>
  <c r="BC37" i="1"/>
  <c r="BC31" i="1"/>
  <c r="BC29" i="1"/>
  <c r="BC30" i="1"/>
  <c r="BC28" i="1"/>
  <c r="BC27" i="1"/>
  <c r="BC24" i="1"/>
  <c r="BC22" i="1"/>
  <c r="BC23" i="1"/>
  <c r="BC19" i="1"/>
  <c r="BC20" i="1"/>
  <c r="BC16" i="1"/>
  <c r="BC15" i="1"/>
  <c r="BG104" i="1" l="1"/>
  <c r="BC104" i="1"/>
  <c r="AW104" i="1"/>
  <c r="AV104" i="1"/>
  <c r="AS104" i="1"/>
  <c r="D104" i="1"/>
  <c r="BG16" i="1"/>
  <c r="AW16" i="1"/>
  <c r="AV16" i="1"/>
  <c r="AS16" i="1"/>
  <c r="D16" i="1"/>
  <c r="AS84" i="1" l="1"/>
  <c r="AS85" i="1"/>
  <c r="AS86" i="1"/>
  <c r="AS37" i="1"/>
  <c r="AS92" i="1"/>
  <c r="AS93" i="1"/>
  <c r="AS94" i="1"/>
  <c r="AS95" i="1"/>
  <c r="AS15" i="1"/>
  <c r="AS97" i="1"/>
  <c r="AS98" i="1"/>
  <c r="AS99" i="1"/>
  <c r="AS101" i="1"/>
  <c r="AS102" i="1"/>
  <c r="AS103" i="1"/>
  <c r="AS105" i="1"/>
  <c r="AS20" i="1"/>
  <c r="AS106" i="1"/>
  <c r="AS19" i="1"/>
  <c r="AS107" i="1"/>
  <c r="AS108" i="1"/>
  <c r="AS23" i="1"/>
  <c r="AS22" i="1"/>
  <c r="AS24" i="1"/>
  <c r="AS111" i="1"/>
  <c r="AS112" i="1"/>
  <c r="AS113" i="1"/>
  <c r="AS114" i="1"/>
  <c r="AS27" i="1"/>
  <c r="AS115" i="1"/>
  <c r="AS28" i="1"/>
  <c r="AS117" i="1"/>
  <c r="AS30" i="1"/>
  <c r="AS119" i="1"/>
  <c r="AS29" i="1"/>
  <c r="AS120" i="1"/>
  <c r="AS31" i="1"/>
  <c r="AS123" i="1"/>
  <c r="AS124" i="1"/>
  <c r="AS126" i="1"/>
  <c r="AS127" i="1"/>
  <c r="AS128" i="1"/>
  <c r="AS130" i="1"/>
  <c r="AS131" i="1"/>
  <c r="AS132" i="1"/>
  <c r="AS133" i="1"/>
  <c r="AS134" i="1"/>
  <c r="AS135" i="1"/>
  <c r="AS136" i="1"/>
  <c r="AS137" i="1"/>
  <c r="AS138" i="1"/>
  <c r="AS139" i="1"/>
  <c r="AS140" i="1"/>
  <c r="AS141" i="1"/>
  <c r="AS142" i="1"/>
  <c r="AS143" i="1"/>
  <c r="AS145" i="1"/>
  <c r="AS146" i="1"/>
  <c r="AS147" i="1"/>
  <c r="AS148" i="1"/>
  <c r="AS149" i="1"/>
  <c r="AS150" i="1"/>
  <c r="AS151" i="1"/>
  <c r="AS152" i="1"/>
  <c r="AS153" i="1"/>
  <c r="AS154" i="1"/>
  <c r="AS155" i="1"/>
  <c r="AS156" i="1"/>
  <c r="AS157" i="1"/>
  <c r="AS158" i="1"/>
  <c r="AS159" i="1"/>
  <c r="AS160" i="1"/>
  <c r="AS161" i="1"/>
  <c r="AS162" i="1"/>
  <c r="AS163" i="1"/>
  <c r="AS164" i="1"/>
  <c r="AS9" i="1"/>
  <c r="AS10" i="1"/>
  <c r="AS11" i="1"/>
  <c r="AS12" i="1"/>
  <c r="AS13" i="1"/>
  <c r="AS46" i="1"/>
  <c r="AS49" i="1"/>
  <c r="AS52" i="1"/>
  <c r="AS53" i="1"/>
  <c r="AS55" i="1"/>
  <c r="AS56" i="1"/>
  <c r="AS57" i="1"/>
  <c r="AS58" i="1"/>
  <c r="AS59" i="1"/>
  <c r="AS60" i="1"/>
  <c r="AS61" i="1"/>
  <c r="AS62" i="1"/>
  <c r="AS64" i="1"/>
  <c r="AS65" i="1"/>
  <c r="AS66" i="1"/>
  <c r="AS67" i="1"/>
  <c r="AS69" i="1"/>
  <c r="AS70" i="1"/>
  <c r="AS71" i="1"/>
  <c r="AS72" i="1"/>
  <c r="AS73" i="1"/>
  <c r="AS74" i="1"/>
  <c r="AS75" i="1"/>
  <c r="AS77" i="1"/>
  <c r="AS79" i="1"/>
  <c r="AS78" i="1"/>
  <c r="AS81" i="1"/>
  <c r="AS82" i="1"/>
  <c r="AS83" i="1"/>
  <c r="AS89" i="1"/>
  <c r="BG89" i="1"/>
  <c r="BC89" i="1"/>
  <c r="AW89" i="1"/>
  <c r="AV89" i="1"/>
  <c r="D89" i="1"/>
  <c r="BC49" i="1" l="1"/>
  <c r="BC52" i="1"/>
  <c r="BC53" i="1"/>
  <c r="BC55" i="1"/>
  <c r="BC56" i="1"/>
  <c r="BC57" i="1"/>
  <c r="BC58" i="1"/>
  <c r="BC59" i="1"/>
  <c r="BC60" i="1"/>
  <c r="BC61" i="1"/>
  <c r="BC62" i="1"/>
  <c r="BC64" i="1"/>
  <c r="BC65" i="1"/>
  <c r="BC66" i="1"/>
  <c r="BC67" i="1"/>
  <c r="BC69" i="1"/>
  <c r="BC70" i="1"/>
  <c r="BC71" i="1"/>
  <c r="BC72" i="1"/>
  <c r="BC73" i="1"/>
  <c r="BC74" i="1"/>
  <c r="BC75" i="1"/>
  <c r="BC77" i="1"/>
  <c r="BC79" i="1"/>
  <c r="BC78" i="1"/>
  <c r="BC81" i="1"/>
  <c r="BC82" i="1"/>
  <c r="BC83" i="1"/>
  <c r="BC84" i="1"/>
  <c r="BC85" i="1"/>
  <c r="BC86" i="1"/>
  <c r="BC92" i="1"/>
  <c r="BC93" i="1"/>
  <c r="BC94" i="1"/>
  <c r="BC95" i="1"/>
  <c r="BC97" i="1"/>
  <c r="BC98" i="1"/>
  <c r="BC99" i="1"/>
  <c r="BC101" i="1"/>
  <c r="BC102" i="1"/>
  <c r="BC103" i="1"/>
  <c r="BC105" i="1"/>
  <c r="BC106" i="1"/>
  <c r="BC107" i="1"/>
  <c r="BC108" i="1"/>
  <c r="BC111" i="1"/>
  <c r="BC112" i="1"/>
  <c r="BC113" i="1"/>
  <c r="BC114" i="1"/>
  <c r="BC115" i="1"/>
  <c r="BC117" i="1"/>
  <c r="BC119" i="1"/>
  <c r="BC120" i="1"/>
  <c r="BC123" i="1"/>
  <c r="BC124" i="1"/>
  <c r="BC126" i="1"/>
  <c r="BC127" i="1"/>
  <c r="BC128" i="1"/>
  <c r="BC130" i="1"/>
  <c r="BC131" i="1"/>
  <c r="BC132" i="1"/>
  <c r="BC133" i="1"/>
  <c r="BC134" i="1"/>
  <c r="BC135" i="1"/>
  <c r="BC136" i="1"/>
  <c r="BC137" i="1"/>
  <c r="BC138" i="1"/>
  <c r="BC139" i="1"/>
  <c r="BC140" i="1"/>
  <c r="BC141" i="1"/>
  <c r="BC142" i="1"/>
  <c r="BC143" i="1"/>
  <c r="BC145" i="1"/>
  <c r="BC146" i="1"/>
  <c r="BC147" i="1"/>
  <c r="BC148" i="1"/>
  <c r="BC149" i="1"/>
  <c r="BC150" i="1"/>
  <c r="BC151" i="1"/>
  <c r="BC152" i="1"/>
  <c r="BC153" i="1"/>
  <c r="BC154" i="1"/>
  <c r="BC155" i="1"/>
  <c r="BC156" i="1"/>
  <c r="BC157" i="1"/>
  <c r="BC158" i="1"/>
  <c r="BC159" i="1"/>
  <c r="BC160" i="1"/>
  <c r="BC161" i="1"/>
  <c r="BC162" i="1"/>
  <c r="BC163" i="1"/>
  <c r="BC164" i="1"/>
  <c r="BC9" i="1"/>
  <c r="BC10" i="1"/>
  <c r="BC11" i="1"/>
  <c r="BC12" i="1"/>
  <c r="BC13" i="1"/>
  <c r="BC46" i="1"/>
  <c r="BG78" i="1" l="1"/>
  <c r="BG81" i="1"/>
  <c r="AV74" i="1"/>
  <c r="AW74" i="1"/>
  <c r="AV75" i="1"/>
  <c r="AW75" i="1"/>
  <c r="AV77" i="1"/>
  <c r="AW77" i="1"/>
  <c r="AV79" i="1"/>
  <c r="AW79" i="1"/>
  <c r="AV78" i="1"/>
  <c r="AW78" i="1"/>
  <c r="D78" i="1"/>
  <c r="D81" i="1"/>
  <c r="D82" i="1"/>
  <c r="BG74" i="1" l="1"/>
  <c r="D73" i="1"/>
  <c r="D74" i="1"/>
  <c r="D75" i="1"/>
  <c r="D77" i="1"/>
  <c r="D79" i="1"/>
  <c r="AV66" i="1" l="1"/>
  <c r="AW66" i="1"/>
  <c r="AV67" i="1"/>
  <c r="AW67" i="1"/>
  <c r="AV69" i="1"/>
  <c r="AW69" i="1"/>
  <c r="AV70" i="1"/>
  <c r="AW70" i="1"/>
  <c r="AV71" i="1"/>
  <c r="AW71" i="1"/>
  <c r="AV72" i="1"/>
  <c r="AW72" i="1"/>
  <c r="AV73" i="1"/>
  <c r="AW73" i="1"/>
  <c r="AV81" i="1"/>
  <c r="AW81" i="1"/>
  <c r="AV82" i="1"/>
  <c r="AW82" i="1"/>
  <c r="AV83" i="1"/>
  <c r="AW83" i="1"/>
  <c r="AV84" i="1"/>
  <c r="AW84" i="1"/>
  <c r="AV85" i="1"/>
  <c r="AW85" i="1"/>
  <c r="AV86" i="1"/>
  <c r="AW86" i="1"/>
  <c r="AV37" i="1"/>
  <c r="AW37" i="1"/>
  <c r="AV92" i="1"/>
  <c r="AW92" i="1"/>
  <c r="AV93" i="1"/>
  <c r="AW93" i="1"/>
  <c r="AV94" i="1"/>
  <c r="AW94" i="1"/>
  <c r="AV95" i="1"/>
  <c r="AW95" i="1"/>
  <c r="AV15" i="1"/>
  <c r="AW15" i="1"/>
  <c r="AV97" i="1"/>
  <c r="AW97" i="1"/>
  <c r="AV98" i="1"/>
  <c r="AW98" i="1"/>
  <c r="AV99" i="1"/>
  <c r="AW99" i="1"/>
  <c r="AV101" i="1"/>
  <c r="AW101" i="1"/>
  <c r="AV102" i="1"/>
  <c r="AW102" i="1"/>
  <c r="AV103" i="1"/>
  <c r="AW103" i="1"/>
  <c r="AV105" i="1"/>
  <c r="AW105" i="1"/>
  <c r="AV20" i="1"/>
  <c r="AW20" i="1"/>
  <c r="AV106" i="1"/>
  <c r="AW106" i="1"/>
  <c r="AV19" i="1"/>
  <c r="AW19" i="1"/>
  <c r="AV107" i="1"/>
  <c r="AW107" i="1"/>
  <c r="AV108" i="1"/>
  <c r="AW108" i="1"/>
  <c r="AV23" i="1"/>
  <c r="AW23" i="1"/>
  <c r="AV22" i="1"/>
  <c r="AW22" i="1"/>
  <c r="AV24" i="1"/>
  <c r="AW24" i="1"/>
  <c r="AV111" i="1"/>
  <c r="AW111" i="1"/>
  <c r="AV112" i="1"/>
  <c r="AW112" i="1"/>
  <c r="AV113" i="1"/>
  <c r="AW113" i="1"/>
  <c r="AV114" i="1"/>
  <c r="AW114" i="1"/>
  <c r="AV27" i="1"/>
  <c r="AW27" i="1"/>
  <c r="AV115" i="1"/>
  <c r="AW115" i="1"/>
  <c r="AV28" i="1"/>
  <c r="AW28" i="1"/>
  <c r="AV117" i="1"/>
  <c r="AW117" i="1"/>
  <c r="AV30" i="1"/>
  <c r="AW30" i="1"/>
  <c r="AV119" i="1"/>
  <c r="AW119" i="1"/>
  <c r="AV29" i="1"/>
  <c r="AW29" i="1"/>
  <c r="AV120" i="1"/>
  <c r="AW120" i="1"/>
  <c r="AV31" i="1"/>
  <c r="AW31" i="1"/>
  <c r="AV123" i="1"/>
  <c r="AW123" i="1"/>
  <c r="AV124" i="1"/>
  <c r="AW124" i="1"/>
  <c r="AV126" i="1"/>
  <c r="AW126" i="1"/>
  <c r="AV127" i="1"/>
  <c r="AW127" i="1"/>
  <c r="AV128" i="1"/>
  <c r="AW128" i="1"/>
  <c r="AV130" i="1"/>
  <c r="AW130" i="1"/>
  <c r="AV131" i="1"/>
  <c r="AW131" i="1"/>
  <c r="AV132" i="1"/>
  <c r="AW132" i="1"/>
  <c r="AV133" i="1"/>
  <c r="AW133" i="1"/>
  <c r="AV134" i="1"/>
  <c r="AW134" i="1"/>
  <c r="AV135" i="1"/>
  <c r="AW135" i="1"/>
  <c r="AV136" i="1"/>
  <c r="AW136" i="1"/>
  <c r="AV137" i="1"/>
  <c r="AW137" i="1"/>
  <c r="AV138" i="1"/>
  <c r="AW138" i="1"/>
  <c r="AV139" i="1"/>
  <c r="AW139" i="1"/>
  <c r="AV140" i="1"/>
  <c r="AW140" i="1"/>
  <c r="AV141" i="1"/>
  <c r="AW141" i="1"/>
  <c r="AV142" i="1"/>
  <c r="AW142" i="1"/>
  <c r="AV143" i="1"/>
  <c r="AW143" i="1"/>
  <c r="AV145" i="1"/>
  <c r="AW145" i="1"/>
  <c r="AV146" i="1"/>
  <c r="AW146" i="1"/>
  <c r="AV147" i="1"/>
  <c r="AW147" i="1"/>
  <c r="AV148" i="1"/>
  <c r="AW148" i="1"/>
  <c r="AV149" i="1"/>
  <c r="AW149" i="1"/>
  <c r="AV150" i="1"/>
  <c r="AW150" i="1"/>
  <c r="AV151" i="1"/>
  <c r="AW151" i="1"/>
  <c r="AV152" i="1"/>
  <c r="AW152" i="1"/>
  <c r="AV153" i="1"/>
  <c r="AW153" i="1"/>
  <c r="AV154" i="1"/>
  <c r="AW154" i="1"/>
  <c r="AV155" i="1"/>
  <c r="AW155" i="1"/>
  <c r="AV156" i="1"/>
  <c r="AW156" i="1"/>
  <c r="AV157" i="1"/>
  <c r="AW157" i="1"/>
  <c r="AV158" i="1"/>
  <c r="AW158" i="1"/>
  <c r="AV159" i="1"/>
  <c r="AW159" i="1"/>
  <c r="AV160" i="1"/>
  <c r="AW160" i="1"/>
  <c r="AV161" i="1"/>
  <c r="AW161" i="1"/>
  <c r="AV162" i="1"/>
  <c r="AW162" i="1"/>
  <c r="AV163" i="1"/>
  <c r="AW163" i="1"/>
  <c r="AV164" i="1"/>
  <c r="AW164" i="1"/>
  <c r="AV9" i="1"/>
  <c r="AW9" i="1"/>
  <c r="AV10" i="1"/>
  <c r="AW10" i="1"/>
  <c r="AV11" i="1"/>
  <c r="AW11" i="1"/>
  <c r="AV12" i="1"/>
  <c r="AW12" i="1"/>
  <c r="AV13" i="1"/>
  <c r="AW13" i="1"/>
  <c r="AV49" i="1"/>
  <c r="AW49" i="1"/>
  <c r="AV52" i="1"/>
  <c r="AW52" i="1"/>
  <c r="AV56" i="1"/>
  <c r="AW56" i="1"/>
  <c r="AV57" i="1"/>
  <c r="AW57" i="1"/>
  <c r="AV58" i="1"/>
  <c r="AW58" i="1"/>
  <c r="AV59" i="1"/>
  <c r="AW59" i="1"/>
  <c r="AV60" i="1"/>
  <c r="AW60" i="1"/>
  <c r="AV61" i="1"/>
  <c r="AW61" i="1"/>
  <c r="AV62" i="1"/>
  <c r="AW62" i="1"/>
  <c r="AV64" i="1"/>
  <c r="AW64" i="1"/>
  <c r="AV65" i="1"/>
  <c r="AW65" i="1"/>
  <c r="AW46" i="1"/>
  <c r="AV46" i="1"/>
  <c r="D49" i="1"/>
  <c r="D52" i="1"/>
  <c r="D53" i="1"/>
  <c r="D55" i="1"/>
  <c r="D56" i="1"/>
  <c r="D57" i="1"/>
  <c r="D58" i="1"/>
  <c r="D59" i="1"/>
  <c r="D60" i="1"/>
  <c r="D61" i="1"/>
  <c r="D62" i="1"/>
  <c r="D64" i="1"/>
  <c r="D65" i="1"/>
  <c r="D66" i="1"/>
  <c r="D67" i="1"/>
  <c r="D69" i="1"/>
  <c r="D70" i="1"/>
  <c r="D71" i="1"/>
  <c r="D72" i="1"/>
  <c r="D83" i="1"/>
  <c r="D84" i="1"/>
  <c r="D85" i="1"/>
  <c r="D86" i="1"/>
  <c r="D37" i="1"/>
  <c r="D92" i="1"/>
  <c r="D93" i="1"/>
  <c r="D94" i="1"/>
  <c r="D95" i="1"/>
  <c r="D15" i="1"/>
  <c r="D97" i="1"/>
  <c r="D98" i="1"/>
  <c r="D99" i="1"/>
  <c r="D101" i="1"/>
  <c r="D102" i="1"/>
  <c r="D103" i="1"/>
  <c r="D105" i="1"/>
  <c r="D20" i="1"/>
  <c r="D106" i="1"/>
  <c r="D19" i="1"/>
  <c r="D107" i="1"/>
  <c r="D108" i="1"/>
  <c r="D23" i="1"/>
  <c r="D22" i="1"/>
  <c r="D24" i="1"/>
  <c r="D111" i="1"/>
  <c r="D112" i="1"/>
  <c r="D113" i="1"/>
  <c r="D114" i="1"/>
  <c r="D27" i="1"/>
  <c r="D115" i="1"/>
  <c r="D28" i="1"/>
  <c r="D117" i="1"/>
  <c r="D30" i="1"/>
  <c r="D119" i="1"/>
  <c r="D29" i="1"/>
  <c r="D120" i="1"/>
  <c r="D31" i="1"/>
  <c r="D123" i="1"/>
  <c r="D124" i="1"/>
  <c r="D126" i="1"/>
  <c r="D127" i="1"/>
  <c r="D128" i="1"/>
  <c r="D130" i="1"/>
  <c r="D131" i="1"/>
  <c r="D132" i="1"/>
  <c r="D133" i="1"/>
  <c r="D134" i="1"/>
  <c r="D135" i="1"/>
  <c r="D136" i="1"/>
  <c r="D137" i="1"/>
  <c r="D138" i="1"/>
  <c r="D139" i="1"/>
  <c r="D140" i="1"/>
  <c r="D141" i="1"/>
  <c r="D142" i="1"/>
  <c r="D143" i="1"/>
  <c r="D145" i="1"/>
  <c r="D146" i="1"/>
  <c r="D147" i="1"/>
  <c r="D148" i="1"/>
  <c r="D149" i="1"/>
  <c r="D150" i="1"/>
  <c r="D151" i="1"/>
  <c r="D152" i="1"/>
  <c r="D153" i="1"/>
  <c r="D154" i="1"/>
  <c r="D155" i="1"/>
  <c r="D156" i="1"/>
  <c r="D157" i="1"/>
  <c r="D158" i="1"/>
  <c r="D159" i="1"/>
  <c r="D160" i="1"/>
  <c r="D161" i="1"/>
  <c r="D162" i="1"/>
  <c r="D163" i="1"/>
  <c r="D164" i="1"/>
  <c r="D9" i="1"/>
  <c r="D10" i="1"/>
  <c r="D11" i="1"/>
  <c r="D12" i="1"/>
  <c r="D13" i="1"/>
  <c r="D46" i="1"/>
  <c r="BG46" i="1"/>
  <c r="BG143" i="1"/>
  <c r="B3" i="2" l="1"/>
  <c r="B4" i="2"/>
  <c r="B5" i="2"/>
  <c r="B6" i="2"/>
  <c r="B7" i="2" s="1"/>
  <c r="BG12" i="1" l="1"/>
  <c r="BG13" i="1" l="1"/>
  <c r="BG11" i="1"/>
  <c r="BG10" i="1" l="1"/>
  <c r="BG9" i="1"/>
  <c r="BG49" i="1"/>
  <c r="BG52" i="1"/>
  <c r="BG53" i="1"/>
  <c r="BG57" i="1"/>
  <c r="BG55" i="1"/>
  <c r="BG56" i="1"/>
  <c r="BG58" i="1"/>
  <c r="BG59" i="1"/>
  <c r="BG60" i="1"/>
  <c r="BG61" i="1"/>
  <c r="BG62" i="1"/>
  <c r="BG64" i="1"/>
  <c r="BG65" i="1"/>
  <c r="BG66" i="1"/>
  <c r="BG67" i="1"/>
  <c r="BG69" i="1"/>
  <c r="BG70" i="1"/>
  <c r="BG71" i="1"/>
  <c r="BG72" i="1"/>
  <c r="BG73" i="1"/>
  <c r="BG75" i="1"/>
  <c r="BG77" i="1"/>
  <c r="BG79" i="1"/>
  <c r="BG82" i="1"/>
  <c r="BG83" i="1"/>
  <c r="BG84" i="1"/>
  <c r="BG85" i="1"/>
  <c r="BG86" i="1"/>
  <c r="BG37" i="1"/>
  <c r="BG92" i="1"/>
  <c r="BG93" i="1"/>
  <c r="BG94" i="1"/>
  <c r="BG95" i="1"/>
  <c r="BG15" i="1"/>
  <c r="BG97" i="1"/>
  <c r="BG98" i="1"/>
  <c r="BG99" i="1"/>
  <c r="BG101" i="1"/>
  <c r="BG102" i="1"/>
  <c r="BG103" i="1"/>
  <c r="BG105" i="1"/>
  <c r="BG20" i="1"/>
  <c r="BG106" i="1"/>
  <c r="BG19" i="1"/>
  <c r="BG107" i="1"/>
  <c r="BG108" i="1"/>
  <c r="BG23" i="1"/>
  <c r="BG22" i="1"/>
  <c r="BG24" i="1"/>
  <c r="BG111" i="1"/>
  <c r="BG112" i="1"/>
  <c r="BG113" i="1"/>
  <c r="BG114" i="1"/>
  <c r="BG27" i="1"/>
  <c r="BG115" i="1"/>
  <c r="BG28" i="1"/>
  <c r="BG117" i="1"/>
  <c r="BG30" i="1"/>
  <c r="BG119" i="1"/>
  <c r="BG29" i="1"/>
  <c r="BG120" i="1"/>
  <c r="BG31" i="1"/>
  <c r="BG123" i="1"/>
  <c r="BG124" i="1"/>
  <c r="BG126" i="1"/>
  <c r="BG127" i="1"/>
  <c r="BG128" i="1"/>
  <c r="BG130" i="1"/>
  <c r="BG131" i="1"/>
  <c r="BG132" i="1"/>
  <c r="BG133" i="1"/>
  <c r="BG134" i="1"/>
  <c r="BG135" i="1"/>
  <c r="BG136" i="1"/>
  <c r="BG137" i="1"/>
  <c r="BG138" i="1"/>
  <c r="BG139" i="1"/>
  <c r="BG140" i="1"/>
  <c r="BG141" i="1"/>
  <c r="BG142" i="1"/>
  <c r="BG145" i="1"/>
  <c r="BG146" i="1"/>
  <c r="BG147" i="1"/>
  <c r="BG148" i="1"/>
  <c r="BG149" i="1"/>
  <c r="BG150" i="1"/>
  <c r="BG151" i="1"/>
  <c r="BG152" i="1"/>
  <c r="BG153" i="1"/>
  <c r="BG154" i="1"/>
  <c r="BG155" i="1"/>
  <c r="BG156" i="1"/>
  <c r="BG157" i="1"/>
  <c r="BG158" i="1"/>
  <c r="BG159" i="1"/>
  <c r="BG160" i="1"/>
  <c r="BG161" i="1"/>
  <c r="BG162" i="1"/>
  <c r="BG163" i="1"/>
  <c r="BG164" i="1"/>
</calcChain>
</file>

<file path=xl/sharedStrings.xml><?xml version="1.0" encoding="utf-8"?>
<sst xmlns="http://schemas.openxmlformats.org/spreadsheetml/2006/main" count="1854" uniqueCount="707">
  <si>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</si>
  <si>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</si>
  <si>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</si>
  <si>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</si>
  <si>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</si>
  <si>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</si>
  <si>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</si>
  <si>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</si>
  <si>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</si>
  <si>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</si>
  <si>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</si>
  <si>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</si>
  <si>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</si>
  <si>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</si>
  <si>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</si>
  <si>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</si>
  <si>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</si>
  <si>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</si>
  <si>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</si>
  <si>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</si>
  <si>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</si>
  <si>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</si>
  <si>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</si>
  <si>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</si>
  <si>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</si>
  <si>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</si>
  <si>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</si>
  <si>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</si>
  <si>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</si>
  <si>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</si>
  <si>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</si>
  <si>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</si>
  <si>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</si>
  <si>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</si>
  <si>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</si>
  <si>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</si>
  <si>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</si>
  <si>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</si>
  <si>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</si>
  <si>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</si>
  <si>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</si>
  <si>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</si>
  <si>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</si>
  <si>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</si>
  <si>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</si>
  <si>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</si>
  <si>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</si>
  <si>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</si>
  <si>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</si>
  <si>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</si>
  <si>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</si>
  <si>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</si>
  <si>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</si>
  <si>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</si>
  <si>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</si>
  <si>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</si>
  <si>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</si>
  <si>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</si>
  <si>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</si>
  <si>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</si>
  <si>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</si>
  <si>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</si>
  <si>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</si>
  <si>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</si>
  <si>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</si>
  <si>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</si>
  <si>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</si>
  <si>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</si>
  <si>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</si>
  <si>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</si>
  <si>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</si>
  <si>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</si>
  <si>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</si>
  <si>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</si>
  <si>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</si>
  <si>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</si>
  <si>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</si>
  <si>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</si>
  <si>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</si>
  <si>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</si>
  <si>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</si>
  <si>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</si>
  <si>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</si>
  <si>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</si>
  <si>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</si>
  <si>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</si>
  <si>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</si>
  <si>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</si>
  <si>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</si>
  <si>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</si>
  <si>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</si>
  <si>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</si>
  <si>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</si>
  <si>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</si>
  <si>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</si>
  <si>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</si>
  <si>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</si>
  <si>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</si>
  <si>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</si>
  <si>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</si>
  <si>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</si>
  <si>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</si>
  <si>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</si>
  <si>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</si>
  <si>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</si>
  <si>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</si>
  <si>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</si>
  <si>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</si>
  <si>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</si>
  <si>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</si>
  <si>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</si>
  <si>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</si>
  <si>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</si>
  <si>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</si>
  <si>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</si>
  <si>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</si>
  <si>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</si>
  <si>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</si>
  <si>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</si>
  <si>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</si>
  <si>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</si>
  <si>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</si>
  <si>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</si>
  <si>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</si>
  <si>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</si>
  <si>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</si>
  <si>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</si>
  <si>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</si>
  <si>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</si>
  <si>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</si>
  <si>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</si>
  <si>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</si>
  <si>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</si>
  <si>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</si>
  <si>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</si>
  <si>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</si>
  <si>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</si>
  <si>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</si>
  <si>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</si>
  <si>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</si>
  <si>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</si>
  <si>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</si>
  <si>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</si>
  <si>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</si>
  <si>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</si>
  <si>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</si>
  <si>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</si>
  <si>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</si>
  <si>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</si>
  <si>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</si>
  <si>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</si>
  <si>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</si>
  <si>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</si>
  <si>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</si>
  <si>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</si>
  <si>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</si>
  <si>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</si>
  <si>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</si>
  <si>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</si>
  <si>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</si>
  <si>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</si>
  <si>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</si>
  <si>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</si>
  <si>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</si>
  <si>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</si>
  <si>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</si>
  <si>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</si>
  <si>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</si>
  <si>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</si>
  <si>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</si>
  <si>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</si>
  <si>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</si>
  <si>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</si>
  <si>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</si>
  <si>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</si>
  <si>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</si>
  <si>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</si>
  <si>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</si>
  <si>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</si>
  <si>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</si>
  <si>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</si>
  <si>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</si>
  <si>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</si>
  <si>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</si>
  <si>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</si>
  <si>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</si>
  <si>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</si>
  <si>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</si>
  <si>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</si>
  <si>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</si>
  <si>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</si>
  <si>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</si>
  <si>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</si>
  <si>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</si>
  <si>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</si>
  <si>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</si>
  <si>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</si>
  <si>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</si>
  <si>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</si>
  <si>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</si>
  <si>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</si>
  <si>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</si>
  <si>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</si>
  <si>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</si>
  <si>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</si>
  <si>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</si>
  <si>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</si>
  <si>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</si>
  <si>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</si>
  <si>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</si>
  <si>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</si>
  <si>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</si>
  <si>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</si>
  <si>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</si>
  <si>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</si>
  <si>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</si>
  <si>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</si>
  <si>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</si>
  <si>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</si>
  <si>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</si>
  <si>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</si>
  <si>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</si>
  <si>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</si>
  <si>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</si>
  <si>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</si>
  <si>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</si>
  <si>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</si>
  <si>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</si>
  <si>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</si>
  <si>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</si>
  <si>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</si>
  <si>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</si>
  <si>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</si>
  <si>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</si>
  <si>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</si>
  <si>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</si>
  <si>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</si>
  <si>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</si>
  <si>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</si>
  <si>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</si>
  <si>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</si>
  <si>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</si>
  <si>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</si>
  <si>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</si>
  <si>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</si>
  <si>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</si>
  <si>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</si>
  <si>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</si>
  <si>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</si>
  <si>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</si>
  <si>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</si>
  <si>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</si>
  <si>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</si>
  <si>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</si>
  <si>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</si>
  <si>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</si>
  <si>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</si>
  <si>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</si>
  <si>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</si>
  <si>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</si>
  <si>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</si>
  <si>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</si>
  <si>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</si>
  <si>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</si>
  <si>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</si>
  <si>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</si>
  <si>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</si>
  <si>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</si>
  <si>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</si>
  <si>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</si>
  <si>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</si>
  <si>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</si>
  <si>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</si>
  <si>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</si>
  <si>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</si>
  <si>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</si>
  <si>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</si>
  <si>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</si>
  <si>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</si>
  <si>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</si>
  <si>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</si>
  <si>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</si>
  <si>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</si>
  <si>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</si>
  <si>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</si>
  <si>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</si>
  <si>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</si>
  <si>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</si>
  <si>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</si>
  <si>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</si>
  <si>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</si>
  <si>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</si>
  <si>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</si>
  <si>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</si>
  <si>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</si>
  <si>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</si>
  <si>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</si>
  <si>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</si>
  <si>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</si>
  <si>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</si>
  <si>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</si>
  <si>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</si>
  <si>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</si>
  <si>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</si>
  <si>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</si>
  <si>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</si>
  <si>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</si>
  <si>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</si>
  <si>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</si>
  <si>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</si>
  <si>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</si>
  <si>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</si>
  <si>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</si>
  <si>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</si>
  <si>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</si>
  <si>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</si>
  <si>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</si>
  <si>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</si>
  <si>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</si>
  <si>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</si>
  <si>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</si>
  <si>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</si>
  <si>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</si>
  <si>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</si>
  <si>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</si>
  <si>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</si>
  <si>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</si>
  <si>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</si>
  <si>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</si>
  <si>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</si>
  <si>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</si>
  <si>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</si>
  <si>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</si>
  <si>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</si>
  <si>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</si>
  <si>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</si>
  <si>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</si>
  <si>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</si>
  <si>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</si>
  <si>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</si>
  <si>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</si>
  <si>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</si>
  <si>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</si>
  <si>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</si>
  <si>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</si>
  <si>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</si>
  <si>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</si>
  <si>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</si>
  <si>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</si>
  <si>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</si>
  <si>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</si>
  <si>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</si>
  <si>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</si>
  <si>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</si>
  <si>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</si>
  <si>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</si>
  <si>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</si>
  <si>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</si>
  <si>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</si>
  <si>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</si>
  <si>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</si>
  <si>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</si>
  <si>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</si>
  <si>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</si>
  <si>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</si>
  <si>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</si>
  <si>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</si>
  <si>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</si>
  <si>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</si>
  <si>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</si>
  <si>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</si>
  <si>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</si>
  <si>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</si>
  <si>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</si>
  <si>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</si>
  <si>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</si>
  <si>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</si>
  <si>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</si>
  <si>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</si>
  <si>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</si>
  <si>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</si>
  <si>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</si>
  <si>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</si>
  <si>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</si>
  <si>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</si>
  <si>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</si>
  <si>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</si>
  <si>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</si>
  <si>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</si>
  <si>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</si>
  <si>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</si>
  <si>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</si>
  <si>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</si>
  <si>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</si>
  <si>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</si>
  <si>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</si>
  <si>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</si>
  <si>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</si>
  <si>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</si>
  <si>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</si>
  <si>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</si>
  <si>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</si>
  <si>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</si>
  <si>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</si>
  <si>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</si>
  <si>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</si>
  <si>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</si>
  <si>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</si>
  <si>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</si>
  <si>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</si>
  <si>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</si>
  <si>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</si>
  <si>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</si>
  <si>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</si>
  <si>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</si>
  <si>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</si>
  <si>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</si>
  <si>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</si>
  <si>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</si>
  <si>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</si>
  <si>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</si>
  <si>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</si>
  <si>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</si>
  <si>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</si>
  <si>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</si>
  <si>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</si>
  <si>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</si>
  <si>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</si>
  <si>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</si>
  <si>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</si>
  <si>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</si>
  <si>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</si>
  <si>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</si>
  <si>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</si>
  <si>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</si>
  <si>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</si>
  <si>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</si>
  <si>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</si>
  <si>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</si>
  <si>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</si>
  <si>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</si>
  <si>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</si>
  <si>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</si>
  <si>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</si>
  <si>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</si>
  <si>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</si>
  <si>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</si>
  <si>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</si>
  <si>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</si>
  <si>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</si>
  <si>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</si>
  <si>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</si>
  <si>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</si>
  <si>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</si>
  <si>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</si>
  <si>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</si>
  <si>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</si>
  <si>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</si>
  <si>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</si>
  <si>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</si>
  <si>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</si>
  <si>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</si>
  <si>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</si>
  <si>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</si>
  <si>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</si>
  <si>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</si>
  <si>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</si>
  <si>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</si>
  <si>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</si>
  <si>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</si>
  <si>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</si>
  <si>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</si>
  <si>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</si>
  <si>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</si>
  <si>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</si>
  <si>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</si>
  <si>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</si>
  <si>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</si>
  <si>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</si>
  <si>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</si>
  <si>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</si>
  <si>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</si>
  <si>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</si>
  <si>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</si>
  <si>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</si>
  <si>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</si>
  <si>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</si>
  <si>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</si>
  <si>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</si>
  <si>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</si>
  <si>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</si>
  <si>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</si>
  <si>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</si>
  <si>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</si>
  <si>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</si>
  <si>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</si>
  <si>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</si>
  <si>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</si>
  <si>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</si>
  <si>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</si>
  <si>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</si>
  <si>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</si>
  <si>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</si>
  <si>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</si>
  <si>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</si>
  <si>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</si>
  <si>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</si>
  <si>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</si>
  <si>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</si>
  <si>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</si>
  <si>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</si>
  <si>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</si>
  <si>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</si>
  <si>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</si>
  <si>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</si>
  <si>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</si>
  <si>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</si>
  <si>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</si>
  <si>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</si>
  <si>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</si>
  <si>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</si>
  <si>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</si>
  <si>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</si>
  <si>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</si>
  <si>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</si>
  <si>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</si>
  <si>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</si>
  <si>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</si>
  <si>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</si>
  <si>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</si>
  <si>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</si>
  <si>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</si>
  <si>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</si>
  <si>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</si>
  <si>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</si>
  <si>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</si>
  <si>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</si>
  <si>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</si>
  <si>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</si>
  <si>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</si>
  <si>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</si>
  <si>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</si>
  <si>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</si>
  <si>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</si>
  <si>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</si>
  <si>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</si>
  <si>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</si>
  <si>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</si>
  <si>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</si>
  <si>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</si>
  <si>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</si>
  <si>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</si>
  <si>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</si>
  <si>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</si>
  <si>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</si>
  <si>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</si>
  <si>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</si>
  <si>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</si>
  <si>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</si>
  <si>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</si>
  <si>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</si>
  <si>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</si>
  <si>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</si>
  <si>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</si>
  <si>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</si>
  <si>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</si>
  <si>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</si>
  <si>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</si>
  <si>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</si>
  <si>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</si>
  <si>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</si>
  <si>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</si>
  <si>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</si>
  <si>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</si>
  <si>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</si>
  <si>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</si>
  <si>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</si>
  <si>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</si>
  <si>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</si>
  <si>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</si>
  <si>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</si>
  <si>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</si>
  <si>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</si>
  <si>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</si>
  <si>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</si>
  <si>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</si>
  <si>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</si>
  <si>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</si>
  <si>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</si>
  <si>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</si>
  <si>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</si>
  <si>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</si>
  <si>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</si>
  <si>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</si>
  <si>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</si>
  <si>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</si>
  <si>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</si>
  <si>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</si>
  <si>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</si>
  <si>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</si>
  <si>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</si>
  <si>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</si>
  <si>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</si>
  <si>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</si>
  <si>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</si>
  <si>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</si>
  <si>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</si>
  <si>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</si>
  <si>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</si>
  <si>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</si>
  <si>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</si>
  <si>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</si>
  <si>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</si>
  <si>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</si>
  <si>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</si>
  <si>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</si>
  <si>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</si>
  <si>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</si>
  <si>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</si>
  <si>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</si>
  <si>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</si>
  <si>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</si>
  <si>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</si>
  <si>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</si>
  <si>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</si>
  <si>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</si>
  <si>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</si>
  <si>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</si>
  <si>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</si>
  <si>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</si>
  <si>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</si>
  <si>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</si>
  <si>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</si>
  <si>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</si>
  <si>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</si>
  <si>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</si>
  <si>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</si>
  <si>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</si>
  <si>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</si>
  <si>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</si>
  <si>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</si>
  <si>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</si>
  <si>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</si>
  <si>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</si>
  <si>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</si>
  <si>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</si>
  <si>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</si>
  <si>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</si>
  <si>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</si>
  <si>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</si>
  <si>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</si>
  <si>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</si>
  <si>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</si>
  <si>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</si>
  <si>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</si>
  <si>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</si>
  <si>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</si>
  <si>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</si>
  <si>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</si>
  <si>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</si>
  <si>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</si>
  <si>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</si>
  <si>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</si>
  <si>
    <t>Irizar ie tram</t>
  </si>
  <si>
    <t>irizar_ie_tram</t>
  </si>
  <si>
    <t>The Irizar ie tram is a new style of bus with a tram-style internal layout, maximising standing room for passengers.</t>
  </si>
  <si>
    <t>Wright Streetdeck HEV</t>
  </si>
  <si>
    <t>The Wright Streetdeck is a hybrid-powered bus with distinctive 'Stealth' front end styling.</t>
  </si>
  <si>
    <t>wright_streetdeck</t>
  </si>
  <si>
    <t>Horse-Drawn Wagons</t>
  </si>
  <si>
    <t>2020s Trailer</t>
  </si>
  <si>
    <t>2020s_trailer</t>
  </si>
  <si>
    <t>2020s_trailer_goods</t>
  </si>
  <si>
    <t>Renault T evolution</t>
  </si>
  <si>
    <t>renault_t_evo</t>
  </si>
  <si>
    <t>The Renault T range was revised in 2021, and was the first time a truck was available in a game (Euro Truck Simulator 2) before you could buy a real one.</t>
  </si>
  <si>
    <t>460hp</t>
  </si>
  <si>
    <t>renault_t_evo,2020s_trailer_goods</t>
  </si>
  <si>
    <t>Renault E-Tech D</t>
  </si>
  <si>
    <t>renault_etech_d</t>
  </si>
  <si>
    <t>The Renault E-Tech version of the D series is designed for urban usage, with a fully-electric drivetrain.</t>
  </si>
  <si>
    <t>sort_order</t>
  </si>
  <si>
    <t>sort_feature</t>
  </si>
  <si>
    <t>FEAT_ROADVEHS</t>
  </si>
  <si>
    <t>Shillibeer Omnibus</t>
  </si>
  <si>
    <t>shillibeer_omnibus</t>
  </si>
  <si>
    <t>Omnibus services originated in France, carrying more passengers than stagecoaches without needing to be booked. George Shillibeer built some of these early omnibuses, and brought them to London.</t>
  </si>
  <si>
    <t>horses,shillibeer_omnibus</t>
  </si>
  <si>
    <t>1,17</t>
  </si>
  <si>
    <t>Double Decker Horsebus</t>
  </si>
  <si>
    <t>double_decker_horsebus</t>
  </si>
  <si>
    <t>1,25</t>
  </si>
  <si>
    <t>horses,double_decker_horsebus</t>
  </si>
  <si>
    <t>As coachbuilding technology improved, horse buses moved on from their stagecoach based origins into a vehicle more suited for urban passenger transport.</t>
  </si>
  <si>
    <t>articulated_open_bus</t>
  </si>
  <si>
    <t>variant_group</t>
  </si>
  <si>
    <t>horses,tram_trailer_flatbed,tram_trailer_goods,tram_trailer_goods</t>
  </si>
  <si>
    <t>1,2,3,4,5,6,7</t>
  </si>
  <si>
    <t>horses,horses,tram_trailer_flatbed,tram_trailer_goods,tram_trailer_flatbed,tram_trailer_flatbed,tram_trailer_goods</t>
  </si>
  <si>
    <t>horses,horses,tram_trailer_flatbed,tram_trailer_goods,tram_trailer_flatbed,tram_trailer_goods</t>
  </si>
  <si>
    <t>5,5,5,5</t>
  </si>
  <si>
    <t>5,5,5,5,5,5,5</t>
  </si>
  <si>
    <t>horse_wagons_x3</t>
  </si>
  <si>
    <t>horse_wagons_x4</t>
  </si>
  <si>
    <t>horse_wagons_x5</t>
  </si>
  <si>
    <t>1,,1,</t>
  </si>
  <si>
    <t>additional_power_units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</si>
</sst>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164"/>
  <sheetViews>
    <sheetView tabSelected="1" zoomScaleNormal="100" workbookViewId="0">
      <pane xSplit="2910" ySplit="600" topLeftCell="AQ1" activePane="bottomLeft"/>
      <selection pane="topRight" activeCell="AY1" sqref="AY1:AY1048576"/>
      <selection pane="bottomLeft" activeCell="A9" sqref="A9"/>
      <selection pane="bottomRight" activeCell="AY7" sqref="AY7"/>
    </sheetView>
  </sheetViews>
  <sheetFormatPr defaultRowHeight="15" x14ac:dyDescent="0.25"/>
  <cols>
    <col min="1" max="1" width="24" bestFit="1" customWidth="1"/>
    <col min="2" max="3" width="24" customWidth="1"/>
    <col min="4" max="4" width="13.28515625" bestFit="1" customWidth="1"/>
    <col min="5" max="7" width="13.28515625" customWidth="1"/>
    <col min="8" max="8" width="12" bestFit="1" customWidth="1"/>
    <col min="9" max="9" width="12" customWidth="1"/>
    <col min="10" max="11" width="12.85546875" customWidth="1"/>
    <col min="12" max="13" width="12.42578125" customWidth="1"/>
    <col min="14" max="14" width="12.5703125" customWidth="1"/>
    <col min="15" max="15" width="15.7109375" customWidth="1"/>
    <col min="16" max="16" width="13.7109375" bestFit="1" customWidth="1"/>
    <col min="17" max="17" width="15.7109375" customWidth="1"/>
    <col min="18" max="18" width="10.42578125" customWidth="1"/>
    <col min="19" max="19" width="9" bestFit="1" customWidth="1"/>
    <col min="20" max="20" width="5.7109375" customWidth="1"/>
    <col min="21" max="21" width="15.7109375" customWidth="1"/>
    <col min="22" max="22" width="19.140625" customWidth="1"/>
    <col min="23" max="23" width="11.5703125" customWidth="1"/>
    <col min="24" max="24" width="17.42578125" customWidth="1"/>
    <col min="25" max="25" width="200.140625" bestFit="1" customWidth="1"/>
    <col min="26" max="26" width="14.85546875" customWidth="1"/>
    <col min="27" max="29" width="21" customWidth="1"/>
    <col min="30" max="34" width="23.7109375" customWidth="1"/>
    <col min="35" max="35" width="15.85546875" bestFit="1" customWidth="1"/>
    <col min="36" max="36" width="20.5703125" customWidth="1"/>
    <col min="37" max="37" width="29.140625" customWidth="1"/>
    <col min="38" max="40" width="20.5703125" customWidth="1"/>
    <col min="41" max="41" width="60.28515625" customWidth="1"/>
    <col min="42" max="42" width="20.5703125" customWidth="1"/>
    <col min="43" max="43" width="9.85546875" bestFit="1" customWidth="1"/>
    <col min="44" max="44" width="9.85546875" customWidth="1"/>
    <col min="45" max="45" width="7.140625" bestFit="1" customWidth="1"/>
    <col min="46" max="46" width="7.140625" customWidth="1"/>
    <col min="47" max="47" width="14.85546875" bestFit="1" customWidth="1"/>
    <col min="48" max="49" width="14.85546875" style="2" customWidth="1"/>
    <col min="50" max="50" width="6.7109375" style="2" bestFit="1" customWidth="1"/>
    <col min="51" max="51" width="6.7109375" style="2" customWidth="1"/>
    <col min="52" max="52" width="18.42578125" bestFit="1" customWidth="1"/>
    <col min="53" max="53" width="14.85546875" customWidth="1"/>
    <col min="54" max="54" width="19.140625" bestFit="1" customWidth="1"/>
    <col min="55" max="55" width="21.140625" bestFit="1" customWidth="1"/>
    <col min="56" max="59" width="12.5703125" customWidth="1"/>
  </cols>
  <sheetData>
    <row r="1" spans="1:60" x14ac:dyDescent="0.25">
      <c r="A1" s="1" t="s">
        <v>143</v>
      </c>
      <c r="B1" s="1" t="s">
        <v>144</v>
      </c>
      <c r="C1" s="1" t="s">
        <v>145</v>
      </c>
      <c r="D1" s="1" t="s">
        <v>146</v>
      </c>
      <c r="E1" s="1" t="s">
        <v>695</v>
      </c>
      <c r="F1" s="1" t="s">
        <v>681</v>
      </c>
      <c r="G1" s="1" t="s">
        <v>682</v>
      </c>
      <c r="H1" s="1" t="s">
        <v>147</v>
      </c>
      <c r="I1" s="1" t="s">
        <v>277</v>
      </c>
      <c r="J1" s="1" t="s">
        <v>148</v>
      </c>
      <c r="K1" s="1" t="s">
        <v>520</v>
      </c>
      <c r="L1" s="1" t="s">
        <v>9</v>
      </c>
      <c r="M1" s="1" t="s">
        <v>500</v>
      </c>
      <c r="N1" s="1" t="s">
        <v>149</v>
      </c>
      <c r="O1" s="1" t="s">
        <v>278</v>
      </c>
      <c r="P1" s="1" t="s">
        <v>151</v>
      </c>
      <c r="Q1" s="1" t="s">
        <v>279</v>
      </c>
      <c r="R1" s="1" t="s">
        <v>280</v>
      </c>
      <c r="S1" s="1" t="s">
        <v>152</v>
      </c>
      <c r="T1" s="1" t="s">
        <v>294</v>
      </c>
      <c r="U1" s="1" t="s">
        <v>150</v>
      </c>
      <c r="V1" s="1" t="s">
        <v>281</v>
      </c>
      <c r="W1" s="1" t="s">
        <v>286</v>
      </c>
      <c r="X1" s="1" t="s">
        <v>326</v>
      </c>
      <c r="Y1" s="1" t="s">
        <v>271</v>
      </c>
      <c r="Z1" s="1" t="s">
        <v>330</v>
      </c>
      <c r="AA1" s="1" t="s">
        <v>343</v>
      </c>
      <c r="AB1" s="1" t="s">
        <v>392</v>
      </c>
      <c r="AC1" s="1" t="s">
        <v>525</v>
      </c>
      <c r="AD1" s="1" t="s">
        <v>487</v>
      </c>
      <c r="AE1" s="1" t="s">
        <v>346</v>
      </c>
      <c r="AF1" s="1" t="s">
        <v>367</v>
      </c>
      <c r="AG1" s="1" t="s">
        <v>349</v>
      </c>
      <c r="AH1" s="1" t="s">
        <v>362</v>
      </c>
      <c r="AI1" s="1" t="s">
        <v>297</v>
      </c>
      <c r="AJ1" s="1" t="s">
        <v>379</v>
      </c>
      <c r="AK1" s="1" t="s">
        <v>397</v>
      </c>
      <c r="AL1" s="1" t="s">
        <v>369</v>
      </c>
      <c r="AM1" s="1" t="s">
        <v>371</v>
      </c>
      <c r="AN1" s="1" t="s">
        <v>562</v>
      </c>
      <c r="AO1" s="1" t="s">
        <v>529</v>
      </c>
      <c r="AP1" s="1" t="s">
        <v>512</v>
      </c>
      <c r="AQ1" s="1" t="s">
        <v>364</v>
      </c>
      <c r="AR1" s="1" t="s">
        <v>366</v>
      </c>
      <c r="AS1" s="1" t="s">
        <v>153</v>
      </c>
      <c r="AT1" s="1" t="s">
        <v>563</v>
      </c>
      <c r="AU1" s="1" t="s">
        <v>154</v>
      </c>
      <c r="AV1" s="4" t="s">
        <v>282</v>
      </c>
      <c r="AW1" s="4" t="s">
        <v>298</v>
      </c>
      <c r="AX1" s="4" t="s">
        <v>528</v>
      </c>
      <c r="AY1" s="4" t="s">
        <v>706</v>
      </c>
      <c r="AZ1" s="1" t="s">
        <v>283</v>
      </c>
      <c r="BA1" s="1" t="s">
        <v>499</v>
      </c>
      <c r="BB1" s="1" t="s">
        <v>284</v>
      </c>
      <c r="BC1" s="1" t="s">
        <v>394</v>
      </c>
      <c r="BD1" s="1" t="s">
        <v>155</v>
      </c>
      <c r="BE1" s="1" t="s">
        <v>156</v>
      </c>
      <c r="BF1" s="1" t="s">
        <v>157</v>
      </c>
      <c r="BG1" s="1" t="s">
        <v>158</v>
      </c>
      <c r="BH1" s="1" t="s">
        <v>159</v>
      </c>
    </row>
    <row r="2" spans="1:60" x14ac:dyDescent="0.25">
      <c r="A2" t="s">
        <v>587</v>
      </c>
      <c r="B2" t="s">
        <v>287</v>
      </c>
      <c r="C2" t="s">
        <v>276</v>
      </c>
      <c r="D2">
        <v>0</v>
      </c>
      <c r="F2">
        <v>-1</v>
      </c>
      <c r="Y2" s="2"/>
      <c r="Z2" s="2"/>
      <c r="AA2" s="2"/>
      <c r="AB2" s="2"/>
      <c r="AC2" s="2"/>
      <c r="AD2" s="2"/>
      <c r="AE2" s="2"/>
      <c r="AF2" s="2"/>
      <c r="AG2" s="2"/>
      <c r="AH2" s="2"/>
      <c r="AP2">
        <v>5</v>
      </c>
      <c r="AS2" s="2"/>
      <c r="AT2" s="2"/>
      <c r="AU2" s="2"/>
      <c r="AZ2" s="2"/>
      <c r="BA2" s="2"/>
      <c r="BB2" s="2"/>
      <c r="BC2" s="2"/>
      <c r="BD2" s="3"/>
      <c r="BE2" s="3"/>
      <c r="BF2" s="3"/>
      <c r="BG2" s="2"/>
    </row>
    <row r="3" spans="1:60" x14ac:dyDescent="0.25">
      <c r="A3" t="s">
        <v>513</v>
      </c>
      <c r="B3" t="s">
        <v>276</v>
      </c>
      <c r="C3" t="s">
        <v>276</v>
      </c>
      <c r="D3">
        <v>0</v>
      </c>
      <c r="F3">
        <v>-1</v>
      </c>
      <c r="Y3" s="2"/>
      <c r="Z3" s="2"/>
      <c r="AA3" s="2"/>
      <c r="AB3" s="2"/>
      <c r="AC3" s="2"/>
      <c r="AD3" s="2"/>
      <c r="AE3" s="2"/>
      <c r="AF3" s="2"/>
      <c r="AG3" s="2"/>
      <c r="AH3" s="2"/>
      <c r="AP3">
        <v>5</v>
      </c>
      <c r="AS3" s="2"/>
      <c r="AT3" s="2"/>
      <c r="AU3" s="2"/>
      <c r="AZ3" s="2"/>
      <c r="BA3" s="2"/>
      <c r="BB3" s="2"/>
      <c r="BC3" s="2"/>
      <c r="BD3" s="3"/>
      <c r="BE3" s="3"/>
      <c r="BF3" s="3"/>
      <c r="BG3" s="2"/>
    </row>
    <row r="4" spans="1:60" x14ac:dyDescent="0.25">
      <c r="A4" t="s">
        <v>393</v>
      </c>
      <c r="B4" t="s">
        <v>391</v>
      </c>
      <c r="C4" t="s">
        <v>349</v>
      </c>
      <c r="D4">
        <v>0</v>
      </c>
      <c r="F4">
        <v>-1</v>
      </c>
      <c r="Z4" t="s">
        <v>331</v>
      </c>
      <c r="AB4" t="s">
        <v>331</v>
      </c>
      <c r="AC4" t="s">
        <v>331</v>
      </c>
      <c r="AO4" t="s">
        <v>554</v>
      </c>
      <c r="AP4">
        <v>5</v>
      </c>
    </row>
    <row r="5" spans="1:60" x14ac:dyDescent="0.25">
      <c r="A5" t="s">
        <v>669</v>
      </c>
      <c r="B5" t="s">
        <v>203</v>
      </c>
      <c r="C5" t="s">
        <v>348</v>
      </c>
      <c r="D5">
        <f>IF(H5 &gt; 2020, ((H5-2020)*4)+1610+J5,IF(H5 &gt; 1900, ((H5-1900)*10)+400+J5, ((H5-1730)*2)+J5))+VLOOKUP(L5,'ID Scheme'!$A$2:$B$7,2, FALSE)</f>
        <v>10721</v>
      </c>
      <c r="F5">
        <v>10721</v>
      </c>
      <c r="G5" t="s">
        <v>683</v>
      </c>
      <c r="H5">
        <v>1790</v>
      </c>
      <c r="I5">
        <v>1</v>
      </c>
      <c r="J5">
        <v>1</v>
      </c>
      <c r="K5" t="s">
        <v>521</v>
      </c>
      <c r="L5" t="s">
        <v>137</v>
      </c>
      <c r="M5" t="s">
        <v>502</v>
      </c>
      <c r="N5">
        <v>16</v>
      </c>
      <c r="O5">
        <v>110</v>
      </c>
      <c r="P5">
        <v>12</v>
      </c>
      <c r="Q5">
        <v>5</v>
      </c>
      <c r="R5">
        <v>2</v>
      </c>
      <c r="S5">
        <v>10</v>
      </c>
      <c r="T5">
        <v>20</v>
      </c>
      <c r="U5">
        <v>18</v>
      </c>
      <c r="V5">
        <v>1</v>
      </c>
      <c r="W5" t="s">
        <v>287</v>
      </c>
      <c r="X5">
        <v>0</v>
      </c>
      <c r="Y5" s="2" t="s">
        <v>432</v>
      </c>
      <c r="Z5" s="2" t="s">
        <v>331</v>
      </c>
      <c r="AA5" s="2"/>
      <c r="AB5" s="2" t="s">
        <v>331</v>
      </c>
      <c r="AC5" s="2" t="s">
        <v>331</v>
      </c>
      <c r="AD5" s="2"/>
      <c r="AE5" s="2"/>
      <c r="AF5" s="2"/>
      <c r="AG5" s="2" t="s">
        <v>391</v>
      </c>
      <c r="AH5" s="2"/>
      <c r="AM5" t="s">
        <v>408</v>
      </c>
      <c r="AN5" t="s">
        <v>514</v>
      </c>
      <c r="AO5" t="s">
        <v>560</v>
      </c>
      <c r="AP5">
        <v>5</v>
      </c>
      <c r="AQ5">
        <v>1</v>
      </c>
      <c r="AR5" t="s">
        <v>276</v>
      </c>
      <c r="AS5" s="2">
        <v>20</v>
      </c>
      <c r="AT5" s="2"/>
      <c r="AU5" s="2">
        <v>20</v>
      </c>
      <c r="AV5" s="2">
        <f t="shared" ref="AV5:AV7" si="0">N5/1.24</f>
        <v>12.903225806451614</v>
      </c>
      <c r="AW5" s="2">
        <f t="shared" ref="AW5:AW7" si="1">AI5/1.24</f>
        <v>0</v>
      </c>
      <c r="AX5" s="2">
        <v>2</v>
      </c>
      <c r="AZ5" s="2">
        <v>3</v>
      </c>
      <c r="BA5" s="2">
        <v>3</v>
      </c>
      <c r="BB5" s="2">
        <f t="shared" ref="BB5:BB7" si="2">U5/BA5</f>
        <v>6</v>
      </c>
      <c r="BC5" s="2">
        <f t="shared" ref="BC5:BC7" si="3">(U5)/MAX(AZ5-1, 1)</f>
        <v>9</v>
      </c>
      <c r="BF5" s="3"/>
      <c r="BG5" s="2" t="str">
        <f>CONCATENATE(
ROUND(BD5*VLOOKUP(L5,'ID Scheme'!$A$2:$E$7,3),0), "x",
ROUND(BE5*VLOOKUP(L5,'ID Scheme'!$A$2:$E$7,5),0), "x",
ROUND(BF5*VLOOKUP(L5,'ID Scheme'!$A$2:$E$7,4),0))</f>
        <v>0x0x0</v>
      </c>
    </row>
    <row r="6" spans="1:60" x14ac:dyDescent="0.25">
      <c r="A6" t="s">
        <v>669</v>
      </c>
      <c r="B6" t="s">
        <v>702</v>
      </c>
      <c r="C6" t="s">
        <v>348</v>
      </c>
      <c r="D6">
        <f>IF(H6 &gt; 2020, ((H6-2020)*4)+1610+J6,IF(H6 &gt; 1900, ((H6-1900)*10)+400+J6, ((H6-1730)*2)+J6))+VLOOKUP(L6,'ID Scheme'!$A$2:$B$7,2, FALSE)</f>
        <v>10722</v>
      </c>
      <c r="E6">
        <v>10721</v>
      </c>
      <c r="F6">
        <v>10722</v>
      </c>
      <c r="G6" t="s">
        <v>683</v>
      </c>
      <c r="H6">
        <v>1790</v>
      </c>
      <c r="I6">
        <v>1</v>
      </c>
      <c r="J6">
        <v>2</v>
      </c>
      <c r="K6" t="s">
        <v>521</v>
      </c>
      <c r="L6" t="s">
        <v>137</v>
      </c>
      <c r="M6" t="s">
        <v>502</v>
      </c>
      <c r="N6">
        <v>16</v>
      </c>
      <c r="O6">
        <v>110</v>
      </c>
      <c r="P6">
        <v>12</v>
      </c>
      <c r="Q6">
        <v>5</v>
      </c>
      <c r="R6">
        <v>2</v>
      </c>
      <c r="S6">
        <v>10</v>
      </c>
      <c r="T6">
        <v>20</v>
      </c>
      <c r="U6">
        <v>27</v>
      </c>
      <c r="V6">
        <v>1</v>
      </c>
      <c r="W6" t="s">
        <v>287</v>
      </c>
      <c r="X6">
        <v>0</v>
      </c>
      <c r="Y6" s="2" t="s">
        <v>432</v>
      </c>
      <c r="Z6" s="2" t="s">
        <v>331</v>
      </c>
      <c r="AA6" s="2"/>
      <c r="AB6" s="2" t="s">
        <v>331</v>
      </c>
      <c r="AC6" s="2" t="s">
        <v>331</v>
      </c>
      <c r="AD6" s="2"/>
      <c r="AE6" s="2"/>
      <c r="AF6" s="2"/>
      <c r="AG6" s="2" t="s">
        <v>391</v>
      </c>
      <c r="AH6" s="2"/>
      <c r="AM6" t="s">
        <v>396</v>
      </c>
      <c r="AN6" t="s">
        <v>700</v>
      </c>
      <c r="AO6" t="s">
        <v>696</v>
      </c>
      <c r="AP6">
        <v>5</v>
      </c>
      <c r="AQ6">
        <v>1</v>
      </c>
      <c r="AR6" t="s">
        <v>276</v>
      </c>
      <c r="AS6" s="2">
        <v>24</v>
      </c>
      <c r="AT6" s="2"/>
      <c r="AU6" s="2">
        <v>24</v>
      </c>
      <c r="AV6" s="2">
        <f t="shared" ref="AV6" si="4">N6/1.24</f>
        <v>12.903225806451614</v>
      </c>
      <c r="AW6" s="2">
        <f t="shared" ref="AW6" si="5">AI6/1.24</f>
        <v>0</v>
      </c>
      <c r="AX6" s="2">
        <v>3</v>
      </c>
      <c r="AZ6" s="2">
        <v>4</v>
      </c>
      <c r="BA6" s="2">
        <v>4</v>
      </c>
      <c r="BB6" s="2">
        <f t="shared" ref="BB6" si="6">U6/BA6</f>
        <v>6.75</v>
      </c>
      <c r="BC6" s="2">
        <f t="shared" ref="BC6" si="7">(U6)/MAX(AZ6-1, 1)</f>
        <v>9</v>
      </c>
      <c r="BF6" s="3"/>
      <c r="BG6" s="2" t="str">
        <f>CONCATENATE(
ROUND(BD6*VLOOKUP(L6,'ID Scheme'!$A$2:$E$7,3),0), "x",
ROUND(BE6*VLOOKUP(L6,'ID Scheme'!$A$2:$E$7,5),0), "x",
ROUND(BF6*VLOOKUP(L6,'ID Scheme'!$A$2:$E$7,4),0))</f>
        <v>0x0x0</v>
      </c>
    </row>
    <row r="7" spans="1:60" x14ac:dyDescent="0.25">
      <c r="A7" t="s">
        <v>669</v>
      </c>
      <c r="B7" t="s">
        <v>703</v>
      </c>
      <c r="C7" t="s">
        <v>348</v>
      </c>
      <c r="D7">
        <f>IF(H7 &gt; 2020, ((H7-2020)*4)+1610+J7,IF(H7 &gt; 1900, ((H7-1900)*10)+400+J7, ((H7-1730)*2)+J7))+VLOOKUP(L7,'ID Scheme'!$A$2:$B$7,2, FALSE)</f>
        <v>10723</v>
      </c>
      <c r="E7">
        <v>10721</v>
      </c>
      <c r="F7">
        <v>10723</v>
      </c>
      <c r="G7" t="s">
        <v>683</v>
      </c>
      <c r="H7">
        <v>1790</v>
      </c>
      <c r="I7">
        <v>1</v>
      </c>
      <c r="J7">
        <v>3</v>
      </c>
      <c r="K7" t="s">
        <v>521</v>
      </c>
      <c r="L7" t="s">
        <v>137</v>
      </c>
      <c r="M7" t="s">
        <v>502</v>
      </c>
      <c r="N7">
        <v>16</v>
      </c>
      <c r="O7">
        <v>110</v>
      </c>
      <c r="P7">
        <v>12</v>
      </c>
      <c r="Q7">
        <v>5</v>
      </c>
      <c r="R7">
        <v>2</v>
      </c>
      <c r="S7">
        <v>20</v>
      </c>
      <c r="T7">
        <v>20</v>
      </c>
      <c r="U7">
        <v>36</v>
      </c>
      <c r="V7">
        <v>1</v>
      </c>
      <c r="W7" t="s">
        <v>287</v>
      </c>
      <c r="X7">
        <v>0</v>
      </c>
      <c r="Y7" s="2" t="s">
        <v>432</v>
      </c>
      <c r="Z7" s="2" t="s">
        <v>331</v>
      </c>
      <c r="AA7" s="2"/>
      <c r="AB7" s="2" t="s">
        <v>331</v>
      </c>
      <c r="AC7" s="2" t="s">
        <v>331</v>
      </c>
      <c r="AD7" s="2"/>
      <c r="AE7" s="2"/>
      <c r="AF7" s="2"/>
      <c r="AG7" s="2" t="s">
        <v>391</v>
      </c>
      <c r="AH7" s="2"/>
      <c r="AM7" t="s">
        <v>395</v>
      </c>
      <c r="AN7" t="s">
        <v>526</v>
      </c>
      <c r="AO7" t="s">
        <v>699</v>
      </c>
      <c r="AP7">
        <v>5</v>
      </c>
      <c r="AQ7">
        <v>1</v>
      </c>
      <c r="AR7" t="s">
        <v>276</v>
      </c>
      <c r="AS7" s="2">
        <v>28</v>
      </c>
      <c r="AT7" s="2"/>
      <c r="AU7" s="2">
        <v>28</v>
      </c>
      <c r="AV7" s="2">
        <f t="shared" si="0"/>
        <v>12.903225806451614</v>
      </c>
      <c r="AW7" s="2">
        <f t="shared" si="1"/>
        <v>0</v>
      </c>
      <c r="AX7" s="2">
        <v>4</v>
      </c>
      <c r="AY7" s="2">
        <v>1</v>
      </c>
      <c r="AZ7" s="2">
        <v>6</v>
      </c>
      <c r="BA7" s="2">
        <v>6</v>
      </c>
      <c r="BB7" s="2">
        <f t="shared" si="2"/>
        <v>6</v>
      </c>
      <c r="BC7" s="2">
        <f t="shared" si="3"/>
        <v>7.2</v>
      </c>
      <c r="BF7" s="3"/>
      <c r="BG7" s="2" t="str">
        <f>CONCATENATE(
ROUND(BD7*VLOOKUP(L7,'ID Scheme'!$A$2:$E$7,3),0), "x",
ROUND(BE7*VLOOKUP(L7,'ID Scheme'!$A$2:$E$7,5),0), "x",
ROUND(BF7*VLOOKUP(L7,'ID Scheme'!$A$2:$E$7,4),0))</f>
        <v>0x0x0</v>
      </c>
    </row>
    <row r="8" spans="1:60" x14ac:dyDescent="0.25">
      <c r="A8" t="s">
        <v>669</v>
      </c>
      <c r="B8" t="s">
        <v>704</v>
      </c>
      <c r="C8" t="s">
        <v>348</v>
      </c>
      <c r="D8">
        <f>IF(H8 &gt; 2020, ((H8-2020)*4)+1610+J8,IF(H8 &gt; 1900, ((H8-1900)*10)+400+J8, ((H8-1730)*2)+J8))+VLOOKUP(L8,'ID Scheme'!$A$2:$B$7,2, FALSE)</f>
        <v>10724</v>
      </c>
      <c r="E8">
        <v>10721</v>
      </c>
      <c r="F8">
        <v>10724</v>
      </c>
      <c r="G8" t="s">
        <v>683</v>
      </c>
      <c r="H8">
        <v>1790</v>
      </c>
      <c r="I8">
        <v>1</v>
      </c>
      <c r="J8">
        <v>4</v>
      </c>
      <c r="K8" t="s">
        <v>521</v>
      </c>
      <c r="L8" t="s">
        <v>137</v>
      </c>
      <c r="M8" t="s">
        <v>502</v>
      </c>
      <c r="N8">
        <v>16</v>
      </c>
      <c r="O8">
        <v>110</v>
      </c>
      <c r="P8">
        <v>12</v>
      </c>
      <c r="Q8">
        <v>5</v>
      </c>
      <c r="R8">
        <v>2</v>
      </c>
      <c r="S8">
        <v>20</v>
      </c>
      <c r="T8">
        <v>20</v>
      </c>
      <c r="U8">
        <v>45</v>
      </c>
      <c r="V8">
        <v>1</v>
      </c>
      <c r="W8" t="s">
        <v>287</v>
      </c>
      <c r="X8">
        <v>0</v>
      </c>
      <c r="Y8" s="2" t="s">
        <v>432</v>
      </c>
      <c r="Z8" s="2" t="s">
        <v>331</v>
      </c>
      <c r="AA8" s="2"/>
      <c r="AB8" s="2" t="s">
        <v>331</v>
      </c>
      <c r="AC8" s="2" t="s">
        <v>331</v>
      </c>
      <c r="AD8" s="2"/>
      <c r="AE8" s="2"/>
      <c r="AF8" s="2"/>
      <c r="AG8" s="2" t="s">
        <v>391</v>
      </c>
      <c r="AH8" s="2"/>
      <c r="AM8" t="s">
        <v>697</v>
      </c>
      <c r="AN8" t="s">
        <v>701</v>
      </c>
      <c r="AO8" t="s">
        <v>698</v>
      </c>
      <c r="AP8">
        <v>5</v>
      </c>
      <c r="AQ8">
        <v>1</v>
      </c>
      <c r="AR8" t="s">
        <v>276</v>
      </c>
      <c r="AS8" s="2">
        <v>32</v>
      </c>
      <c r="AT8" s="2"/>
      <c r="AU8" s="2">
        <v>32</v>
      </c>
      <c r="AV8" s="2">
        <f t="shared" ref="AV8" si="8">N8/1.24</f>
        <v>12.903225806451614</v>
      </c>
      <c r="AW8" s="2">
        <f t="shared" ref="AW8" si="9">AI8/1.24</f>
        <v>0</v>
      </c>
      <c r="AX8" s="2">
        <v>5</v>
      </c>
      <c r="AY8" s="2">
        <v>1</v>
      </c>
      <c r="AZ8" s="2">
        <v>7</v>
      </c>
      <c r="BA8" s="2">
        <v>7</v>
      </c>
      <c r="BB8" s="2">
        <f t="shared" ref="BB8" si="10">U8/BA8</f>
        <v>6.4285714285714288</v>
      </c>
      <c r="BC8" s="2">
        <f t="shared" ref="BC8" si="11">(U8)/MAX(AZ8-1, 1)</f>
        <v>7.5</v>
      </c>
      <c r="BF8" s="3"/>
      <c r="BG8" s="2" t="str">
        <f>CONCATENATE(
ROUND(BD8*VLOOKUP(L8,'ID Scheme'!$A$2:$E$7,3),0), "x",
ROUND(BE8*VLOOKUP(L8,'ID Scheme'!$A$2:$E$7,5),0), "x",
ROUND(BF8*VLOOKUP(L8,'ID Scheme'!$A$2:$E$7,4),0))</f>
        <v>0x0x0</v>
      </c>
    </row>
    <row r="9" spans="1:60" x14ac:dyDescent="0.25">
      <c r="A9" t="s">
        <v>139</v>
      </c>
      <c r="B9" t="s">
        <v>239</v>
      </c>
      <c r="C9" t="s">
        <v>348</v>
      </c>
      <c r="D9">
        <f>IF(H9 &gt; 2020, ((H9-2020)*4)+1610+J9,IF(H9 &gt; 1900, ((H9-1900)*10)+400+J9, ((H9-1730)*2)+J9))+VLOOKUP(L9,'ID Scheme'!$A$2:$B$7,2, FALSE)</f>
        <v>10907</v>
      </c>
      <c r="F9">
        <v>10907</v>
      </c>
      <c r="G9" t="s">
        <v>683</v>
      </c>
      <c r="H9">
        <v>1883</v>
      </c>
      <c r="I9">
        <v>1</v>
      </c>
      <c r="J9">
        <v>1</v>
      </c>
      <c r="K9" t="s">
        <v>521</v>
      </c>
      <c r="L9" t="s">
        <v>137</v>
      </c>
      <c r="M9" t="s">
        <v>502</v>
      </c>
      <c r="N9">
        <v>22</v>
      </c>
      <c r="O9">
        <v>30</v>
      </c>
      <c r="P9">
        <v>30</v>
      </c>
      <c r="Q9">
        <v>5</v>
      </c>
      <c r="R9">
        <v>19</v>
      </c>
      <c r="S9">
        <v>50</v>
      </c>
      <c r="T9">
        <v>20</v>
      </c>
      <c r="U9">
        <v>36</v>
      </c>
      <c r="V9">
        <v>1</v>
      </c>
      <c r="W9" t="s">
        <v>288</v>
      </c>
      <c r="X9">
        <v>-1</v>
      </c>
      <c r="Y9" s="2" t="s">
        <v>427</v>
      </c>
      <c r="Z9" s="2" t="s">
        <v>331</v>
      </c>
      <c r="AA9" s="2"/>
      <c r="AB9" s="2" t="s">
        <v>331</v>
      </c>
      <c r="AC9" s="2" t="s">
        <v>331</v>
      </c>
      <c r="AD9" s="2"/>
      <c r="AE9" s="2"/>
      <c r="AF9" s="2"/>
      <c r="AG9" s="2" t="s">
        <v>391</v>
      </c>
      <c r="AH9" s="2"/>
      <c r="AK9">
        <v>1</v>
      </c>
      <c r="AM9" t="s">
        <v>396</v>
      </c>
      <c r="AN9" t="s">
        <v>527</v>
      </c>
      <c r="AO9" t="s">
        <v>530</v>
      </c>
      <c r="AP9">
        <v>4</v>
      </c>
      <c r="AQ9">
        <v>1</v>
      </c>
      <c r="AS9" s="2">
        <f>(SQRT(N9*U9)*POWER((MIN(P9,20)+SQRT(MAX(P9-20,0))),0.9)*Data!$B$1)*(1-(V9-1))</f>
        <v>35.704831781745895</v>
      </c>
      <c r="AT9" s="2"/>
      <c r="AU9" s="2">
        <f>((POWER((N9*N9*U9), 0.33)*LOG10(S9)*10*Data!$B$1)*V9)+AT9</f>
        <v>31.97612031589599</v>
      </c>
      <c r="AV9" s="2">
        <f t="shared" ref="AV9:AV13" si="12">N9/1.24</f>
        <v>17.741935483870968</v>
      </c>
      <c r="AW9" s="2">
        <f t="shared" ref="AW9:AW13" si="13">AI9/1.24</f>
        <v>0</v>
      </c>
      <c r="AX9" s="2">
        <v>3</v>
      </c>
      <c r="AZ9" s="2">
        <v>4</v>
      </c>
      <c r="BA9" s="2">
        <v>4</v>
      </c>
      <c r="BB9" s="2">
        <f t="shared" ref="BB9:BB13" si="14">U9/BA9</f>
        <v>9</v>
      </c>
      <c r="BC9" s="2">
        <f t="shared" ref="BC9:BC13" si="15">(U9)/MAX(AZ9-1, 1)</f>
        <v>12</v>
      </c>
      <c r="BD9">
        <v>6</v>
      </c>
      <c r="BF9" s="3"/>
      <c r="BG9" s="2" t="str">
        <f>CONCATENATE(
ROUND(BD9*VLOOKUP(L9,'ID Scheme'!$A$2:$E$7,3),0), "x",
ROUND(BE9*VLOOKUP(L9,'ID Scheme'!$A$2:$E$7,5),0), "x",
ROUND(BF9*VLOOKUP(L9,'ID Scheme'!$A$2:$E$7,4),0))</f>
        <v>56x0x0</v>
      </c>
    </row>
    <row r="10" spans="1:60" x14ac:dyDescent="0.25">
      <c r="A10" t="s">
        <v>138</v>
      </c>
      <c r="B10" t="s">
        <v>237</v>
      </c>
      <c r="C10" t="s">
        <v>348</v>
      </c>
      <c r="D10">
        <f>IF(H10 &gt; 2020, ((H10-2020)*4)+1610+J10,IF(H10 &gt; 1900, ((H10-1900)*10)+400+J10, ((H10-1730)*2)+J10))+VLOOKUP(L10,'ID Scheme'!$A$2:$B$7,2, FALSE)</f>
        <v>11031</v>
      </c>
      <c r="F10">
        <v>11031</v>
      </c>
      <c r="G10" t="s">
        <v>683</v>
      </c>
      <c r="H10">
        <v>1903</v>
      </c>
      <c r="I10">
        <v>1</v>
      </c>
      <c r="J10">
        <v>1</v>
      </c>
      <c r="K10" t="s">
        <v>521</v>
      </c>
      <c r="L10" t="s">
        <v>137</v>
      </c>
      <c r="M10" t="s">
        <v>502</v>
      </c>
      <c r="N10">
        <v>22</v>
      </c>
      <c r="O10">
        <v>30</v>
      </c>
      <c r="P10">
        <v>30</v>
      </c>
      <c r="Q10">
        <v>5</v>
      </c>
      <c r="R10">
        <v>24</v>
      </c>
      <c r="S10">
        <v>60</v>
      </c>
      <c r="T10">
        <v>20</v>
      </c>
      <c r="U10">
        <v>60</v>
      </c>
      <c r="V10">
        <v>1</v>
      </c>
      <c r="W10" t="s">
        <v>288</v>
      </c>
      <c r="X10">
        <v>-1</v>
      </c>
      <c r="Y10" s="2" t="s">
        <v>428</v>
      </c>
      <c r="Z10" s="2" t="s">
        <v>331</v>
      </c>
      <c r="AA10" s="2"/>
      <c r="AB10" s="2" t="s">
        <v>331</v>
      </c>
      <c r="AC10" s="2" t="s">
        <v>331</v>
      </c>
      <c r="AD10" s="2"/>
      <c r="AE10" s="2"/>
      <c r="AF10" s="2"/>
      <c r="AG10" s="2" t="s">
        <v>391</v>
      </c>
      <c r="AH10" s="2"/>
      <c r="AK10">
        <v>1</v>
      </c>
      <c r="AM10" t="s">
        <v>395</v>
      </c>
      <c r="AN10" t="s">
        <v>404</v>
      </c>
      <c r="AO10" t="s">
        <v>531</v>
      </c>
      <c r="AP10">
        <v>4</v>
      </c>
      <c r="AQ10">
        <v>1</v>
      </c>
      <c r="AS10" s="2">
        <f>(SQRT(N10*U10)*POWER((MIN(P10,20)+SQRT(MAX(P10-20,0))),0.9)*Data!$B$1)*(1-(V10-1))</f>
        <v>46.094739623279715</v>
      </c>
      <c r="AT10" s="2"/>
      <c r="AU10" s="2">
        <f>((POWER((N10*N10*U10), 0.33)*LOG10(S10)*10*Data!$B$1)*V10)+AT10</f>
        <v>39.61127712007552</v>
      </c>
      <c r="AV10" s="2">
        <f t="shared" si="12"/>
        <v>17.741935483870968</v>
      </c>
      <c r="AW10" s="2">
        <f t="shared" si="13"/>
        <v>0</v>
      </c>
      <c r="AX10" s="2">
        <v>5</v>
      </c>
      <c r="AZ10" s="2">
        <v>6</v>
      </c>
      <c r="BA10" s="2">
        <v>6</v>
      </c>
      <c r="BB10" s="2">
        <f t="shared" si="14"/>
        <v>10</v>
      </c>
      <c r="BC10" s="2">
        <f t="shared" si="15"/>
        <v>12</v>
      </c>
      <c r="BD10">
        <v>6</v>
      </c>
      <c r="BF10" s="3"/>
      <c r="BG10" s="2" t="str">
        <f>CONCATENATE(
ROUND(BD10*VLOOKUP(L10,'ID Scheme'!$A$2:$E$7,3),0), "x",
ROUND(BE10*VLOOKUP(L10,'ID Scheme'!$A$2:$E$7,5),0), "x",
ROUND(BF10*VLOOKUP(L10,'ID Scheme'!$A$2:$E$7,4),0))</f>
        <v>56x0x0</v>
      </c>
    </row>
    <row r="11" spans="1:60" x14ac:dyDescent="0.25">
      <c r="A11" t="s">
        <v>140</v>
      </c>
      <c r="B11" t="s">
        <v>238</v>
      </c>
      <c r="C11" t="s">
        <v>348</v>
      </c>
      <c r="D11">
        <f>IF(H11 &gt; 2020, ((H11-2020)*4)+1610+J11,IF(H11 &gt; 1900, ((H11-1900)*10)+400+J11, ((H11-1730)*2)+J11))+VLOOKUP(L11,'ID Scheme'!$A$2:$B$7,2, FALSE)</f>
        <v>11301</v>
      </c>
      <c r="F11">
        <v>11301</v>
      </c>
      <c r="G11" t="s">
        <v>683</v>
      </c>
      <c r="H11">
        <v>1930</v>
      </c>
      <c r="I11">
        <v>9</v>
      </c>
      <c r="J11">
        <v>1</v>
      </c>
      <c r="K11" t="s">
        <v>521</v>
      </c>
      <c r="L11" t="s">
        <v>137</v>
      </c>
      <c r="M11" t="s">
        <v>502</v>
      </c>
      <c r="N11">
        <v>24</v>
      </c>
      <c r="O11">
        <v>32</v>
      </c>
      <c r="P11">
        <v>26</v>
      </c>
      <c r="Q11">
        <v>5</v>
      </c>
      <c r="R11">
        <v>24</v>
      </c>
      <c r="S11">
        <v>200</v>
      </c>
      <c r="T11">
        <v>20</v>
      </c>
      <c r="U11">
        <v>60</v>
      </c>
      <c r="V11">
        <v>1</v>
      </c>
      <c r="W11" t="s">
        <v>288</v>
      </c>
      <c r="X11">
        <v>0</v>
      </c>
      <c r="Y11" s="2" t="s">
        <v>429</v>
      </c>
      <c r="Z11" s="2" t="s">
        <v>331</v>
      </c>
      <c r="AA11" s="2"/>
      <c r="AB11" s="2" t="s">
        <v>331</v>
      </c>
      <c r="AC11" s="2" t="s">
        <v>331</v>
      </c>
      <c r="AD11" s="2"/>
      <c r="AE11" s="2"/>
      <c r="AF11" s="2"/>
      <c r="AG11" s="2" t="s">
        <v>391</v>
      </c>
      <c r="AH11" s="2"/>
      <c r="AK11">
        <v>1</v>
      </c>
      <c r="AM11" t="s">
        <v>395</v>
      </c>
      <c r="AN11" t="s">
        <v>526</v>
      </c>
      <c r="AO11" t="s">
        <v>532</v>
      </c>
      <c r="AP11">
        <v>5</v>
      </c>
      <c r="AQ11">
        <v>1</v>
      </c>
      <c r="AS11" s="2">
        <f>(SQRT(N11*U11)*POWER((MIN(P11,20)+SQRT(MAX(P11-20,0))),0.9)*Data!$B$1)*(1-(V11-1))</f>
        <v>46.808889320396581</v>
      </c>
      <c r="AT11" s="2"/>
      <c r="AU11" s="2">
        <f>((POWER((N11*N11*U11), 0.33)*LOG10(S11)*10*Data!$B$1)*V11)+AT11</f>
        <v>54.289129200123334</v>
      </c>
      <c r="AV11" s="2">
        <f t="shared" si="12"/>
        <v>19.35483870967742</v>
      </c>
      <c r="AW11" s="2">
        <f t="shared" si="13"/>
        <v>0</v>
      </c>
      <c r="AX11" s="2">
        <v>5</v>
      </c>
      <c r="AZ11" s="2">
        <v>6</v>
      </c>
      <c r="BA11" s="2">
        <v>6</v>
      </c>
      <c r="BB11" s="2">
        <f t="shared" si="14"/>
        <v>10</v>
      </c>
      <c r="BC11" s="2">
        <f t="shared" si="15"/>
        <v>12</v>
      </c>
      <c r="BD11">
        <v>7</v>
      </c>
      <c r="BF11" s="3"/>
      <c r="BG11" s="2" t="str">
        <f>CONCATENATE(
ROUND(BD11*VLOOKUP(L11,'ID Scheme'!$A$2:$E$7,3),0), "x",
ROUND(BE11*VLOOKUP(L11,'ID Scheme'!$A$2:$E$7,5),0), "x",
ROUND(BF11*VLOOKUP(L11,'ID Scheme'!$A$2:$E$7,4),0))</f>
        <v>65x0x0</v>
      </c>
    </row>
    <row r="12" spans="1:60" x14ac:dyDescent="0.25">
      <c r="A12" t="s">
        <v>142</v>
      </c>
      <c r="B12" t="s">
        <v>236</v>
      </c>
      <c r="C12" t="s">
        <v>348</v>
      </c>
      <c r="D12">
        <f>IF(H12 &gt; 2020, ((H12-2020)*4)+1610+J12,IF(H12 &gt; 1900, ((H12-1900)*10)+400+J12, ((H12-1730)*2)+J12))+VLOOKUP(L12,'ID Scheme'!$A$2:$B$7,2, FALSE)</f>
        <v>11481</v>
      </c>
      <c r="F12">
        <v>11481</v>
      </c>
      <c r="G12" t="s">
        <v>683</v>
      </c>
      <c r="H12">
        <v>1948</v>
      </c>
      <c r="I12">
        <v>1</v>
      </c>
      <c r="J12">
        <v>1</v>
      </c>
      <c r="K12" t="s">
        <v>521</v>
      </c>
      <c r="L12" t="s">
        <v>137</v>
      </c>
      <c r="M12" t="s">
        <v>502</v>
      </c>
      <c r="N12">
        <v>25</v>
      </c>
      <c r="O12">
        <v>-1</v>
      </c>
      <c r="P12">
        <v>30</v>
      </c>
      <c r="Q12">
        <v>5</v>
      </c>
      <c r="R12">
        <v>22</v>
      </c>
      <c r="S12">
        <v>123</v>
      </c>
      <c r="T12">
        <v>20</v>
      </c>
      <c r="U12">
        <v>60</v>
      </c>
      <c r="V12">
        <v>1</v>
      </c>
      <c r="W12" t="s">
        <v>289</v>
      </c>
      <c r="X12">
        <v>-1</v>
      </c>
      <c r="Y12" s="2" t="s">
        <v>431</v>
      </c>
      <c r="Z12" s="2" t="s">
        <v>331</v>
      </c>
      <c r="AA12" s="2"/>
      <c r="AB12" s="2" t="s">
        <v>331</v>
      </c>
      <c r="AC12" s="2" t="s">
        <v>331</v>
      </c>
      <c r="AD12" s="2"/>
      <c r="AE12" s="2"/>
      <c r="AF12" s="2"/>
      <c r="AG12" s="2" t="s">
        <v>391</v>
      </c>
      <c r="AH12" s="2"/>
      <c r="AK12">
        <v>1</v>
      </c>
      <c r="AM12" t="s">
        <v>395</v>
      </c>
      <c r="AN12" t="s">
        <v>404</v>
      </c>
      <c r="AO12" t="s">
        <v>533</v>
      </c>
      <c r="AP12">
        <v>4</v>
      </c>
      <c r="AQ12">
        <v>1</v>
      </c>
      <c r="AS12" s="2">
        <f>(SQRT(N12*U12)*POWER((MIN(P12,20)+SQRT(MAX(P12-20,0))),0.9)*Data!$B$1)*(1-(V12-1))</f>
        <v>49.137157539542891</v>
      </c>
      <c r="AT12" s="2"/>
      <c r="AU12" s="2">
        <f>((POWER((N12*N12*U12), 0.33)*LOG10(S12)*10*Data!$B$1)*V12)+AT12</f>
        <v>50.654513648978117</v>
      </c>
      <c r="AV12" s="2">
        <f t="shared" si="12"/>
        <v>20.161290322580644</v>
      </c>
      <c r="AW12" s="2">
        <f t="shared" si="13"/>
        <v>0</v>
      </c>
      <c r="AX12" s="2">
        <v>5</v>
      </c>
      <c r="AZ12" s="2">
        <v>6</v>
      </c>
      <c r="BA12" s="2">
        <v>6</v>
      </c>
      <c r="BB12" s="2">
        <f t="shared" si="14"/>
        <v>10</v>
      </c>
      <c r="BC12" s="2">
        <f t="shared" si="15"/>
        <v>12</v>
      </c>
      <c r="BD12">
        <v>6</v>
      </c>
      <c r="BF12" s="3"/>
      <c r="BG12" s="2" t="str">
        <f>CONCATENATE(
ROUND(BD12*VLOOKUP(L12,'ID Scheme'!$A$2:$E$7,3),0), "x",
ROUND(BE12*VLOOKUP(L12,'ID Scheme'!$A$2:$E$7,5),0), "x",
ROUND(BF12*VLOOKUP(L12,'ID Scheme'!$A$2:$E$7,4),0))</f>
        <v>56x0x0</v>
      </c>
    </row>
    <row r="13" spans="1:60" x14ac:dyDescent="0.25">
      <c r="A13" t="s">
        <v>141</v>
      </c>
      <c r="B13" t="s">
        <v>235</v>
      </c>
      <c r="C13" t="s">
        <v>348</v>
      </c>
      <c r="D13">
        <f>IF(H13 &gt; 2020, ((H13-2020)*4)+1610+J13,IF(H13 &gt; 1900, ((H13-1900)*10)+400+J13, ((H13-1730)*2)+J13))+VLOOKUP(L13,'ID Scheme'!$A$2:$B$7,2, FALSE)</f>
        <v>11522</v>
      </c>
      <c r="F13">
        <v>11522</v>
      </c>
      <c r="G13" t="s">
        <v>683</v>
      </c>
      <c r="H13">
        <v>1952</v>
      </c>
      <c r="I13">
        <v>1</v>
      </c>
      <c r="J13">
        <v>2</v>
      </c>
      <c r="K13" t="s">
        <v>521</v>
      </c>
      <c r="L13" t="s">
        <v>137</v>
      </c>
      <c r="M13" t="s">
        <v>502</v>
      </c>
      <c r="N13">
        <v>27</v>
      </c>
      <c r="O13">
        <v>-1</v>
      </c>
      <c r="P13">
        <v>26</v>
      </c>
      <c r="Q13">
        <v>5</v>
      </c>
      <c r="R13">
        <v>31</v>
      </c>
      <c r="S13">
        <v>152</v>
      </c>
      <c r="T13">
        <v>20</v>
      </c>
      <c r="U13">
        <v>60</v>
      </c>
      <c r="V13">
        <v>1</v>
      </c>
      <c r="W13" t="s">
        <v>289</v>
      </c>
      <c r="X13">
        <v>-1</v>
      </c>
      <c r="Y13" s="2" t="s">
        <v>430</v>
      </c>
      <c r="Z13" s="2" t="s">
        <v>331</v>
      </c>
      <c r="AA13" s="2"/>
      <c r="AB13" s="2" t="s">
        <v>331</v>
      </c>
      <c r="AC13" s="2" t="s">
        <v>331</v>
      </c>
      <c r="AD13" s="2"/>
      <c r="AE13" s="2"/>
      <c r="AF13" s="2"/>
      <c r="AG13" s="2" t="s">
        <v>391</v>
      </c>
      <c r="AH13" s="2"/>
      <c r="AK13">
        <v>1</v>
      </c>
      <c r="AM13" t="s">
        <v>395</v>
      </c>
      <c r="AN13" t="s">
        <v>526</v>
      </c>
      <c r="AO13" t="s">
        <v>534</v>
      </c>
      <c r="AP13">
        <v>5</v>
      </c>
      <c r="AQ13">
        <v>1</v>
      </c>
      <c r="AS13" s="2">
        <f>(SQRT(N13*U13)*POWER((MIN(P13,20)+SQRT(MAX(P13-20,0))),0.9)*Data!$B$1)*(1-(V13-1))</f>
        <v>49.648324587394477</v>
      </c>
      <c r="AT13" s="2"/>
      <c r="AU13" s="2">
        <f>((POWER((N13*N13*U13), 0.33)*LOG10(S13)*10*Data!$B$1)*V13)+AT13</f>
        <v>55.638430948840913</v>
      </c>
      <c r="AV13" s="2">
        <f t="shared" si="12"/>
        <v>21.774193548387096</v>
      </c>
      <c r="AW13" s="2">
        <f t="shared" si="13"/>
        <v>0</v>
      </c>
      <c r="AX13" s="2">
        <v>5</v>
      </c>
      <c r="AZ13" s="2">
        <v>6</v>
      </c>
      <c r="BA13" s="2">
        <v>6</v>
      </c>
      <c r="BB13" s="2">
        <f t="shared" si="14"/>
        <v>10</v>
      </c>
      <c r="BC13" s="2">
        <f t="shared" si="15"/>
        <v>12</v>
      </c>
      <c r="BD13">
        <v>7</v>
      </c>
      <c r="BF13" s="3"/>
      <c r="BG13" s="2" t="str">
        <f>CONCATENATE(
ROUND(BD13*VLOOKUP(L13,'ID Scheme'!$A$2:$E$7,3),0), "x",
ROUND(BE13*VLOOKUP(L13,'ID Scheme'!$A$2:$E$7,5),0), "x",
ROUND(BF13*VLOOKUP(L13,'ID Scheme'!$A$2:$E$7,4),0))</f>
        <v>65x0x0</v>
      </c>
    </row>
    <row r="14" spans="1:60" x14ac:dyDescent="0.25">
      <c r="A14" t="s">
        <v>351</v>
      </c>
      <c r="B14" t="s">
        <v>350</v>
      </c>
      <c r="C14" t="s">
        <v>349</v>
      </c>
      <c r="D14">
        <v>0</v>
      </c>
      <c r="F14">
        <v>-1</v>
      </c>
      <c r="Z14" t="s">
        <v>331</v>
      </c>
      <c r="AD14" t="s">
        <v>331</v>
      </c>
      <c r="AO14" t="s">
        <v>557</v>
      </c>
      <c r="AP14">
        <v>8</v>
      </c>
      <c r="AU14" s="2"/>
    </row>
    <row r="15" spans="1:60" x14ac:dyDescent="0.25">
      <c r="A15" t="s">
        <v>70</v>
      </c>
      <c r="B15" t="s">
        <v>229</v>
      </c>
      <c r="C15" t="s">
        <v>348</v>
      </c>
      <c r="D15">
        <f>IF(H15 &gt; 2020, ((H15-2020)*4)+1610+J15,IF(H15 &gt; 1900, ((H15-1900)*10)+400+J15, ((H15-1730)*2)+J15))+VLOOKUP(L15,'ID Scheme'!$A$2:$B$7,2, FALSE)</f>
        <v>3201</v>
      </c>
      <c r="F15">
        <v>3201</v>
      </c>
      <c r="G15" t="s">
        <v>683</v>
      </c>
      <c r="H15">
        <v>1920</v>
      </c>
      <c r="I15">
        <v>4</v>
      </c>
      <c r="J15">
        <v>1</v>
      </c>
      <c r="K15" t="s">
        <v>522</v>
      </c>
      <c r="L15" t="s">
        <v>13</v>
      </c>
      <c r="M15" t="s">
        <v>501</v>
      </c>
      <c r="N15">
        <v>18</v>
      </c>
      <c r="O15">
        <v>20</v>
      </c>
      <c r="P15">
        <v>18</v>
      </c>
      <c r="Q15">
        <v>5</v>
      </c>
      <c r="R15">
        <v>5</v>
      </c>
      <c r="S15">
        <v>80</v>
      </c>
      <c r="T15">
        <v>20</v>
      </c>
      <c r="U15">
        <v>28</v>
      </c>
      <c r="V15">
        <v>1</v>
      </c>
      <c r="W15" t="s">
        <v>289</v>
      </c>
      <c r="X15">
        <v>-4</v>
      </c>
      <c r="Y15" s="2" t="s">
        <v>479</v>
      </c>
      <c r="Z15" s="2"/>
      <c r="AA15" s="2"/>
      <c r="AB15" s="2"/>
      <c r="AC15" s="2"/>
      <c r="AD15" s="2" t="s">
        <v>331</v>
      </c>
      <c r="AE15" s="2"/>
      <c r="AF15" s="2"/>
      <c r="AG15" s="2" t="s">
        <v>350</v>
      </c>
      <c r="AH15" s="2"/>
      <c r="AK15" t="s">
        <v>399</v>
      </c>
      <c r="AM15" t="s">
        <v>403</v>
      </c>
      <c r="AN15" t="s">
        <v>439</v>
      </c>
      <c r="AO15" t="s">
        <v>535</v>
      </c>
      <c r="AP15">
        <v>2</v>
      </c>
      <c r="AS15" s="2">
        <f>(SQRT(N15*U15)*POWER((MIN(P15,20)+SQRT(MAX(P15-20,0))),0.9)*Data!$B$1)*(1-(V15-1))</f>
        <v>22.69978721594271</v>
      </c>
      <c r="AT15" s="2"/>
      <c r="AU15" s="2">
        <f>((POWER((N15*N15*U15), 0.33)*LOG10(S15)*10*Data!$B$1)*V15)+AT15</f>
        <v>28.877699401096308</v>
      </c>
      <c r="AV15" s="2">
        <f>N15/1.24</f>
        <v>14.516129032258064</v>
      </c>
      <c r="AW15" s="2">
        <f>AI15/1.24</f>
        <v>0</v>
      </c>
      <c r="AZ15" s="2">
        <v>2</v>
      </c>
      <c r="BA15" s="2">
        <v>2</v>
      </c>
      <c r="BB15" s="2">
        <f>U15/BA15</f>
        <v>14</v>
      </c>
      <c r="BC15" s="2">
        <f>(U15)/MAX(AZ15-1, 1)</f>
        <v>28</v>
      </c>
      <c r="BD15" s="3">
        <v>3.4</v>
      </c>
      <c r="BE15" s="3">
        <v>2</v>
      </c>
      <c r="BF15" s="3">
        <v>2.5</v>
      </c>
      <c r="BG15" s="2" t="str">
        <f>CONCATENATE(
ROUND(BD15*VLOOKUP(L15,'ID Scheme'!$A$2:$E$7,3),0), "x",
ROUND(BE15*VLOOKUP(L15,'ID Scheme'!$A$2:$E$7,5),0), "x",
ROUND(BF15*VLOOKUP(L15,'ID Scheme'!$A$2:$E$7,4),0))</f>
        <v>32x29x24</v>
      </c>
    </row>
    <row r="16" spans="1:60" x14ac:dyDescent="0.25">
      <c r="A16" t="s">
        <v>492</v>
      </c>
      <c r="B16" t="s">
        <v>493</v>
      </c>
      <c r="C16" t="s">
        <v>348</v>
      </c>
      <c r="D16">
        <f>IF(H16 &gt; 2020, ((H16-2020)*4)+1610+J16,IF(H16 &gt; 1900, ((H16-1900)*10)+400+J16, ((H16-1730)*2)+J16))+VLOOKUP(L16,'ID Scheme'!$A$2:$B$7,2, FALSE)</f>
        <v>3321</v>
      </c>
      <c r="F16">
        <v>3321</v>
      </c>
      <c r="G16" t="s">
        <v>683</v>
      </c>
      <c r="H16">
        <v>1932</v>
      </c>
      <c r="I16">
        <v>6</v>
      </c>
      <c r="J16">
        <v>1</v>
      </c>
      <c r="K16" t="s">
        <v>522</v>
      </c>
      <c r="L16" t="s">
        <v>13</v>
      </c>
      <c r="M16" t="s">
        <v>501</v>
      </c>
      <c r="N16">
        <v>32</v>
      </c>
      <c r="O16">
        <v>20</v>
      </c>
      <c r="P16">
        <v>15</v>
      </c>
      <c r="Q16">
        <v>5</v>
      </c>
      <c r="R16">
        <v>4.5</v>
      </c>
      <c r="S16">
        <v>65</v>
      </c>
      <c r="T16">
        <v>20</v>
      </c>
      <c r="U16">
        <v>30</v>
      </c>
      <c r="V16">
        <v>1</v>
      </c>
      <c r="W16" t="s">
        <v>289</v>
      </c>
      <c r="X16">
        <v>-4</v>
      </c>
      <c r="Y16" s="2" t="s">
        <v>494</v>
      </c>
      <c r="Z16" s="2"/>
      <c r="AA16" s="2"/>
      <c r="AB16" s="2"/>
      <c r="AC16" s="2"/>
      <c r="AD16" s="2" t="s">
        <v>331</v>
      </c>
      <c r="AE16" s="2"/>
      <c r="AF16" s="2"/>
      <c r="AG16" s="2" t="s">
        <v>350</v>
      </c>
      <c r="AH16" s="2"/>
      <c r="AK16" t="s">
        <v>399</v>
      </c>
      <c r="AM16" t="s">
        <v>403</v>
      </c>
      <c r="AN16" t="s">
        <v>439</v>
      </c>
      <c r="AO16" t="s">
        <v>536</v>
      </c>
      <c r="AP16">
        <v>2</v>
      </c>
      <c r="AS16" s="2">
        <f>(SQRT(N16*U16)*POWER((MIN(P16,20)+SQRT(MAX(P16-20,0))),0.9)*Data!$B$1)*(1-(V16-1))</f>
        <v>26.587592451565005</v>
      </c>
      <c r="AT16" s="2"/>
      <c r="AU16" s="2">
        <f>((POWER((N16*N16*U16), 0.33)*LOG10(S16)*10*Data!$B$1)*V16)+AT16</f>
        <v>41.142181123813366</v>
      </c>
      <c r="AV16" s="2">
        <f>N16/1.24</f>
        <v>25.806451612903228</v>
      </c>
      <c r="AW16" s="2">
        <f>AI16/1.24</f>
        <v>0</v>
      </c>
      <c r="AZ16" s="2">
        <v>2</v>
      </c>
      <c r="BA16" s="2">
        <v>2</v>
      </c>
      <c r="BB16" s="2">
        <f>U16/BA16</f>
        <v>15</v>
      </c>
      <c r="BC16" s="2">
        <f>(U16)/MAX(AZ16-1, 1)</f>
        <v>30</v>
      </c>
      <c r="BD16" s="3">
        <v>3.4</v>
      </c>
      <c r="BE16" s="3">
        <v>2</v>
      </c>
      <c r="BF16" s="3">
        <v>2.5</v>
      </c>
      <c r="BG16" s="2" t="str">
        <f>CONCATENATE(
ROUND(BD16*VLOOKUP(L16,'ID Scheme'!$A$2:$E$7,3),0), "x",
ROUND(BE16*VLOOKUP(L16,'ID Scheme'!$A$2:$E$7,5),0), "x",
ROUND(BF16*VLOOKUP(L16,'ID Scheme'!$A$2:$E$7,4),0))</f>
        <v>32x29x24</v>
      </c>
    </row>
    <row r="17" spans="1:60" x14ac:dyDescent="0.25">
      <c r="A17" t="s">
        <v>629</v>
      </c>
      <c r="B17" t="s">
        <v>628</v>
      </c>
      <c r="C17" t="s">
        <v>348</v>
      </c>
      <c r="D17">
        <f>IF(H17 &gt; 2020, ((H17-2020)*4)+1610+J17,IF(H17 &gt; 1900, ((H17-1900)*10)+400+J17, ((H17-1730)*2)+J17))+VLOOKUP(L17,'ID Scheme'!$A$2:$B$7,2, FALSE)</f>
        <v>3482</v>
      </c>
      <c r="F17">
        <v>3482</v>
      </c>
      <c r="G17" t="s">
        <v>683</v>
      </c>
      <c r="H17">
        <v>1948</v>
      </c>
      <c r="I17">
        <v>7</v>
      </c>
      <c r="J17">
        <v>2</v>
      </c>
      <c r="K17" t="s">
        <v>522</v>
      </c>
      <c r="L17" t="s">
        <v>13</v>
      </c>
      <c r="M17" t="s">
        <v>501</v>
      </c>
      <c r="N17">
        <v>38</v>
      </c>
      <c r="O17">
        <v>18</v>
      </c>
      <c r="P17">
        <v>14</v>
      </c>
      <c r="Q17">
        <v>5</v>
      </c>
      <c r="R17">
        <v>4</v>
      </c>
      <c r="S17">
        <v>50</v>
      </c>
      <c r="T17">
        <v>20</v>
      </c>
      <c r="U17">
        <v>30</v>
      </c>
      <c r="V17">
        <v>1</v>
      </c>
      <c r="W17" t="s">
        <v>289</v>
      </c>
      <c r="X17">
        <v>-4</v>
      </c>
      <c r="Y17" s="2" t="s">
        <v>630</v>
      </c>
      <c r="Z17" s="2"/>
      <c r="AA17" s="2"/>
      <c r="AB17" s="2"/>
      <c r="AC17" s="2"/>
      <c r="AD17" s="2" t="s">
        <v>331</v>
      </c>
      <c r="AE17" s="2"/>
      <c r="AF17" s="2"/>
      <c r="AG17" s="2" t="s">
        <v>350</v>
      </c>
      <c r="AH17" s="2"/>
      <c r="AK17" t="s">
        <v>399</v>
      </c>
      <c r="AM17" t="s">
        <v>403</v>
      </c>
      <c r="AN17" t="s">
        <v>439</v>
      </c>
      <c r="AO17" t="s">
        <v>631</v>
      </c>
      <c r="AP17">
        <v>2</v>
      </c>
      <c r="AS17" s="2">
        <f>(SQRT(N17*U17)*POWER((MIN(P17,20)+SQRT(MAX(P17-20,0))),0.9)*Data!$B$1)*(1-(V17-1))</f>
        <v>27.228826282042128</v>
      </c>
      <c r="AT17" s="2"/>
      <c r="AU17" s="2">
        <f>((POWER((N17*N17*U17), 0.33)*LOG10(S17)*10*Data!$B$1)*V17)+AT17</f>
        <v>43.187111963297234</v>
      </c>
      <c r="AV17" s="2">
        <f>N17/1.24</f>
        <v>30.64516129032258</v>
      </c>
      <c r="AW17" s="2">
        <f>AI17/1.24</f>
        <v>0</v>
      </c>
      <c r="AZ17" s="2">
        <v>2</v>
      </c>
      <c r="BA17" s="2">
        <v>2</v>
      </c>
      <c r="BB17" s="2">
        <f>U17/BA17</f>
        <v>15</v>
      </c>
      <c r="BC17" s="2">
        <f>(U17)/MAX(AZ17-1, 1)</f>
        <v>30</v>
      </c>
      <c r="BD17" s="3">
        <v>3.4</v>
      </c>
      <c r="BE17" s="3">
        <v>2</v>
      </c>
      <c r="BF17" s="3">
        <v>2.5</v>
      </c>
      <c r="BG17" s="2" t="str">
        <f>CONCATENATE(
ROUND(BD17*VLOOKUP(L17,'ID Scheme'!$A$2:$E$7,3),0), "x",
ROUND(BE17*VLOOKUP(L17,'ID Scheme'!$A$2:$E$7,5),0), "x",
ROUND(BF17*VLOOKUP(L17,'ID Scheme'!$A$2:$E$7,4),0))</f>
        <v>32x29x24</v>
      </c>
    </row>
    <row r="18" spans="1:60" x14ac:dyDescent="0.25">
      <c r="A18" t="s">
        <v>354</v>
      </c>
      <c r="B18" t="s">
        <v>352</v>
      </c>
      <c r="C18" t="s">
        <v>349</v>
      </c>
      <c r="D18">
        <v>0</v>
      </c>
      <c r="F18">
        <v>-1</v>
      </c>
      <c r="Z18" t="s">
        <v>331</v>
      </c>
      <c r="AA18" t="s">
        <v>331</v>
      </c>
      <c r="AO18" t="s">
        <v>555</v>
      </c>
      <c r="AP18">
        <v>8</v>
      </c>
      <c r="AU18" s="2"/>
    </row>
    <row r="19" spans="1:60" x14ac:dyDescent="0.25">
      <c r="A19" t="s">
        <v>2</v>
      </c>
      <c r="B19" t="s">
        <v>207</v>
      </c>
      <c r="C19" t="s">
        <v>348</v>
      </c>
      <c r="D19">
        <f>IF(H19 &gt; 2020, ((H19-2020)*4)+1610+J19,IF(H19 &gt; 1900, ((H19-1900)*10)+400+J19, ((H19-1730)*2)+J19))+VLOOKUP(L19,'ID Scheme'!$A$2:$B$7,2, FALSE)</f>
        <v>3651</v>
      </c>
      <c r="F19">
        <v>3651</v>
      </c>
      <c r="G19" t="s">
        <v>683</v>
      </c>
      <c r="H19">
        <v>1965</v>
      </c>
      <c r="I19">
        <v>6</v>
      </c>
      <c r="J19">
        <v>1</v>
      </c>
      <c r="K19" t="s">
        <v>522</v>
      </c>
      <c r="L19" t="s">
        <v>13</v>
      </c>
      <c r="M19" t="s">
        <v>501</v>
      </c>
      <c r="N19">
        <v>55</v>
      </c>
      <c r="O19">
        <v>20</v>
      </c>
      <c r="P19">
        <v>15</v>
      </c>
      <c r="Q19">
        <v>5</v>
      </c>
      <c r="R19">
        <v>9.5</v>
      </c>
      <c r="S19">
        <v>140</v>
      </c>
      <c r="T19">
        <v>20</v>
      </c>
      <c r="U19">
        <v>36</v>
      </c>
      <c r="V19">
        <v>1</v>
      </c>
      <c r="W19" t="s">
        <v>289</v>
      </c>
      <c r="X19">
        <v>-4</v>
      </c>
      <c r="Y19" s="2" t="s">
        <v>473</v>
      </c>
      <c r="Z19" s="2"/>
      <c r="AA19" s="2" t="s">
        <v>331</v>
      </c>
      <c r="AB19" s="2"/>
      <c r="AC19" s="2"/>
      <c r="AD19" s="2"/>
      <c r="AE19" s="2"/>
      <c r="AF19" s="2"/>
      <c r="AG19" s="2" t="s">
        <v>352</v>
      </c>
      <c r="AH19" s="2"/>
      <c r="AK19">
        <v>1</v>
      </c>
      <c r="AM19" t="s">
        <v>408</v>
      </c>
      <c r="AN19" t="s">
        <v>584</v>
      </c>
      <c r="AO19" t="s">
        <v>537</v>
      </c>
      <c r="AP19">
        <v>2</v>
      </c>
      <c r="AS19" s="2">
        <f>(SQRT(N19*U19)*POWER((MIN(P19,20)+SQRT(MAX(P19-20,0))),0.9)*Data!$B$1)*(1-(V19-1))</f>
        <v>38.183522614659189</v>
      </c>
      <c r="AT19" s="2"/>
      <c r="AU19" s="2">
        <f>((POWER((N19*N19*U19), 0.33)*LOG10(S19)*10*Data!$B$1)*V19)+AT19</f>
        <v>73.949644689024566</v>
      </c>
      <c r="AV19" s="2">
        <f t="shared" ref="AV19:AV24" si="16">N19/1.24</f>
        <v>44.354838709677416</v>
      </c>
      <c r="AW19" s="2">
        <f t="shared" ref="AW19:AW24" si="17">AI19/1.24</f>
        <v>0</v>
      </c>
      <c r="AZ19" s="2">
        <v>2</v>
      </c>
      <c r="BA19" s="2">
        <v>3</v>
      </c>
      <c r="BB19" s="2">
        <f t="shared" ref="BB19:BB24" si="18">U19/BA19</f>
        <v>12</v>
      </c>
      <c r="BC19" s="2">
        <f t="shared" ref="BC19:BC24" si="19">(U19)/MAX(AZ19-1, 1)</f>
        <v>36</v>
      </c>
      <c r="BD19" s="3"/>
      <c r="BE19" s="3"/>
      <c r="BF19" s="3"/>
      <c r="BG19" s="2" t="str">
        <f>CONCATENATE(
ROUND(BD19*VLOOKUP(L19,'ID Scheme'!$A$2:$E$7,3),0), "x",
ROUND(BE19*VLOOKUP(L19,'ID Scheme'!$A$2:$E$7,5),0), "x",
ROUND(BF19*VLOOKUP(L19,'ID Scheme'!$A$2:$E$7,4),0))</f>
        <v>0x0x0</v>
      </c>
    </row>
    <row r="20" spans="1:60" x14ac:dyDescent="0.25">
      <c r="A20" t="s">
        <v>19</v>
      </c>
      <c r="B20" t="s">
        <v>225</v>
      </c>
      <c r="C20" t="s">
        <v>348</v>
      </c>
      <c r="D20">
        <f>IF(H20 &gt; 2020, ((H20-2020)*4)+1610+J20,IF(H20 &gt; 1900, ((H20-1900)*10)+400+J20, ((H20-1730)*2)+J20))+VLOOKUP(L20,'ID Scheme'!$A$2:$B$7,2, FALSE)</f>
        <v>3641</v>
      </c>
      <c r="F20">
        <v>3641</v>
      </c>
      <c r="G20" t="s">
        <v>683</v>
      </c>
      <c r="H20">
        <v>1964</v>
      </c>
      <c r="I20">
        <v>9</v>
      </c>
      <c r="J20">
        <v>1</v>
      </c>
      <c r="K20" t="s">
        <v>522</v>
      </c>
      <c r="L20" t="s">
        <v>13</v>
      </c>
      <c r="M20" t="s">
        <v>501</v>
      </c>
      <c r="N20">
        <v>57</v>
      </c>
      <c r="O20">
        <v>20</v>
      </c>
      <c r="P20">
        <v>15</v>
      </c>
      <c r="Q20">
        <v>5</v>
      </c>
      <c r="R20">
        <v>9.5</v>
      </c>
      <c r="S20">
        <v>192</v>
      </c>
      <c r="T20">
        <v>20</v>
      </c>
      <c r="U20">
        <v>36</v>
      </c>
      <c r="V20">
        <v>1</v>
      </c>
      <c r="W20" t="s">
        <v>289</v>
      </c>
      <c r="X20">
        <v>-4</v>
      </c>
      <c r="Y20" s="2" t="s">
        <v>342</v>
      </c>
      <c r="Z20" s="2"/>
      <c r="AA20" s="2" t="s">
        <v>331</v>
      </c>
      <c r="AB20" s="2"/>
      <c r="AC20" s="2"/>
      <c r="AD20" s="2"/>
      <c r="AE20" s="2"/>
      <c r="AF20" s="2"/>
      <c r="AG20" s="2" t="s">
        <v>352</v>
      </c>
      <c r="AH20" s="2"/>
      <c r="AI20">
        <v>56</v>
      </c>
      <c r="AK20">
        <v>1</v>
      </c>
      <c r="AM20" t="s">
        <v>408</v>
      </c>
      <c r="AN20" t="s">
        <v>584</v>
      </c>
      <c r="AO20" t="s">
        <v>538</v>
      </c>
      <c r="AP20">
        <v>2</v>
      </c>
      <c r="AS20" s="2">
        <f>(SQRT(N20*U20)*POWER((MIN(P20,20)+SQRT(MAX(P20-20,0))),0.9)*Data!$B$1)*(1-(V20-1))</f>
        <v>38.871569362349888</v>
      </c>
      <c r="AT20" s="2"/>
      <c r="AU20" s="2">
        <f>((POWER((N20*N20*U20), 0.33)*LOG10(S20)*10*Data!$B$1)*V20)+AT20</f>
        <v>80.552997117621018</v>
      </c>
      <c r="AV20" s="2">
        <f t="shared" si="16"/>
        <v>45.967741935483872</v>
      </c>
      <c r="AW20" s="2">
        <f t="shared" si="17"/>
        <v>45.161290322580648</v>
      </c>
      <c r="AZ20" s="2">
        <v>2</v>
      </c>
      <c r="BA20" s="2">
        <v>3</v>
      </c>
      <c r="BB20" s="2">
        <f t="shared" si="18"/>
        <v>12</v>
      </c>
      <c r="BC20" s="2">
        <f t="shared" si="19"/>
        <v>36</v>
      </c>
      <c r="BD20" s="3"/>
      <c r="BE20" s="3"/>
      <c r="BF20" s="3"/>
      <c r="BG20" s="2" t="str">
        <f>CONCATENATE(
ROUND(BD20*VLOOKUP(L20,'ID Scheme'!$A$2:$E$7,3),0), "x",
ROUND(BE20*VLOOKUP(L20,'ID Scheme'!$A$2:$E$7,5),0), "x",
ROUND(BF20*VLOOKUP(L20,'ID Scheme'!$A$2:$E$7,4),0))</f>
        <v>0x0x0</v>
      </c>
    </row>
    <row r="21" spans="1:60" x14ac:dyDescent="0.25">
      <c r="A21" t="s">
        <v>610</v>
      </c>
      <c r="B21" t="s">
        <v>611</v>
      </c>
      <c r="C21" t="s">
        <v>348</v>
      </c>
      <c r="D21">
        <f>IF(H21 &gt; 2020, ((H21-2020)*4)+1610+J21,IF(H21 &gt; 1900, ((H21-1900)*10)+400+J21, ((H21-1730)*2)+J21))+VLOOKUP(L21,'ID Scheme'!$A$2:$B$7,2, FALSE)</f>
        <v>3721</v>
      </c>
      <c r="F21">
        <v>3721</v>
      </c>
      <c r="G21" t="s">
        <v>683</v>
      </c>
      <c r="H21">
        <v>1972</v>
      </c>
      <c r="I21">
        <v>3</v>
      </c>
      <c r="J21">
        <v>1</v>
      </c>
      <c r="K21" t="s">
        <v>522</v>
      </c>
      <c r="L21" t="s">
        <v>13</v>
      </c>
      <c r="M21" t="s">
        <v>501</v>
      </c>
      <c r="N21">
        <v>55</v>
      </c>
      <c r="O21">
        <v>22</v>
      </c>
      <c r="P21">
        <v>18</v>
      </c>
      <c r="Q21">
        <v>5</v>
      </c>
      <c r="R21">
        <v>9.5</v>
      </c>
      <c r="S21">
        <v>220</v>
      </c>
      <c r="T21">
        <v>20</v>
      </c>
      <c r="U21">
        <v>39</v>
      </c>
      <c r="V21">
        <v>1</v>
      </c>
      <c r="W21" t="s">
        <v>289</v>
      </c>
      <c r="X21">
        <v>-4</v>
      </c>
      <c r="Y21" s="2" t="s">
        <v>615</v>
      </c>
      <c r="Z21" s="2"/>
      <c r="AA21" s="2" t="s">
        <v>331</v>
      </c>
      <c r="AB21" s="2"/>
      <c r="AC21" s="2"/>
      <c r="AD21" s="2"/>
      <c r="AE21" s="2"/>
      <c r="AF21" s="2"/>
      <c r="AG21" s="2" t="s">
        <v>352</v>
      </c>
      <c r="AH21" s="2"/>
      <c r="AI21">
        <v>56</v>
      </c>
      <c r="AK21">
        <v>1</v>
      </c>
      <c r="AM21" t="s">
        <v>408</v>
      </c>
      <c r="AN21" t="s">
        <v>584</v>
      </c>
      <c r="AO21" t="s">
        <v>616</v>
      </c>
      <c r="AP21">
        <v>2</v>
      </c>
      <c r="AS21" s="2">
        <f>(SQRT(N21*U21)*POWER((MIN(P21,20)+SQRT(MAX(P21-20,0))),0.9)*Data!$B$1)*(1-(V21-1))</f>
        <v>46.82956959430053</v>
      </c>
      <c r="AT21" s="2"/>
      <c r="AU21" s="2">
        <f>((POWER((N21*N21*U21), 0.33)*LOG10(S21)*10*Data!$B$1)*V21)+AT21</f>
        <v>82.873794341980769</v>
      </c>
      <c r="AV21" s="2">
        <f t="shared" si="16"/>
        <v>44.354838709677416</v>
      </c>
      <c r="AW21" s="2">
        <f t="shared" si="17"/>
        <v>45.161290322580648</v>
      </c>
      <c r="AZ21" s="2">
        <v>2</v>
      </c>
      <c r="BA21" s="2">
        <v>3</v>
      </c>
      <c r="BB21" s="2">
        <f t="shared" si="18"/>
        <v>13</v>
      </c>
      <c r="BC21" s="2">
        <f t="shared" si="19"/>
        <v>39</v>
      </c>
      <c r="BD21" s="3"/>
      <c r="BE21" s="3"/>
      <c r="BF21" s="3"/>
      <c r="BG21" s="2" t="str">
        <f>CONCATENATE(
ROUND(BD21*VLOOKUP(L21,'ID Scheme'!$A$2:$E$7,3),0), "x",
ROUND(BE21*VLOOKUP(L21,'ID Scheme'!$A$2:$E$7,5),0), "x",
ROUND(BF21*VLOOKUP(L21,'ID Scheme'!$A$2:$E$7,4),0))</f>
        <v>0x0x0</v>
      </c>
    </row>
    <row r="22" spans="1:60" x14ac:dyDescent="0.25">
      <c r="A22" t="s">
        <v>95</v>
      </c>
      <c r="B22" t="s">
        <v>222</v>
      </c>
      <c r="C22" t="s">
        <v>348</v>
      </c>
      <c r="D22">
        <f>IF(H22 &gt; 2020, ((H22-2020)*4)+1610+J22,IF(H22 &gt; 1900, ((H22-1900)*10)+400+J22, ((H22-1730)*2)+J22))+VLOOKUP(L22,'ID Scheme'!$A$2:$B$7,2, FALSE)</f>
        <v>3771</v>
      </c>
      <c r="F22">
        <v>3771</v>
      </c>
      <c r="G22" t="s">
        <v>683</v>
      </c>
      <c r="H22">
        <v>1977</v>
      </c>
      <c r="I22">
        <v>1</v>
      </c>
      <c r="J22">
        <v>1</v>
      </c>
      <c r="K22" t="s">
        <v>522</v>
      </c>
      <c r="L22" t="s">
        <v>13</v>
      </c>
      <c r="M22" t="s">
        <v>501</v>
      </c>
      <c r="N22">
        <v>60</v>
      </c>
      <c r="O22">
        <v>16</v>
      </c>
      <c r="P22">
        <v>18</v>
      </c>
      <c r="Q22">
        <v>5</v>
      </c>
      <c r="R22">
        <v>9.5</v>
      </c>
      <c r="S22">
        <v>280</v>
      </c>
      <c r="T22">
        <v>20</v>
      </c>
      <c r="U22">
        <v>39</v>
      </c>
      <c r="V22">
        <v>1</v>
      </c>
      <c r="W22" t="s">
        <v>289</v>
      </c>
      <c r="X22">
        <v>-3</v>
      </c>
      <c r="Y22" s="2" t="s">
        <v>475</v>
      </c>
      <c r="Z22" s="2"/>
      <c r="AA22" s="2" t="s">
        <v>331</v>
      </c>
      <c r="AB22" s="2"/>
      <c r="AC22" s="2"/>
      <c r="AD22" s="2"/>
      <c r="AE22" s="2"/>
      <c r="AF22" s="2"/>
      <c r="AG22" s="2" t="s">
        <v>352</v>
      </c>
      <c r="AH22" s="2"/>
      <c r="AI22">
        <v>56</v>
      </c>
      <c r="AK22">
        <v>1</v>
      </c>
      <c r="AM22" t="s">
        <v>408</v>
      </c>
      <c r="AN22" t="s">
        <v>584</v>
      </c>
      <c r="AO22" t="s">
        <v>539</v>
      </c>
      <c r="AP22">
        <v>2</v>
      </c>
      <c r="AS22" s="2">
        <f>(SQRT(N22*U22)*POWER((MIN(P22,20)+SQRT(MAX(P22-20,0))),0.9)*Data!$B$1)*(1-(V22-1))</f>
        <v>48.911890226340333</v>
      </c>
      <c r="AT22" s="2"/>
      <c r="AU22" s="2">
        <f>((POWER((N22*N22*U22), 0.33)*LOG10(S22)*10*Data!$B$1)*V22)+AT22</f>
        <v>91.696851682976998</v>
      </c>
      <c r="AV22" s="2">
        <f t="shared" si="16"/>
        <v>48.387096774193552</v>
      </c>
      <c r="AW22" s="2">
        <f t="shared" si="17"/>
        <v>45.161290322580648</v>
      </c>
      <c r="AZ22" s="2">
        <v>2</v>
      </c>
      <c r="BA22" s="2">
        <v>3</v>
      </c>
      <c r="BB22" s="2">
        <f t="shared" si="18"/>
        <v>13</v>
      </c>
      <c r="BC22" s="2">
        <f t="shared" si="19"/>
        <v>39</v>
      </c>
      <c r="BD22" s="3"/>
      <c r="BE22" s="3"/>
      <c r="BF22" s="3"/>
      <c r="BG22" s="2" t="str">
        <f>CONCATENATE(
ROUND(BD22*VLOOKUP(L22,'ID Scheme'!$A$2:$E$7,3),0), "x",
ROUND(BE22*VLOOKUP(L22,'ID Scheme'!$A$2:$E$7,5),0), "x",
ROUND(BF22*VLOOKUP(L22,'ID Scheme'!$A$2:$E$7,4),0))</f>
        <v>0x0x0</v>
      </c>
      <c r="BH22" t="s">
        <v>96</v>
      </c>
    </row>
    <row r="23" spans="1:60" x14ac:dyDescent="0.25">
      <c r="A23" t="s">
        <v>5</v>
      </c>
      <c r="B23" t="s">
        <v>190</v>
      </c>
      <c r="C23" t="s">
        <v>348</v>
      </c>
      <c r="D23">
        <f>IF(H23 &gt; 2020, ((H23-2020)*4)+1610+J23,IF(H23 &gt; 1900, ((H23-1900)*10)+400+J23, ((H23-1730)*2)+J23))+VLOOKUP(L23,'ID Scheme'!$A$2:$B$7,2, FALSE)</f>
        <v>3681</v>
      </c>
      <c r="F23">
        <v>3681</v>
      </c>
      <c r="G23" t="s">
        <v>683</v>
      </c>
      <c r="H23">
        <v>1968</v>
      </c>
      <c r="I23">
        <v>1</v>
      </c>
      <c r="J23">
        <v>1</v>
      </c>
      <c r="K23" t="s">
        <v>522</v>
      </c>
      <c r="L23" t="s">
        <v>13</v>
      </c>
      <c r="M23" t="s">
        <v>501</v>
      </c>
      <c r="N23">
        <v>68</v>
      </c>
      <c r="O23">
        <v>12</v>
      </c>
      <c r="P23">
        <v>15</v>
      </c>
      <c r="Q23">
        <v>5</v>
      </c>
      <c r="R23">
        <v>10</v>
      </c>
      <c r="S23">
        <v>247</v>
      </c>
      <c r="T23">
        <v>25</v>
      </c>
      <c r="U23">
        <v>36</v>
      </c>
      <c r="V23">
        <v>1</v>
      </c>
      <c r="W23" t="s">
        <v>295</v>
      </c>
      <c r="X23">
        <v>-3</v>
      </c>
      <c r="Y23" s="2" t="s">
        <v>474</v>
      </c>
      <c r="Z23" s="2"/>
      <c r="AA23" s="2" t="s">
        <v>331</v>
      </c>
      <c r="AB23" s="2"/>
      <c r="AC23" s="2"/>
      <c r="AD23" s="2"/>
      <c r="AE23" s="2"/>
      <c r="AF23" s="2"/>
      <c r="AG23" s="2" t="s">
        <v>352</v>
      </c>
      <c r="AH23" s="2"/>
      <c r="AI23">
        <v>56</v>
      </c>
      <c r="AK23">
        <v>1</v>
      </c>
      <c r="AM23" t="s">
        <v>408</v>
      </c>
      <c r="AN23" t="s">
        <v>584</v>
      </c>
      <c r="AO23" t="s">
        <v>540</v>
      </c>
      <c r="AP23">
        <v>2</v>
      </c>
      <c r="AS23" s="2">
        <f>(SQRT(N23*U23)*POWER((MIN(P23,20)+SQRT(MAX(P23-20,0))),0.9)*Data!$B$1)*(1-(V23-1))</f>
        <v>42.456980398337514</v>
      </c>
      <c r="AT23" s="2">
        <v>15</v>
      </c>
      <c r="AU23" s="2">
        <f>((POWER((N23*N23*U23), 0.33)*LOG10(S23)*10*Data!$B$1)*V23)+AT23</f>
        <v>109.83849808071786</v>
      </c>
      <c r="AV23" s="2">
        <f t="shared" si="16"/>
        <v>54.838709677419352</v>
      </c>
      <c r="AW23" s="2">
        <f t="shared" si="17"/>
        <v>45.161290322580648</v>
      </c>
      <c r="AZ23" s="2">
        <v>2</v>
      </c>
      <c r="BA23" s="2">
        <v>3</v>
      </c>
      <c r="BB23" s="2">
        <f t="shared" si="18"/>
        <v>12</v>
      </c>
      <c r="BC23" s="2">
        <f t="shared" si="19"/>
        <v>36</v>
      </c>
      <c r="BD23" s="3"/>
      <c r="BE23" s="3"/>
      <c r="BF23" s="3"/>
      <c r="BG23" s="2" t="str">
        <f>CONCATENATE(
ROUND(BD23*VLOOKUP(L23,'ID Scheme'!$A$2:$E$7,3),0), "x",
ROUND(BE23*VLOOKUP(L23,'ID Scheme'!$A$2:$E$7,5),0), "x",
ROUND(BF23*VLOOKUP(L23,'ID Scheme'!$A$2:$E$7,4),0))</f>
        <v>0x0x0</v>
      </c>
    </row>
    <row r="24" spans="1:60" x14ac:dyDescent="0.25">
      <c r="A24" t="s">
        <v>6</v>
      </c>
      <c r="B24" t="s">
        <v>210</v>
      </c>
      <c r="C24" t="s">
        <v>348</v>
      </c>
      <c r="D24">
        <f>IF(H24 &gt; 2020, ((H24-2020)*4)+1610+J24,IF(H24 &gt; 1900, ((H24-1900)*10)+400+J24, ((H24-1730)*2)+J24))+VLOOKUP(L24,'ID Scheme'!$A$2:$B$7,2, FALSE)</f>
        <v>3801</v>
      </c>
      <c r="F24">
        <v>3801</v>
      </c>
      <c r="G24" t="s">
        <v>683</v>
      </c>
      <c r="H24">
        <v>1980</v>
      </c>
      <c r="I24">
        <v>1</v>
      </c>
      <c r="J24">
        <v>1</v>
      </c>
      <c r="K24" t="s">
        <v>522</v>
      </c>
      <c r="L24" t="s">
        <v>13</v>
      </c>
      <c r="M24" t="s">
        <v>501</v>
      </c>
      <c r="N24">
        <v>62</v>
      </c>
      <c r="O24">
        <v>20</v>
      </c>
      <c r="P24">
        <v>17</v>
      </c>
      <c r="Q24">
        <v>5</v>
      </c>
      <c r="R24">
        <v>11.5</v>
      </c>
      <c r="S24">
        <v>350</v>
      </c>
      <c r="T24">
        <v>20</v>
      </c>
      <c r="U24">
        <v>42</v>
      </c>
      <c r="V24">
        <v>1</v>
      </c>
      <c r="W24" t="s">
        <v>299</v>
      </c>
      <c r="X24">
        <v>-3</v>
      </c>
      <c r="Y24" s="2" t="s">
        <v>476</v>
      </c>
      <c r="Z24" s="2"/>
      <c r="AA24" s="2" t="s">
        <v>331</v>
      </c>
      <c r="AB24" s="2"/>
      <c r="AC24" s="2"/>
      <c r="AD24" s="2"/>
      <c r="AE24" s="2"/>
      <c r="AF24" s="2"/>
      <c r="AG24" s="2" t="s">
        <v>352</v>
      </c>
      <c r="AH24" s="2"/>
      <c r="AI24">
        <v>56</v>
      </c>
      <c r="AK24">
        <v>1</v>
      </c>
      <c r="AM24" t="s">
        <v>408</v>
      </c>
      <c r="AN24" t="s">
        <v>584</v>
      </c>
      <c r="AO24" t="s">
        <v>541</v>
      </c>
      <c r="AP24">
        <v>2</v>
      </c>
      <c r="AS24" s="2">
        <f>(SQRT(N24*U24)*POWER((MIN(P24,20)+SQRT(MAX(P24-20,0))),0.9)*Data!$B$1)*(1-(V24-1))</f>
        <v>49.010121885450587</v>
      </c>
      <c r="AT24" s="2"/>
      <c r="AU24" s="2">
        <f>((POWER((N24*N24*U24), 0.33)*LOG10(S24)*10*Data!$B$1)*V24)+AT24</f>
        <v>99.825332904493919</v>
      </c>
      <c r="AV24" s="2">
        <f t="shared" si="16"/>
        <v>50</v>
      </c>
      <c r="AW24" s="2">
        <f t="shared" si="17"/>
        <v>45.161290322580648</v>
      </c>
      <c r="AZ24" s="2">
        <v>2</v>
      </c>
      <c r="BA24" s="2">
        <v>3</v>
      </c>
      <c r="BB24" s="2">
        <f t="shared" si="18"/>
        <v>14</v>
      </c>
      <c r="BC24" s="2">
        <f t="shared" si="19"/>
        <v>42</v>
      </c>
      <c r="BD24" s="3"/>
      <c r="BE24" s="3"/>
      <c r="BF24" s="3"/>
      <c r="BG24" s="2" t="str">
        <f>CONCATENATE(
ROUND(BD24*VLOOKUP(L24,'ID Scheme'!$A$2:$E$7,3),0), "x",
ROUND(BE24*VLOOKUP(L24,'ID Scheme'!$A$2:$E$7,5),0), "x",
ROUND(BF24*VLOOKUP(L24,'ID Scheme'!$A$2:$E$7,4),0))</f>
        <v>0x0x0</v>
      </c>
    </row>
    <row r="25" spans="1:60" x14ac:dyDescent="0.25">
      <c r="A25" t="s">
        <v>355</v>
      </c>
      <c r="B25" t="s">
        <v>353</v>
      </c>
      <c r="C25" t="s">
        <v>349</v>
      </c>
      <c r="D25">
        <v>0</v>
      </c>
      <c r="F25">
        <v>-1</v>
      </c>
      <c r="Z25" t="s">
        <v>331</v>
      </c>
      <c r="AA25" t="s">
        <v>331</v>
      </c>
      <c r="AO25" t="s">
        <v>556</v>
      </c>
      <c r="AP25">
        <v>8</v>
      </c>
      <c r="AU25" s="2"/>
    </row>
    <row r="26" spans="1:60" x14ac:dyDescent="0.25">
      <c r="A26" t="s">
        <v>623</v>
      </c>
      <c r="B26" t="s">
        <v>624</v>
      </c>
      <c r="C26" t="s">
        <v>348</v>
      </c>
      <c r="D26">
        <v>3802</v>
      </c>
      <c r="F26">
        <v>3802</v>
      </c>
      <c r="G26" t="s">
        <v>683</v>
      </c>
      <c r="H26">
        <v>1980</v>
      </c>
      <c r="I26">
        <v>9</v>
      </c>
      <c r="J26">
        <v>2</v>
      </c>
      <c r="K26" t="s">
        <v>522</v>
      </c>
      <c r="L26" t="s">
        <v>13</v>
      </c>
      <c r="M26" t="s">
        <v>501</v>
      </c>
      <c r="N26">
        <v>60</v>
      </c>
      <c r="O26">
        <v>16</v>
      </c>
      <c r="P26">
        <v>18</v>
      </c>
      <c r="Q26">
        <v>5</v>
      </c>
      <c r="R26">
        <v>14</v>
      </c>
      <c r="S26">
        <v>380</v>
      </c>
      <c r="T26">
        <v>18</v>
      </c>
      <c r="U26">
        <v>45</v>
      </c>
      <c r="V26">
        <v>1</v>
      </c>
      <c r="W26" t="s">
        <v>295</v>
      </c>
      <c r="X26">
        <v>-3</v>
      </c>
      <c r="Y26" s="2" t="s">
        <v>625</v>
      </c>
      <c r="Z26" s="2"/>
      <c r="AA26" s="2" t="s">
        <v>331</v>
      </c>
      <c r="AB26" s="2"/>
      <c r="AC26" s="2"/>
      <c r="AD26" s="2"/>
      <c r="AE26" s="2"/>
      <c r="AF26" s="2"/>
      <c r="AG26" s="2" t="s">
        <v>353</v>
      </c>
      <c r="AH26" s="2"/>
      <c r="AI26">
        <v>56</v>
      </c>
      <c r="AK26">
        <v>1</v>
      </c>
      <c r="AM26" t="s">
        <v>408</v>
      </c>
      <c r="AN26" t="s">
        <v>626</v>
      </c>
      <c r="AO26" t="s">
        <v>627</v>
      </c>
      <c r="AP26">
        <v>6</v>
      </c>
      <c r="AS26" s="2">
        <v>52.539798162699419</v>
      </c>
      <c r="AT26" s="2"/>
      <c r="AU26" s="2">
        <v>101.34083892908721</v>
      </c>
      <c r="AV26" s="2">
        <f t="shared" ref="AV26" si="20">N26/1.24</f>
        <v>48.387096774193552</v>
      </c>
      <c r="AW26" s="2">
        <f t="shared" ref="AW26" si="21">AI26/1.24</f>
        <v>45.161290322580648</v>
      </c>
      <c r="AZ26" s="2">
        <v>2</v>
      </c>
      <c r="BA26" s="2">
        <v>3</v>
      </c>
      <c r="BB26" s="2">
        <f t="shared" ref="BB26" si="22">U26/BA26</f>
        <v>15</v>
      </c>
      <c r="BC26" s="2">
        <f t="shared" ref="BC26" si="23">(U26)/MAX(AZ26-1, 1)</f>
        <v>45</v>
      </c>
      <c r="BD26" s="3"/>
      <c r="BE26" s="3"/>
      <c r="BF26" s="3"/>
      <c r="BG26" s="2" t="s">
        <v>632</v>
      </c>
    </row>
    <row r="27" spans="1:60" x14ac:dyDescent="0.25">
      <c r="A27" t="s">
        <v>16</v>
      </c>
      <c r="B27" t="s">
        <v>230</v>
      </c>
      <c r="C27" t="s">
        <v>348</v>
      </c>
      <c r="D27">
        <f>IF(H27 &gt; 2020, ((H27-2020)*4)+1610+J27,IF(H27 &gt; 1900, ((H27-1900)*10)+400+J27, ((H27-1730)*2)+J27))+VLOOKUP(L27,'ID Scheme'!$A$2:$B$7,2, FALSE)</f>
        <v>3871</v>
      </c>
      <c r="F27">
        <v>3871</v>
      </c>
      <c r="G27" t="s">
        <v>683</v>
      </c>
      <c r="H27">
        <v>1987</v>
      </c>
      <c r="I27">
        <v>1</v>
      </c>
      <c r="J27">
        <v>1</v>
      </c>
      <c r="K27" t="s">
        <v>522</v>
      </c>
      <c r="L27" t="s">
        <v>13</v>
      </c>
      <c r="M27" t="s">
        <v>501</v>
      </c>
      <c r="N27">
        <v>65</v>
      </c>
      <c r="O27">
        <v>14</v>
      </c>
      <c r="P27">
        <v>15</v>
      </c>
      <c r="Q27">
        <v>5</v>
      </c>
      <c r="R27">
        <v>12</v>
      </c>
      <c r="S27">
        <v>420</v>
      </c>
      <c r="T27">
        <v>18</v>
      </c>
      <c r="U27">
        <v>45</v>
      </c>
      <c r="V27">
        <v>1</v>
      </c>
      <c r="W27" t="s">
        <v>299</v>
      </c>
      <c r="X27">
        <v>-3</v>
      </c>
      <c r="Y27" s="2" t="s">
        <v>467</v>
      </c>
      <c r="Z27" s="2"/>
      <c r="AA27" s="2" t="s">
        <v>331</v>
      </c>
      <c r="AB27" s="2"/>
      <c r="AC27" s="2"/>
      <c r="AD27" s="2"/>
      <c r="AE27" s="2"/>
      <c r="AF27" s="2"/>
      <c r="AG27" s="2" t="s">
        <v>353</v>
      </c>
      <c r="AH27" s="2"/>
      <c r="AI27">
        <v>56</v>
      </c>
      <c r="AK27">
        <v>1</v>
      </c>
      <c r="AM27" t="s">
        <v>408</v>
      </c>
      <c r="AN27" t="s">
        <v>584</v>
      </c>
      <c r="AO27" t="s">
        <v>542</v>
      </c>
      <c r="AP27">
        <v>2</v>
      </c>
      <c r="AS27" s="2">
        <f>(SQRT(N27*U27)*POWER((MIN(P27,20)+SQRT(MAX(P27-20,0))),0.9)*Data!$B$1)*(1-(V27-1))</f>
        <v>46.409440397444101</v>
      </c>
      <c r="AT27" s="2"/>
      <c r="AU27" s="2">
        <f>((POWER((N27*N27*U27), 0.33)*LOG10(S27)*10*Data!$B$1)*V27)+AT27</f>
        <v>108.63850295590133</v>
      </c>
      <c r="AV27" s="2">
        <f>N27/1.24</f>
        <v>52.41935483870968</v>
      </c>
      <c r="AW27" s="2">
        <f>AI27/1.24</f>
        <v>45.161290322580648</v>
      </c>
      <c r="AZ27" s="2">
        <v>2</v>
      </c>
      <c r="BA27" s="2">
        <v>3</v>
      </c>
      <c r="BB27" s="2">
        <f>U27/BA27</f>
        <v>15</v>
      </c>
      <c r="BC27" s="2">
        <f>(U27)/MAX(AZ27-1, 1)</f>
        <v>45</v>
      </c>
      <c r="BD27" s="3"/>
      <c r="BE27" s="3"/>
      <c r="BF27" s="3"/>
      <c r="BG27" s="2" t="str">
        <f>CONCATENATE(
ROUND(BD27*VLOOKUP(L27,'ID Scheme'!$A$2:$E$7,3),0), "x",
ROUND(BE27*VLOOKUP(L27,'ID Scheme'!$A$2:$E$7,5),0), "x",
ROUND(BF27*VLOOKUP(L27,'ID Scheme'!$A$2:$E$7,4),0))</f>
        <v>0x0x0</v>
      </c>
    </row>
    <row r="28" spans="1:60" x14ac:dyDescent="0.25">
      <c r="A28" t="s">
        <v>17</v>
      </c>
      <c r="B28" t="s">
        <v>231</v>
      </c>
      <c r="C28" t="s">
        <v>348</v>
      </c>
      <c r="D28">
        <f>IF(H28 &gt; 2020, ((H28-2020)*4)+1610+J28,IF(H28 &gt; 1900, ((H28-1900)*10)+400+J28, ((H28-1730)*2)+J28))+VLOOKUP(L28,'ID Scheme'!$A$2:$B$7,2, FALSE)</f>
        <v>3951</v>
      </c>
      <c r="F28">
        <v>3951</v>
      </c>
      <c r="G28" t="s">
        <v>683</v>
      </c>
      <c r="H28">
        <v>1995</v>
      </c>
      <c r="I28">
        <v>6</v>
      </c>
      <c r="J28">
        <v>1</v>
      </c>
      <c r="K28" t="s">
        <v>522</v>
      </c>
      <c r="L28" t="s">
        <v>13</v>
      </c>
      <c r="M28" t="s">
        <v>501</v>
      </c>
      <c r="N28">
        <v>68</v>
      </c>
      <c r="O28">
        <v>12</v>
      </c>
      <c r="P28">
        <v>15</v>
      </c>
      <c r="Q28">
        <v>5</v>
      </c>
      <c r="R28">
        <v>12.5</v>
      </c>
      <c r="S28">
        <v>420</v>
      </c>
      <c r="T28">
        <v>20</v>
      </c>
      <c r="U28">
        <v>48</v>
      </c>
      <c r="V28">
        <v>1</v>
      </c>
      <c r="W28" t="s">
        <v>299</v>
      </c>
      <c r="X28">
        <v>-3</v>
      </c>
      <c r="Y28" s="2" t="s">
        <v>468</v>
      </c>
      <c r="Z28" s="2"/>
      <c r="AA28" s="2" t="s">
        <v>331</v>
      </c>
      <c r="AB28" s="2"/>
      <c r="AC28" s="2"/>
      <c r="AD28" s="2"/>
      <c r="AE28" s="2"/>
      <c r="AF28" s="2"/>
      <c r="AG28" s="2" t="s">
        <v>353</v>
      </c>
      <c r="AH28" s="2"/>
      <c r="AI28">
        <v>56</v>
      </c>
      <c r="AK28">
        <v>1</v>
      </c>
      <c r="AM28" t="s">
        <v>408</v>
      </c>
      <c r="AN28" t="s">
        <v>584</v>
      </c>
      <c r="AO28" t="s">
        <v>543</v>
      </c>
      <c r="AP28">
        <v>2</v>
      </c>
      <c r="AS28" s="2">
        <f>(SQRT(N28*U28)*POWER((MIN(P28,20)+SQRT(MAX(P28-20,0))),0.9)*Data!$B$1)*(1-(V28-1))</f>
        <v>49.025098123917665</v>
      </c>
      <c r="AT28" s="2"/>
      <c r="AU28" s="2">
        <f>((POWER((N28*N28*U28), 0.33)*LOG10(S28)*10*Data!$B$1)*V28)+AT28</f>
        <v>114.33160972754995</v>
      </c>
      <c r="AV28" s="2">
        <f>N28/1.24</f>
        <v>54.838709677419352</v>
      </c>
      <c r="AW28" s="2">
        <f>AI28/1.24</f>
        <v>45.161290322580648</v>
      </c>
      <c r="AZ28" s="2">
        <v>2</v>
      </c>
      <c r="BA28" s="2">
        <v>3</v>
      </c>
      <c r="BB28" s="2">
        <f>U28/BA28</f>
        <v>16</v>
      </c>
      <c r="BC28" s="2">
        <f>(U28)/MAX(AZ28-1, 1)</f>
        <v>48</v>
      </c>
      <c r="BD28" s="3"/>
      <c r="BE28" s="3"/>
      <c r="BF28" s="3"/>
      <c r="BG28" s="2" t="str">
        <f>CONCATENATE(
ROUND(BD28*VLOOKUP(L28,'ID Scheme'!$A$2:$E$7,3),0), "x",
ROUND(BE28*VLOOKUP(L28,'ID Scheme'!$A$2:$E$7,5),0), "x",
ROUND(BF28*VLOOKUP(L28,'ID Scheme'!$A$2:$E$7,4),0))</f>
        <v>0x0x0</v>
      </c>
    </row>
    <row r="29" spans="1:60" x14ac:dyDescent="0.25">
      <c r="A29" t="s">
        <v>18</v>
      </c>
      <c r="B29" t="s">
        <v>232</v>
      </c>
      <c r="C29" t="s">
        <v>348</v>
      </c>
      <c r="D29">
        <f>IF(H29 &gt; 2020, ((H29-2020)*4)+1610+J29,IF(H29 &gt; 1900, ((H29-1900)*10)+400+J29, ((H29-1730)*2)+J29))+VLOOKUP(L29,'ID Scheme'!$A$2:$B$7,2, FALSE)</f>
        <v>4041</v>
      </c>
      <c r="F29">
        <v>4041</v>
      </c>
      <c r="G29" t="s">
        <v>683</v>
      </c>
      <c r="H29">
        <v>2004</v>
      </c>
      <c r="I29">
        <v>6</v>
      </c>
      <c r="J29">
        <v>1</v>
      </c>
      <c r="K29" t="s">
        <v>522</v>
      </c>
      <c r="L29" t="s">
        <v>13</v>
      </c>
      <c r="M29" t="s">
        <v>501</v>
      </c>
      <c r="N29">
        <v>72</v>
      </c>
      <c r="O29">
        <v>-1</v>
      </c>
      <c r="P29">
        <v>15</v>
      </c>
      <c r="Q29">
        <v>5</v>
      </c>
      <c r="R29">
        <v>12.5</v>
      </c>
      <c r="S29">
        <v>580</v>
      </c>
      <c r="T29">
        <v>20</v>
      </c>
      <c r="U29">
        <v>54</v>
      </c>
      <c r="V29">
        <v>1</v>
      </c>
      <c r="W29" t="s">
        <v>299</v>
      </c>
      <c r="X29">
        <v>-3</v>
      </c>
      <c r="Y29" s="2" t="s">
        <v>463</v>
      </c>
      <c r="Z29" s="2"/>
      <c r="AA29" s="2" t="s">
        <v>331</v>
      </c>
      <c r="AB29" s="2"/>
      <c r="AC29" s="2"/>
      <c r="AD29" s="2"/>
      <c r="AE29" s="2"/>
      <c r="AF29" s="2"/>
      <c r="AG29" s="2" t="s">
        <v>353</v>
      </c>
      <c r="AH29" s="2"/>
      <c r="AI29">
        <v>56</v>
      </c>
      <c r="AK29">
        <v>1</v>
      </c>
      <c r="AM29" t="s">
        <v>408</v>
      </c>
      <c r="AN29" t="s">
        <v>584</v>
      </c>
      <c r="AO29" t="s">
        <v>544</v>
      </c>
      <c r="AP29">
        <v>2</v>
      </c>
      <c r="AS29" s="2">
        <f>(SQRT(N29*U29)*POWER((MIN(P29,20)+SQRT(MAX(P29-20,0))),0.9)*Data!$B$1)*(1-(V29-1))</f>
        <v>53.506497671783663</v>
      </c>
      <c r="AT29" s="2"/>
      <c r="AU29" s="2">
        <f>((POWER((N29*N29*U29), 0.33)*LOG10(S29)*10*Data!$B$1)*V29)+AT29</f>
        <v>130.02857541304473</v>
      </c>
      <c r="AV29" s="2">
        <f>N29/1.24</f>
        <v>58.064516129032256</v>
      </c>
      <c r="AW29" s="2">
        <f>AI29/1.24</f>
        <v>45.161290322580648</v>
      </c>
      <c r="AZ29" s="2">
        <v>2</v>
      </c>
      <c r="BA29" s="2">
        <v>3</v>
      </c>
      <c r="BB29" s="2">
        <f>U29/BA29</f>
        <v>18</v>
      </c>
      <c r="BC29" s="2">
        <f>(U29)/MAX(AZ29-1, 1)</f>
        <v>54</v>
      </c>
      <c r="BD29" s="3"/>
      <c r="BE29" s="3"/>
      <c r="BF29" s="3"/>
      <c r="BG29" s="2" t="str">
        <f>CONCATENATE(
ROUND(BD29*VLOOKUP(L29,'ID Scheme'!$A$2:$E$7,3),0), "x",
ROUND(BE29*VLOOKUP(L29,'ID Scheme'!$A$2:$E$7,5),0), "x",
ROUND(BF29*VLOOKUP(L29,'ID Scheme'!$A$2:$E$7,4),0))</f>
        <v>0x0x0</v>
      </c>
    </row>
    <row r="30" spans="1:60" x14ac:dyDescent="0.25">
      <c r="A30" t="s">
        <v>84</v>
      </c>
      <c r="B30" t="s">
        <v>215</v>
      </c>
      <c r="C30" t="s">
        <v>348</v>
      </c>
      <c r="D30">
        <f>IF(H30 &gt; 2020, ((H30-2020)*4)+1610+J30,IF(H30 &gt; 1900, ((H30-1900)*10)+400+J30, ((H30-1730)*2)+J30))+VLOOKUP(L30,'ID Scheme'!$A$2:$B$7,2, FALSE)</f>
        <v>4011</v>
      </c>
      <c r="F30">
        <v>4011</v>
      </c>
      <c r="G30" t="s">
        <v>683</v>
      </c>
      <c r="H30">
        <v>2001</v>
      </c>
      <c r="I30">
        <v>1</v>
      </c>
      <c r="J30">
        <v>1</v>
      </c>
      <c r="K30" t="s">
        <v>522</v>
      </c>
      <c r="L30" t="s">
        <v>13</v>
      </c>
      <c r="M30" t="s">
        <v>501</v>
      </c>
      <c r="N30">
        <v>70</v>
      </c>
      <c r="O30">
        <v>14</v>
      </c>
      <c r="P30">
        <v>14</v>
      </c>
      <c r="Q30">
        <v>5</v>
      </c>
      <c r="R30">
        <v>12.5</v>
      </c>
      <c r="S30">
        <v>440</v>
      </c>
      <c r="T30">
        <v>20</v>
      </c>
      <c r="U30">
        <v>51</v>
      </c>
      <c r="V30">
        <v>0.97</v>
      </c>
      <c r="W30" t="s">
        <v>289</v>
      </c>
      <c r="X30">
        <v>-3</v>
      </c>
      <c r="Y30" s="2" t="s">
        <v>465</v>
      </c>
      <c r="Z30" s="2"/>
      <c r="AA30" s="2" t="s">
        <v>331</v>
      </c>
      <c r="AB30" s="2"/>
      <c r="AC30" s="2"/>
      <c r="AD30" s="2"/>
      <c r="AE30" s="2"/>
      <c r="AF30" s="2"/>
      <c r="AG30" s="2" t="s">
        <v>353</v>
      </c>
      <c r="AH30" s="2"/>
      <c r="AI30">
        <v>56</v>
      </c>
      <c r="AK30">
        <v>1</v>
      </c>
      <c r="AM30" t="s">
        <v>408</v>
      </c>
      <c r="AN30" t="s">
        <v>584</v>
      </c>
      <c r="AO30" t="s">
        <v>545</v>
      </c>
      <c r="AP30">
        <v>2</v>
      </c>
      <c r="AS30" s="2">
        <f>(SQRT(N30*U30)*POWER((MIN(P30,20)+SQRT(MAX(P30-20,0))),0.9)*Data!$B$1)*(1-(V30-1))</f>
        <v>49.630406036450424</v>
      </c>
      <c r="AT30" s="2"/>
      <c r="AU30" s="2">
        <f>((POWER((N30*N30*U30), 0.33)*LOG10(S30)*10*Data!$B$1)*V30)+AT30</f>
        <v>116.21639568567561</v>
      </c>
      <c r="AV30" s="2">
        <f>N30/1.24</f>
        <v>56.451612903225808</v>
      </c>
      <c r="AW30" s="2">
        <f>AI30/1.24</f>
        <v>45.161290322580648</v>
      </c>
      <c r="AZ30" s="2">
        <v>2</v>
      </c>
      <c r="BA30" s="2">
        <v>3</v>
      </c>
      <c r="BB30" s="2">
        <f>U30/BA30</f>
        <v>17</v>
      </c>
      <c r="BC30" s="2">
        <f>(U30)/MAX(AZ30-1, 1)</f>
        <v>51</v>
      </c>
      <c r="BD30" s="3"/>
      <c r="BE30" s="3"/>
      <c r="BF30" s="3"/>
      <c r="BG30" s="2" t="str">
        <f>CONCATENATE(
ROUND(BD30*VLOOKUP(L30,'ID Scheme'!$A$2:$E$7,3),0), "x",
ROUND(BE30*VLOOKUP(L30,'ID Scheme'!$A$2:$E$7,5),0), "x",
ROUND(BF30*VLOOKUP(L30,'ID Scheme'!$A$2:$E$7,4),0))</f>
        <v>0x0x0</v>
      </c>
    </row>
    <row r="31" spans="1:60" x14ac:dyDescent="0.25">
      <c r="A31" t="s">
        <v>102</v>
      </c>
      <c r="B31" t="s">
        <v>223</v>
      </c>
      <c r="C31" t="s">
        <v>348</v>
      </c>
      <c r="D31">
        <f>IF(H31 &gt; 2020, ((H31-2020)*4)+1610+J31,IF(H31 &gt; 1900, ((H31-1900)*10)+400+J31, ((H31-1730)*2)+J31))+VLOOKUP(L31,'ID Scheme'!$A$2:$B$7,2, FALSE)</f>
        <v>4052</v>
      </c>
      <c r="F31">
        <v>4052</v>
      </c>
      <c r="G31" t="s">
        <v>683</v>
      </c>
      <c r="H31">
        <v>2005</v>
      </c>
      <c r="I31">
        <v>6</v>
      </c>
      <c r="J31">
        <v>2</v>
      </c>
      <c r="K31" t="s">
        <v>522</v>
      </c>
      <c r="L31" t="s">
        <v>13</v>
      </c>
      <c r="M31" t="s">
        <v>501</v>
      </c>
      <c r="N31">
        <v>70</v>
      </c>
      <c r="O31">
        <v>-1</v>
      </c>
      <c r="P31">
        <v>18</v>
      </c>
      <c r="Q31">
        <v>5</v>
      </c>
      <c r="R31">
        <v>12</v>
      </c>
      <c r="S31">
        <v>380</v>
      </c>
      <c r="T31">
        <v>20</v>
      </c>
      <c r="U31">
        <v>54</v>
      </c>
      <c r="V31">
        <v>1</v>
      </c>
      <c r="W31" t="s">
        <v>295</v>
      </c>
      <c r="X31">
        <v>-3</v>
      </c>
      <c r="Y31" s="2" t="s">
        <v>461</v>
      </c>
      <c r="Z31" s="2"/>
      <c r="AA31" s="2" t="s">
        <v>331</v>
      </c>
      <c r="AB31" s="2"/>
      <c r="AC31" s="2"/>
      <c r="AD31" s="2"/>
      <c r="AE31" s="2"/>
      <c r="AF31" s="2"/>
      <c r="AG31" s="2" t="s">
        <v>353</v>
      </c>
      <c r="AH31" s="2"/>
      <c r="AI31">
        <v>56</v>
      </c>
      <c r="AK31">
        <v>1</v>
      </c>
      <c r="AM31" t="s">
        <v>408</v>
      </c>
      <c r="AN31" t="s">
        <v>584</v>
      </c>
      <c r="AO31" t="s">
        <v>546</v>
      </c>
      <c r="AP31">
        <v>2</v>
      </c>
      <c r="AS31" s="2">
        <f>(SQRT(N31*U31)*POWER((MIN(P31,20)+SQRT(MAX(P31-20,0))),0.9)*Data!$B$1)*(1-(V31-1))</f>
        <v>62.165927543696078</v>
      </c>
      <c r="AT31" s="2"/>
      <c r="AU31" s="2">
        <f>((POWER((N31*N31*U31), 0.33)*LOG10(S31)*10*Data!$B$1)*V31)+AT31</f>
        <v>119.15141041758832</v>
      </c>
      <c r="AV31" s="2">
        <f>N31/1.24</f>
        <v>56.451612903225808</v>
      </c>
      <c r="AW31" s="2">
        <f>AI31/1.24</f>
        <v>45.161290322580648</v>
      </c>
      <c r="AZ31" s="2">
        <v>2</v>
      </c>
      <c r="BA31" s="2">
        <v>3</v>
      </c>
      <c r="BB31" s="2">
        <f>U31/BA31</f>
        <v>18</v>
      </c>
      <c r="BC31" s="2">
        <f>(U31)/MAX(AZ31-1, 1)</f>
        <v>54</v>
      </c>
      <c r="BF31" s="3"/>
      <c r="BG31" s="2" t="str">
        <f>CONCATENATE(
ROUND(BD31*VLOOKUP(L31,'ID Scheme'!$A$2:$E$7,3),0), "x",
ROUND(BE31*VLOOKUP(L31,'ID Scheme'!$A$2:$E$7,5),0), "x",
ROUND(BF31*VLOOKUP(L31,'ID Scheme'!$A$2:$E$7,4),0))</f>
        <v>0x0x0</v>
      </c>
      <c r="BH31" t="s">
        <v>103</v>
      </c>
    </row>
    <row r="32" spans="1:60" x14ac:dyDescent="0.25">
      <c r="A32" t="s">
        <v>670</v>
      </c>
      <c r="B32" t="s">
        <v>671</v>
      </c>
      <c r="C32" t="s">
        <v>349</v>
      </c>
      <c r="D32">
        <v>0</v>
      </c>
      <c r="F32">
        <v>-1</v>
      </c>
      <c r="Z32" t="s">
        <v>331</v>
      </c>
      <c r="AA32" t="s">
        <v>331</v>
      </c>
      <c r="AO32" t="s">
        <v>672</v>
      </c>
      <c r="AP32">
        <v>8</v>
      </c>
      <c r="AU32" s="2"/>
    </row>
    <row r="33" spans="1:60" x14ac:dyDescent="0.25">
      <c r="A33" t="s">
        <v>673</v>
      </c>
      <c r="B33" t="s">
        <v>674</v>
      </c>
      <c r="C33" t="s">
        <v>348</v>
      </c>
      <c r="D33">
        <f>IF(H33 &gt; 2020, ((H33-2020)*4)+1610+J33,IF(H33 &gt; 1900, ((H33-1900)*10)+400+J33, ((H33-1730)*2)+J33))+VLOOKUP(L33,'ID Scheme'!$A$2:$B$7,2, FALSE)</f>
        <v>4215</v>
      </c>
      <c r="F33">
        <v>4215</v>
      </c>
      <c r="G33" t="s">
        <v>683</v>
      </c>
      <c r="H33">
        <v>2021</v>
      </c>
      <c r="I33">
        <v>11</v>
      </c>
      <c r="J33">
        <v>1</v>
      </c>
      <c r="K33" t="s">
        <v>522</v>
      </c>
      <c r="L33" t="s">
        <v>13</v>
      </c>
      <c r="M33" t="s">
        <v>501</v>
      </c>
      <c r="N33">
        <v>74</v>
      </c>
      <c r="O33">
        <v>-1</v>
      </c>
      <c r="P33">
        <v>18</v>
      </c>
      <c r="Q33">
        <v>5</v>
      </c>
      <c r="R33">
        <v>12</v>
      </c>
      <c r="S33">
        <v>460</v>
      </c>
      <c r="T33">
        <v>20</v>
      </c>
      <c r="U33">
        <v>54</v>
      </c>
      <c r="V33">
        <v>0.95</v>
      </c>
      <c r="W33" t="s">
        <v>289</v>
      </c>
      <c r="X33">
        <v>-3</v>
      </c>
      <c r="Y33" s="2" t="s">
        <v>675</v>
      </c>
      <c r="Z33" s="2"/>
      <c r="AA33" s="2" t="s">
        <v>331</v>
      </c>
      <c r="AB33" s="2"/>
      <c r="AC33" s="2"/>
      <c r="AD33" s="2"/>
      <c r="AE33" s="2"/>
      <c r="AF33" s="2"/>
      <c r="AG33" s="2" t="s">
        <v>671</v>
      </c>
      <c r="AH33" s="2"/>
      <c r="AI33">
        <v>56</v>
      </c>
      <c r="AK33">
        <v>1</v>
      </c>
      <c r="AM33" t="s">
        <v>408</v>
      </c>
      <c r="AN33" t="s">
        <v>584</v>
      </c>
      <c r="AO33" t="s">
        <v>677</v>
      </c>
      <c r="AP33">
        <v>2</v>
      </c>
      <c r="AS33" s="2">
        <f>(SQRT(N33*U33)*POWER((MIN(P33,20)+SQRT(MAX(P33-20,0))),0.9)*Data!$B$1)*(1-(V33-1))</f>
        <v>67.113294278834843</v>
      </c>
      <c r="AT33" s="2"/>
      <c r="AU33" s="2">
        <f>((POWER((N33*N33*U33), 0.33)*LOG10(S33)*10*Data!$B$1)*V33)+AT33</f>
        <v>121.19910566167707</v>
      </c>
      <c r="AV33" s="2">
        <f>N33/1.24</f>
        <v>59.677419354838712</v>
      </c>
      <c r="AW33" s="2">
        <f>AI33/1.24</f>
        <v>45.161290322580648</v>
      </c>
      <c r="AZ33" s="2">
        <v>2</v>
      </c>
      <c r="BA33" s="2">
        <v>3</v>
      </c>
      <c r="BB33" s="2">
        <f>U33/BA33</f>
        <v>18</v>
      </c>
      <c r="BC33" s="2">
        <f>(U33)/MAX(AZ33-1, 1)</f>
        <v>54</v>
      </c>
      <c r="BF33" s="3"/>
      <c r="BG33" s="2" t="str">
        <f>CONCATENATE(
ROUND(BD33*VLOOKUP(L33,'ID Scheme'!$A$2:$E$7,3),0), "x",
ROUND(BE33*VLOOKUP(L33,'ID Scheme'!$A$2:$E$7,5),0), "x",
ROUND(BF33*VLOOKUP(L33,'ID Scheme'!$A$2:$E$7,4),0))</f>
        <v>0x0x0</v>
      </c>
      <c r="BH33" t="s">
        <v>676</v>
      </c>
    </row>
    <row r="34" spans="1:60" x14ac:dyDescent="0.25">
      <c r="A34" t="s">
        <v>585</v>
      </c>
      <c r="B34" t="s">
        <v>588</v>
      </c>
      <c r="C34" t="s">
        <v>349</v>
      </c>
      <c r="D34">
        <v>0</v>
      </c>
      <c r="F34">
        <v>-1</v>
      </c>
      <c r="AD34" t="s">
        <v>331</v>
      </c>
      <c r="AE34" t="s">
        <v>331</v>
      </c>
      <c r="AO34" t="s">
        <v>565</v>
      </c>
      <c r="AP34">
        <v>4</v>
      </c>
      <c r="AU34" s="2"/>
    </row>
    <row r="35" spans="1:60" x14ac:dyDescent="0.25">
      <c r="A35" t="s">
        <v>586</v>
      </c>
      <c r="B35" t="s">
        <v>589</v>
      </c>
      <c r="C35" t="s">
        <v>348</v>
      </c>
      <c r="D35">
        <f>IF(H35 &gt; 2020, ((H35-2020)*4)+1610+J35,IF(H35 &gt; 1900, ((H35-1900)*10)+400+J35, ((H35-1730)*2)+J35))+VLOOKUP(L35,'ID Scheme'!$A$2:$B$7,2, FALSE)</f>
        <v>2541</v>
      </c>
      <c r="F35">
        <v>2541</v>
      </c>
      <c r="G35" t="s">
        <v>683</v>
      </c>
      <c r="H35">
        <v>1700</v>
      </c>
      <c r="I35">
        <v>1</v>
      </c>
      <c r="J35">
        <v>1</v>
      </c>
      <c r="K35" t="s">
        <v>522</v>
      </c>
      <c r="L35" t="s">
        <v>13</v>
      </c>
      <c r="M35" t="s">
        <v>508</v>
      </c>
      <c r="N35">
        <v>15</v>
      </c>
      <c r="O35">
        <v>200</v>
      </c>
      <c r="P35">
        <v>12</v>
      </c>
      <c r="Q35">
        <v>4</v>
      </c>
      <c r="R35">
        <v>1</v>
      </c>
      <c r="S35">
        <v>10</v>
      </c>
      <c r="T35">
        <v>20</v>
      </c>
      <c r="U35">
        <v>8</v>
      </c>
      <c r="V35">
        <v>1</v>
      </c>
      <c r="W35" t="s">
        <v>287</v>
      </c>
      <c r="Y35" s="2" t="s">
        <v>590</v>
      </c>
      <c r="Z35" s="2"/>
      <c r="AA35" s="2"/>
      <c r="AB35" s="2"/>
      <c r="AC35" s="2"/>
      <c r="AD35" s="2" t="s">
        <v>331</v>
      </c>
      <c r="AE35" s="2" t="s">
        <v>331</v>
      </c>
      <c r="AF35" s="2"/>
      <c r="AG35" t="s">
        <v>588</v>
      </c>
      <c r="AH35" s="2"/>
      <c r="AM35" t="s">
        <v>403</v>
      </c>
      <c r="AN35" t="s">
        <v>592</v>
      </c>
      <c r="AO35" t="s">
        <v>591</v>
      </c>
      <c r="AP35">
        <v>5</v>
      </c>
      <c r="AR35" t="s">
        <v>287</v>
      </c>
      <c r="AS35" s="2">
        <f>(SQRT(N35*U35)*POWER((MIN(P35,20)+SQRT(MAX(P35-20,0))),0.9)*Data!$B$1)*(1-(V35-1))</f>
        <v>7.6897993492691086</v>
      </c>
      <c r="AT35" s="2"/>
      <c r="AU35" s="2">
        <f>((POWER((N35*N35*U35), 0.33)*LOG10(S35)*10*Data!$B$1)*V35)+AT35</f>
        <v>8.8981800674996272</v>
      </c>
      <c r="AV35" s="2">
        <f>N35/1.24</f>
        <v>12.096774193548388</v>
      </c>
      <c r="AW35" s="2">
        <f>AI35/1.24</f>
        <v>0</v>
      </c>
      <c r="AZ35" s="2">
        <v>2</v>
      </c>
      <c r="BA35" s="2">
        <v>2</v>
      </c>
      <c r="BB35" s="2">
        <f>U35/BA35</f>
        <v>4</v>
      </c>
      <c r="BC35" s="2">
        <f>(U35)/MAX(AZ35-1, 1)</f>
        <v>8</v>
      </c>
      <c r="BD35" s="3"/>
      <c r="BE35" s="3"/>
      <c r="BF35" s="3"/>
      <c r="BG35" s="2" t="str">
        <f>CONCATENATE(
ROUND(BD35*VLOOKUP(L35,'ID Scheme'!$A$2:$E$7,3),0), "x",
ROUND(BE35*VLOOKUP(L35,'ID Scheme'!$A$2:$E$7,5),0), "x",
ROUND(BF35*VLOOKUP(L35,'ID Scheme'!$A$2:$E$7,4),0))</f>
        <v>0x0x0</v>
      </c>
    </row>
    <row r="36" spans="1:60" x14ac:dyDescent="0.25">
      <c r="A36" t="s">
        <v>409</v>
      </c>
      <c r="B36" t="s">
        <v>410</v>
      </c>
      <c r="C36" t="s">
        <v>349</v>
      </c>
      <c r="D36">
        <v>0</v>
      </c>
      <c r="F36">
        <v>-1</v>
      </c>
      <c r="AD36" t="s">
        <v>331</v>
      </c>
      <c r="AE36" t="s">
        <v>331</v>
      </c>
      <c r="AO36" t="s">
        <v>410</v>
      </c>
      <c r="AP36">
        <v>4</v>
      </c>
      <c r="AU36" s="2"/>
    </row>
    <row r="37" spans="1:60" x14ac:dyDescent="0.25">
      <c r="A37" t="s">
        <v>347</v>
      </c>
      <c r="B37" t="s">
        <v>193</v>
      </c>
      <c r="C37" t="s">
        <v>348</v>
      </c>
      <c r="D37">
        <f>IF(H37 &gt; 2020, ((H37-2020)*4)+1610+J37,IF(H37 &gt; 1900, ((H37-1900)*10)+400+J37, ((H37-1730)*2)+J37))+VLOOKUP(L37,'ID Scheme'!$A$2:$B$7,2, FALSE)</f>
        <v>2741</v>
      </c>
      <c r="F37">
        <v>2741</v>
      </c>
      <c r="G37" t="s">
        <v>683</v>
      </c>
      <c r="H37">
        <v>1800</v>
      </c>
      <c r="I37">
        <v>1</v>
      </c>
      <c r="J37">
        <v>1</v>
      </c>
      <c r="K37" t="s">
        <v>522</v>
      </c>
      <c r="L37" t="s">
        <v>13</v>
      </c>
      <c r="M37" t="s">
        <v>508</v>
      </c>
      <c r="N37">
        <v>16</v>
      </c>
      <c r="O37">
        <v>120</v>
      </c>
      <c r="P37">
        <v>12</v>
      </c>
      <c r="Q37">
        <v>4</v>
      </c>
      <c r="R37">
        <v>1</v>
      </c>
      <c r="S37">
        <v>15</v>
      </c>
      <c r="T37">
        <v>20</v>
      </c>
      <c r="U37">
        <v>12</v>
      </c>
      <c r="V37">
        <v>1</v>
      </c>
      <c r="W37" t="s">
        <v>287</v>
      </c>
      <c r="Y37" s="2" t="s">
        <v>345</v>
      </c>
      <c r="Z37" s="2"/>
      <c r="AA37" s="2"/>
      <c r="AB37" s="2"/>
      <c r="AC37" s="2"/>
      <c r="AD37" s="2" t="s">
        <v>331</v>
      </c>
      <c r="AE37" s="2" t="s">
        <v>331</v>
      </c>
      <c r="AF37" s="2"/>
      <c r="AG37" s="2" t="s">
        <v>410</v>
      </c>
      <c r="AH37" s="2"/>
      <c r="AM37" t="s">
        <v>403</v>
      </c>
      <c r="AN37" t="s">
        <v>515</v>
      </c>
      <c r="AO37" t="s">
        <v>559</v>
      </c>
      <c r="AP37">
        <v>5</v>
      </c>
      <c r="AR37" t="s">
        <v>276</v>
      </c>
      <c r="AS37" s="2">
        <f>(SQRT(N37*U37)*POWER((MIN(P37,20)+SQRT(MAX(P37-20,0))),0.9)*Data!$B$1)*(1-(V37-1))</f>
        <v>9.7269122773484167</v>
      </c>
      <c r="AT37" s="2"/>
      <c r="AU37" s="2">
        <f>((POWER((N37*N37*U37), 0.33)*LOG10(S37)*10*Data!$B$1)*V37)+AT37</f>
        <v>12.483928865764204</v>
      </c>
      <c r="AV37" s="2">
        <f>N37/1.24</f>
        <v>12.903225806451614</v>
      </c>
      <c r="AW37" s="2">
        <f>AI37/1.24</f>
        <v>0</v>
      </c>
      <c r="AZ37" s="2">
        <v>2</v>
      </c>
      <c r="BA37" s="2">
        <v>2</v>
      </c>
      <c r="BB37" s="2">
        <f>U37/BA37</f>
        <v>6</v>
      </c>
      <c r="BC37" s="2">
        <f>(U37)/MAX(AZ37-1, 1)</f>
        <v>12</v>
      </c>
      <c r="BD37" s="3"/>
      <c r="BE37" s="3"/>
      <c r="BF37" s="3"/>
      <c r="BG37" s="2" t="str">
        <f>CONCATENATE(
ROUND(BD37*VLOOKUP(L37,'ID Scheme'!$A$2:$E$7,3),0), "x",
ROUND(BE37*VLOOKUP(L37,'ID Scheme'!$A$2:$E$7,5),0), "x",
ROUND(BF37*VLOOKUP(L37,'ID Scheme'!$A$2:$E$7,4),0))</f>
        <v>0x0x0</v>
      </c>
    </row>
    <row r="38" spans="1:60" x14ac:dyDescent="0.25">
      <c r="A38" t="s">
        <v>566</v>
      </c>
      <c r="B38" t="s">
        <v>564</v>
      </c>
      <c r="C38" t="s">
        <v>349</v>
      </c>
      <c r="D38">
        <v>0</v>
      </c>
      <c r="F38">
        <v>-1</v>
      </c>
      <c r="Z38" t="s">
        <v>331</v>
      </c>
      <c r="AD38" t="s">
        <v>331</v>
      </c>
      <c r="AE38" t="s">
        <v>331</v>
      </c>
      <c r="AO38" t="s">
        <v>565</v>
      </c>
      <c r="AP38">
        <v>4</v>
      </c>
      <c r="AU38" s="2"/>
    </row>
    <row r="39" spans="1:60" x14ac:dyDescent="0.25">
      <c r="A39" t="s">
        <v>567</v>
      </c>
      <c r="B39" t="s">
        <v>568</v>
      </c>
      <c r="C39" t="s">
        <v>348</v>
      </c>
      <c r="D39">
        <f>IF(H39 &gt; 2020, ((H39-2020)*4)+1610+J39,IF(H39 &gt; 1900, ((H39-1900)*10)+400+J39, ((H39-1730)*2)+J39))+VLOOKUP(L39,'ID Scheme'!$A$2:$B$7,2, FALSE)</f>
        <v>2925</v>
      </c>
      <c r="F39">
        <v>2925</v>
      </c>
      <c r="G39" t="s">
        <v>683</v>
      </c>
      <c r="H39">
        <v>1892</v>
      </c>
      <c r="I39">
        <v>6</v>
      </c>
      <c r="J39">
        <v>1</v>
      </c>
      <c r="K39" t="s">
        <v>522</v>
      </c>
      <c r="L39" t="s">
        <v>13</v>
      </c>
      <c r="M39" t="s">
        <v>508</v>
      </c>
      <c r="N39">
        <v>18</v>
      </c>
      <c r="O39">
        <v>35</v>
      </c>
      <c r="P39">
        <v>12</v>
      </c>
      <c r="Q39">
        <v>4</v>
      </c>
      <c r="R39">
        <v>1</v>
      </c>
      <c r="S39">
        <v>15</v>
      </c>
      <c r="T39">
        <v>20</v>
      </c>
      <c r="U39">
        <v>14</v>
      </c>
      <c r="V39">
        <v>1</v>
      </c>
      <c r="W39" t="s">
        <v>287</v>
      </c>
      <c r="Y39" s="2" t="s">
        <v>570</v>
      </c>
      <c r="Z39" s="2"/>
      <c r="AA39" s="2"/>
      <c r="AB39" s="2"/>
      <c r="AC39" s="2"/>
      <c r="AD39" s="2" t="s">
        <v>331</v>
      </c>
      <c r="AE39" s="2" t="s">
        <v>331</v>
      </c>
      <c r="AF39" s="2"/>
      <c r="AG39" t="s">
        <v>564</v>
      </c>
      <c r="AH39" s="2"/>
      <c r="AM39" t="s">
        <v>403</v>
      </c>
      <c r="AN39" t="s">
        <v>515</v>
      </c>
      <c r="AO39" t="s">
        <v>569</v>
      </c>
      <c r="AP39">
        <v>5</v>
      </c>
      <c r="AR39" t="s">
        <v>276</v>
      </c>
      <c r="AS39" s="2">
        <f>(SQRT(N39*U39)*POWER((MIN(P39,20)+SQRT(MAX(P39-20,0))),0.9)*Data!$B$1)*(1-(V39-1))</f>
        <v>11.143577947286104</v>
      </c>
      <c r="AT39" s="2"/>
      <c r="AU39" s="2">
        <f>((POWER((N39*N39*U39), 0.33)*LOG10(S39)*10*Data!$B$1)*V39)+AT39</f>
        <v>14.197255258033142</v>
      </c>
      <c r="AV39" s="2">
        <f>N39/1.24</f>
        <v>14.516129032258064</v>
      </c>
      <c r="AW39" s="2">
        <f>AI39/1.24</f>
        <v>0</v>
      </c>
      <c r="AZ39" s="2">
        <v>2</v>
      </c>
      <c r="BA39" s="2">
        <v>2</v>
      </c>
      <c r="BB39" s="2">
        <f>U39/BA39</f>
        <v>7</v>
      </c>
      <c r="BC39" s="2">
        <f>(U39)/MAX(AZ39-1, 1)</f>
        <v>14</v>
      </c>
      <c r="BD39" s="3"/>
      <c r="BE39" s="3"/>
      <c r="BF39" s="3"/>
      <c r="BG39" s="2" t="str">
        <f>CONCATENATE(
ROUND(BD39*VLOOKUP(L39,'ID Scheme'!$A$2:$E$7,3),0), "x",
ROUND(BE39*VLOOKUP(L39,'ID Scheme'!$A$2:$E$7,5),0), "x",
ROUND(BF39*VLOOKUP(L39,'ID Scheme'!$A$2:$E$7,4),0))</f>
        <v>0x0x0</v>
      </c>
    </row>
    <row r="40" spans="1:60" x14ac:dyDescent="0.25">
      <c r="A40" t="s">
        <v>571</v>
      </c>
      <c r="B40" t="s">
        <v>572</v>
      </c>
      <c r="C40" t="s">
        <v>349</v>
      </c>
      <c r="D40">
        <v>0</v>
      </c>
      <c r="F40">
        <v>-1</v>
      </c>
      <c r="Z40" t="s">
        <v>331</v>
      </c>
      <c r="AD40" t="s">
        <v>331</v>
      </c>
      <c r="AE40" t="s">
        <v>331</v>
      </c>
      <c r="AO40" t="s">
        <v>572</v>
      </c>
      <c r="AP40">
        <v>4</v>
      </c>
      <c r="AU40" s="2"/>
    </row>
    <row r="41" spans="1:60" x14ac:dyDescent="0.25">
      <c r="A41" t="s">
        <v>573</v>
      </c>
      <c r="B41" t="s">
        <v>574</v>
      </c>
      <c r="C41" t="s">
        <v>348</v>
      </c>
      <c r="D41">
        <f>IF(H41 &gt; 2020, ((H41-2020)*4)+1610+J41,IF(H41 &gt; 1900, ((H41-1900)*10)+400+J41, ((H41-1730)*2)+J41))+VLOOKUP(L41,'ID Scheme'!$A$2:$B$7,2, FALSE)</f>
        <v>2879</v>
      </c>
      <c r="F41">
        <v>2879</v>
      </c>
      <c r="G41" t="s">
        <v>683</v>
      </c>
      <c r="H41">
        <v>1869</v>
      </c>
      <c r="I41">
        <v>1</v>
      </c>
      <c r="J41">
        <v>1</v>
      </c>
      <c r="K41" t="s">
        <v>522</v>
      </c>
      <c r="L41" t="s">
        <v>13</v>
      </c>
      <c r="M41" t="s">
        <v>501</v>
      </c>
      <c r="N41">
        <v>16</v>
      </c>
      <c r="O41">
        <v>52</v>
      </c>
      <c r="P41">
        <v>32</v>
      </c>
      <c r="Q41">
        <v>5</v>
      </c>
      <c r="R41">
        <v>19</v>
      </c>
      <c r="S41">
        <v>85</v>
      </c>
      <c r="T41">
        <v>18</v>
      </c>
      <c r="U41">
        <v>36</v>
      </c>
      <c r="V41">
        <v>1</v>
      </c>
      <c r="W41" t="s">
        <v>288</v>
      </c>
      <c r="X41">
        <v>-4</v>
      </c>
      <c r="Y41" s="2" t="s">
        <v>575</v>
      </c>
      <c r="Z41" s="2" t="s">
        <v>331</v>
      </c>
      <c r="AA41" s="2"/>
      <c r="AB41" s="2"/>
      <c r="AC41" s="2"/>
      <c r="AD41" s="2" t="s">
        <v>331</v>
      </c>
      <c r="AE41" s="2" t="s">
        <v>331</v>
      </c>
      <c r="AF41" s="2"/>
      <c r="AG41" s="2" t="s">
        <v>572</v>
      </c>
      <c r="AH41" s="2"/>
      <c r="AK41">
        <v>1</v>
      </c>
      <c r="AM41" t="s">
        <v>408</v>
      </c>
      <c r="AN41" t="s">
        <v>662</v>
      </c>
      <c r="AO41" t="s">
        <v>576</v>
      </c>
      <c r="AP41">
        <v>6</v>
      </c>
      <c r="AS41" s="2">
        <f>(SQRT(N41*U41)*POWER((MIN(P41,20)+SQRT(MAX(P41-20,0))),0.9)*Data!$B$1)*(1-(V41-1))</f>
        <v>30.806051902406423</v>
      </c>
      <c r="AT41" s="2"/>
      <c r="AU41" s="2">
        <f>((POWER((N41*N41*U41), 0.33)*LOG10(S41)*10*Data!$B$1)*V41)+AT41</f>
        <v>29.429766164771721</v>
      </c>
      <c r="AV41" s="2">
        <f>N41/1.24</f>
        <v>12.903225806451614</v>
      </c>
      <c r="AW41" s="2">
        <f>AI41/1.24</f>
        <v>0</v>
      </c>
      <c r="AX41" s="2">
        <v>2</v>
      </c>
      <c r="AZ41" s="2">
        <v>3</v>
      </c>
      <c r="BA41" s="2">
        <v>3</v>
      </c>
      <c r="BB41" s="2">
        <f>U41/BA41</f>
        <v>12</v>
      </c>
      <c r="BC41" s="2">
        <f>(U41)/MAX(AZ41-1, 1)</f>
        <v>18</v>
      </c>
      <c r="BD41" s="3">
        <v>3.4</v>
      </c>
      <c r="BE41" s="3">
        <v>2</v>
      </c>
      <c r="BF41" s="3">
        <v>2.5</v>
      </c>
      <c r="BG41" s="2" t="str">
        <f>CONCATENATE(
ROUND(BD41*VLOOKUP(L41,'ID Scheme'!$A$2:$E$7,3),0), "x",
ROUND(BE41*VLOOKUP(L41,'ID Scheme'!$A$2:$E$7,5),0), "x",
ROUND(BF41*VLOOKUP(L41,'ID Scheme'!$A$2:$E$7,4),0))</f>
        <v>32x29x24</v>
      </c>
    </row>
    <row r="42" spans="1:60" x14ac:dyDescent="0.25">
      <c r="A42" t="s">
        <v>642</v>
      </c>
      <c r="B42" t="s">
        <v>643</v>
      </c>
      <c r="C42" t="s">
        <v>348</v>
      </c>
      <c r="D42">
        <f>IF(H42 &gt; 2020, ((H42-2020)*4)+1610+J42,IF(H42 &gt; 1900, ((H42-1900)*10)+400+J42, ((H42-1730)*2)+J42))+VLOOKUP(L42,'ID Scheme'!$A$2:$B$7,2, FALSE)</f>
        <v>3291</v>
      </c>
      <c r="F42">
        <v>3291</v>
      </c>
      <c r="G42" t="s">
        <v>683</v>
      </c>
      <c r="H42">
        <v>1929</v>
      </c>
      <c r="I42">
        <v>1</v>
      </c>
      <c r="J42">
        <v>1</v>
      </c>
      <c r="K42" t="s">
        <v>524</v>
      </c>
      <c r="L42" t="s">
        <v>13</v>
      </c>
      <c r="M42" t="s">
        <v>644</v>
      </c>
      <c r="N42">
        <v>20</v>
      </c>
      <c r="O42">
        <v>15</v>
      </c>
      <c r="P42">
        <v>12</v>
      </c>
      <c r="Q42">
        <v>5</v>
      </c>
      <c r="R42">
        <v>4</v>
      </c>
      <c r="S42">
        <v>20</v>
      </c>
      <c r="T42">
        <v>20</v>
      </c>
      <c r="U42">
        <v>12</v>
      </c>
      <c r="V42">
        <v>1</v>
      </c>
      <c r="W42" t="s">
        <v>289</v>
      </c>
      <c r="X42">
        <v>-2</v>
      </c>
      <c r="Y42" s="2" t="s">
        <v>645</v>
      </c>
      <c r="Z42" s="2" t="s">
        <v>331</v>
      </c>
      <c r="AA42" s="2"/>
      <c r="AB42" s="2"/>
      <c r="AC42" s="2"/>
      <c r="AD42" s="2" t="s">
        <v>331</v>
      </c>
      <c r="AE42" s="2" t="s">
        <v>331</v>
      </c>
      <c r="AF42" s="2"/>
      <c r="AG42" s="2" t="s">
        <v>572</v>
      </c>
      <c r="AH42" s="2"/>
      <c r="AK42">
        <v>1</v>
      </c>
      <c r="AM42" t="s">
        <v>403</v>
      </c>
      <c r="AN42" t="s">
        <v>647</v>
      </c>
      <c r="AO42" t="s">
        <v>646</v>
      </c>
      <c r="AP42">
        <v>4</v>
      </c>
      <c r="AS42" s="2">
        <f>(SQRT(N42*U42)*POWER((MIN(P42,20)+SQRT(MAX(P42-20,0))),0.9)*Data!$B$1)*(1-(V42-1))</f>
        <v>10.875018531664175</v>
      </c>
      <c r="AT42" s="2"/>
      <c r="AU42" s="2">
        <f>((POWER((N42*N42*U42), 0.33)*LOG10(S42)*10*Data!$B$1)*V42)+AT42</f>
        <v>16.001407348308714</v>
      </c>
      <c r="AV42" s="2">
        <f>N42/1.24</f>
        <v>16.129032258064516</v>
      </c>
      <c r="AW42" s="2">
        <f>AI42/1.24</f>
        <v>0</v>
      </c>
      <c r="AZ42" s="2">
        <v>2</v>
      </c>
      <c r="BA42" s="2">
        <v>2</v>
      </c>
      <c r="BB42" s="2">
        <f>U42/BA42</f>
        <v>6</v>
      </c>
      <c r="BC42" s="2">
        <f>(U42)/MAX(AZ42-1, 1)</f>
        <v>12</v>
      </c>
      <c r="BD42" s="3">
        <v>3.4</v>
      </c>
      <c r="BE42" s="3">
        <v>2</v>
      </c>
      <c r="BF42" s="3">
        <v>2.5</v>
      </c>
      <c r="BG42" s="2" t="str">
        <f>CONCATENATE(
ROUND(BD42*VLOOKUP(L42,'ID Scheme'!$A$2:$E$7,3),0), "x",
ROUND(BE42*VLOOKUP(L42,'ID Scheme'!$A$2:$E$7,5),0), "x",
ROUND(BF42*VLOOKUP(L42,'ID Scheme'!$A$2:$E$7,4),0))</f>
        <v>32x29x24</v>
      </c>
    </row>
    <row r="43" spans="1:60" x14ac:dyDescent="0.25">
      <c r="A43" t="s">
        <v>440</v>
      </c>
      <c r="B43" t="s">
        <v>442</v>
      </c>
      <c r="C43" t="s">
        <v>441</v>
      </c>
      <c r="D43">
        <v>0</v>
      </c>
      <c r="F43">
        <v>-1</v>
      </c>
      <c r="AP43">
        <v>5</v>
      </c>
      <c r="AU43" s="2"/>
    </row>
    <row r="44" spans="1:60" x14ac:dyDescent="0.25">
      <c r="A44" t="s">
        <v>72</v>
      </c>
      <c r="B44" t="s">
        <v>217</v>
      </c>
      <c r="C44" t="s">
        <v>438</v>
      </c>
      <c r="D44">
        <v>3481</v>
      </c>
      <c r="F44">
        <v>3481</v>
      </c>
      <c r="G44" t="s">
        <v>683</v>
      </c>
      <c r="H44">
        <v>1948</v>
      </c>
      <c r="I44">
        <v>1</v>
      </c>
      <c r="J44">
        <v>1</v>
      </c>
      <c r="K44" t="s">
        <v>522</v>
      </c>
      <c r="L44" t="s">
        <v>13</v>
      </c>
      <c r="M44" t="s">
        <v>501</v>
      </c>
      <c r="N44">
        <v>43</v>
      </c>
      <c r="O44">
        <v>20</v>
      </c>
      <c r="P44">
        <v>25</v>
      </c>
      <c r="Q44">
        <v>5</v>
      </c>
      <c r="R44">
        <v>1.5</v>
      </c>
      <c r="S44">
        <v>35</v>
      </c>
      <c r="T44">
        <v>20</v>
      </c>
      <c r="U44">
        <v>10</v>
      </c>
      <c r="V44">
        <v>1.7</v>
      </c>
      <c r="W44" t="s">
        <v>289</v>
      </c>
      <c r="X44">
        <v>-4</v>
      </c>
      <c r="Y44" s="2" t="s">
        <v>437</v>
      </c>
      <c r="Z44" s="2"/>
      <c r="AA44" s="2"/>
      <c r="AB44" s="2"/>
      <c r="AC44" s="2"/>
      <c r="AD44" s="2"/>
      <c r="AE44" s="2"/>
      <c r="AF44" s="2"/>
      <c r="AG44" t="s">
        <v>442</v>
      </c>
      <c r="AH44" s="2"/>
      <c r="AK44">
        <v>1</v>
      </c>
      <c r="AM44" t="s">
        <v>403</v>
      </c>
      <c r="AN44" t="s">
        <v>661</v>
      </c>
      <c r="AO44" t="s">
        <v>547</v>
      </c>
      <c r="AP44">
        <v>2</v>
      </c>
      <c r="AS44" s="2">
        <v>7.6079725967160297</v>
      </c>
      <c r="AT44" s="2">
        <v>-30</v>
      </c>
      <c r="AU44" s="2">
        <v>20.380885967208812</v>
      </c>
      <c r="AV44" s="2">
        <f t="shared" ref="AV44" si="24">N44/1.24</f>
        <v>34.677419354838712</v>
      </c>
      <c r="AW44" s="2">
        <f>AI44/1.24</f>
        <v>0</v>
      </c>
      <c r="AZ44" s="2">
        <v>2</v>
      </c>
      <c r="BA44" s="2">
        <v>2</v>
      </c>
      <c r="BB44" s="2">
        <f t="shared" ref="BB44" si="25">U44/BA44</f>
        <v>5</v>
      </c>
      <c r="BC44" s="2">
        <f t="shared" ref="BC44" si="26">(U44)/MAX(AZ44-1, 1)</f>
        <v>10</v>
      </c>
      <c r="BF44" s="3"/>
      <c r="BG44" s="2" t="s">
        <v>632</v>
      </c>
    </row>
    <row r="45" spans="1:60" x14ac:dyDescent="0.25">
      <c r="A45" t="s">
        <v>593</v>
      </c>
      <c r="B45" t="s">
        <v>594</v>
      </c>
      <c r="C45" t="s">
        <v>324</v>
      </c>
      <c r="D45">
        <f>IF(H45 &gt; 2020, ((H45-2020)*4)+1610+J45,IF(H45 &gt; 1900, ((H45-1900)*10)+400+J45, ((H45-1730)*2)+J45))+VLOOKUP(L45,'ID Scheme'!$A$2:$B$7,2, FALSE)</f>
        <v>541</v>
      </c>
      <c r="F45">
        <v>541</v>
      </c>
      <c r="G45" t="s">
        <v>683</v>
      </c>
      <c r="H45">
        <v>1700</v>
      </c>
      <c r="I45">
        <v>1</v>
      </c>
      <c r="J45">
        <v>1</v>
      </c>
      <c r="K45" t="s">
        <v>523</v>
      </c>
      <c r="L45" t="s">
        <v>12</v>
      </c>
      <c r="M45" t="s">
        <v>508</v>
      </c>
      <c r="N45">
        <v>14</v>
      </c>
      <c r="O45">
        <v>180</v>
      </c>
      <c r="P45">
        <v>12</v>
      </c>
      <c r="Q45">
        <v>4</v>
      </c>
      <c r="R45">
        <v>2</v>
      </c>
      <c r="S45">
        <v>15</v>
      </c>
      <c r="T45">
        <v>20</v>
      </c>
      <c r="U45">
        <v>10</v>
      </c>
      <c r="V45">
        <v>1</v>
      </c>
      <c r="W45" t="s">
        <v>287</v>
      </c>
      <c r="Y45" s="2" t="s">
        <v>595</v>
      </c>
      <c r="Z45" s="2"/>
      <c r="AA45" s="2"/>
      <c r="AB45" s="2"/>
      <c r="AC45" s="2"/>
      <c r="AD45" s="2"/>
      <c r="AE45" s="2"/>
      <c r="AF45" s="2"/>
      <c r="AG45" s="2"/>
      <c r="AH45" s="2">
        <v>150</v>
      </c>
      <c r="AJ45" t="s">
        <v>406</v>
      </c>
      <c r="AL45" t="s">
        <v>405</v>
      </c>
      <c r="AM45" t="s">
        <v>406</v>
      </c>
      <c r="AN45" t="s">
        <v>515</v>
      </c>
      <c r="AO45" t="s">
        <v>596</v>
      </c>
      <c r="AP45">
        <v>5</v>
      </c>
      <c r="AR45" t="s">
        <v>276</v>
      </c>
      <c r="AS45" s="2">
        <f>(SQRT(N45*U45)*POWER((MIN(P45,20)+SQRT(MAX(P45-20,0))),0.9)*Data!$B$1)*(1-(V45-1))</f>
        <v>8.3059326008997658</v>
      </c>
      <c r="AT45" s="2"/>
      <c r="AU45" s="2">
        <f>((POWER((N45*N45*U45), 0.33)*LOG10(S45)*10*Data!$B$1)*V45)+AT45</f>
        <v>10.763333305173115</v>
      </c>
      <c r="AV45" s="2">
        <f t="shared" ref="AV45:AV79" si="27">N45/1.24</f>
        <v>11.290322580645162</v>
      </c>
      <c r="AW45" s="2">
        <f t="shared" ref="AW45" si="28">AI45/1.24</f>
        <v>0</v>
      </c>
      <c r="AZ45" s="2">
        <v>2</v>
      </c>
      <c r="BA45" s="2">
        <v>2</v>
      </c>
      <c r="BB45" s="2">
        <f t="shared" ref="BB45:BB79" si="29">U45/BA45</f>
        <v>5</v>
      </c>
      <c r="BC45" s="2">
        <f t="shared" ref="BC45:BC79" si="30">(U45)/MAX(AZ45-1, 1)</f>
        <v>10</v>
      </c>
      <c r="BD45" s="3"/>
      <c r="BE45" s="3"/>
      <c r="BF45" s="3"/>
      <c r="BG45" s="2" t="str">
        <f>CONCATENATE(
ROUND(BD45*VLOOKUP(L45,'ID Scheme'!$A$2:$E$7,3),0), "x",
ROUND(BE45*VLOOKUP(L45,'ID Scheme'!$A$2:$E$7,5),0), "x",
ROUND(BF45*VLOOKUP(L45,'ID Scheme'!$A$2:$E$7,4),0))</f>
        <v>0x0x0</v>
      </c>
    </row>
    <row r="46" spans="1:60" x14ac:dyDescent="0.25">
      <c r="A46" t="s">
        <v>23</v>
      </c>
      <c r="B46" t="s">
        <v>160</v>
      </c>
      <c r="C46" t="s">
        <v>324</v>
      </c>
      <c r="D46">
        <f>IF(H46 &gt; 2020, ((H46-2020)*4)+1610+J46,IF(H46 &gt; 1900, ((H46-1900)*10)+400+J46, ((H46-1730)*2)+J46))+VLOOKUP(L46,'ID Scheme'!$A$2:$B$7,2, FALSE)</f>
        <v>741</v>
      </c>
      <c r="F46">
        <v>741</v>
      </c>
      <c r="G46" t="s">
        <v>683</v>
      </c>
      <c r="H46">
        <v>1800</v>
      </c>
      <c r="I46">
        <v>1</v>
      </c>
      <c r="J46">
        <v>1</v>
      </c>
      <c r="K46" t="s">
        <v>523</v>
      </c>
      <c r="L46" t="s">
        <v>12</v>
      </c>
      <c r="M46" t="s">
        <v>508</v>
      </c>
      <c r="N46">
        <v>18</v>
      </c>
      <c r="O46">
        <v>110</v>
      </c>
      <c r="P46">
        <v>12</v>
      </c>
      <c r="Q46">
        <v>4</v>
      </c>
      <c r="R46">
        <v>1</v>
      </c>
      <c r="S46">
        <v>15</v>
      </c>
      <c r="T46">
        <v>20</v>
      </c>
      <c r="U46">
        <v>12</v>
      </c>
      <c r="V46">
        <v>1</v>
      </c>
      <c r="W46" t="s">
        <v>287</v>
      </c>
      <c r="Y46" s="2" t="s">
        <v>272</v>
      </c>
      <c r="Z46" s="2"/>
      <c r="AA46" s="2"/>
      <c r="AB46" s="2"/>
      <c r="AC46" s="2"/>
      <c r="AD46" s="2"/>
      <c r="AE46" s="2"/>
      <c r="AF46" s="2"/>
      <c r="AG46" s="2"/>
      <c r="AH46" s="2"/>
      <c r="AJ46" t="s">
        <v>406</v>
      </c>
      <c r="AL46" t="s">
        <v>405</v>
      </c>
      <c r="AM46" t="s">
        <v>406</v>
      </c>
      <c r="AN46" t="s">
        <v>515</v>
      </c>
      <c r="AO46" t="s">
        <v>558</v>
      </c>
      <c r="AP46">
        <v>5</v>
      </c>
      <c r="AR46" t="s">
        <v>276</v>
      </c>
      <c r="AS46" s="2">
        <f>(SQRT(N46*U46)*POWER((MIN(P46,20)+SQRT(MAX(P46-20,0))),0.9)*Data!$B$1)*(1-(V46-1))</f>
        <v>10.316948446979625</v>
      </c>
      <c r="AT46" s="2"/>
      <c r="AU46" s="2">
        <f>((POWER((N46*N46*U46), 0.33)*LOG10(S46)*10*Data!$B$1)*V46)+AT46</f>
        <v>13.493106560639641</v>
      </c>
      <c r="AV46" s="2">
        <f t="shared" si="27"/>
        <v>14.516129032258064</v>
      </c>
      <c r="AW46" s="2">
        <f t="shared" ref="AW46:AW88" si="31">AI46/1.24</f>
        <v>0</v>
      </c>
      <c r="AZ46" s="2">
        <v>2</v>
      </c>
      <c r="BA46" s="2">
        <v>2</v>
      </c>
      <c r="BB46" s="2">
        <f t="shared" si="29"/>
        <v>6</v>
      </c>
      <c r="BC46" s="2">
        <f t="shared" si="30"/>
        <v>12</v>
      </c>
      <c r="BD46" s="3"/>
      <c r="BE46" s="3"/>
      <c r="BF46" s="3"/>
      <c r="BG46" s="2" t="str">
        <f>CONCATENATE(
ROUND(BD46*VLOOKUP(L46,'ID Scheme'!$A$2:$E$7,3),0), "x",
ROUND(BE46*VLOOKUP(L46,'ID Scheme'!$A$2:$E$7,5),0), "x",
ROUND(BF46*VLOOKUP(L46,'ID Scheme'!$A$2:$E$7,4),0))</f>
        <v>0x0x0</v>
      </c>
    </row>
    <row r="47" spans="1:60" x14ac:dyDescent="0.25">
      <c r="A47" t="s">
        <v>684</v>
      </c>
      <c r="B47" t="s">
        <v>685</v>
      </c>
      <c r="C47" t="s">
        <v>324</v>
      </c>
      <c r="D47">
        <f>IF(H47 &gt; 2020, ((H47-2020)*4)+1610+J47,IF(H47 &gt; 1900, ((H47-1900)*10)+400+J47, ((H47-1730)*2)+J47))+VLOOKUP(L47,'ID Scheme'!$A$2:$B$7,2, FALSE)</f>
        <v>799</v>
      </c>
      <c r="F47">
        <v>799</v>
      </c>
      <c r="G47" t="s">
        <v>683</v>
      </c>
      <c r="H47">
        <v>1829</v>
      </c>
      <c r="I47">
        <v>6</v>
      </c>
      <c r="J47">
        <v>1</v>
      </c>
      <c r="K47" t="s">
        <v>523</v>
      </c>
      <c r="L47" t="s">
        <v>12</v>
      </c>
      <c r="M47" t="s">
        <v>508</v>
      </c>
      <c r="N47">
        <v>18</v>
      </c>
      <c r="O47">
        <v>85</v>
      </c>
      <c r="P47">
        <v>12</v>
      </c>
      <c r="Q47">
        <v>4</v>
      </c>
      <c r="R47">
        <v>1</v>
      </c>
      <c r="S47">
        <v>15</v>
      </c>
      <c r="T47">
        <v>20</v>
      </c>
      <c r="U47">
        <v>18</v>
      </c>
      <c r="V47">
        <v>1</v>
      </c>
      <c r="W47" t="s">
        <v>287</v>
      </c>
      <c r="Y47" s="2" t="s">
        <v>686</v>
      </c>
      <c r="Z47" s="2"/>
      <c r="AA47" s="2"/>
      <c r="AB47" s="2"/>
      <c r="AC47" s="2"/>
      <c r="AD47" s="2"/>
      <c r="AE47" s="2"/>
      <c r="AF47" s="2"/>
      <c r="AG47" s="2"/>
      <c r="AH47" s="2"/>
      <c r="AJ47" t="s">
        <v>406</v>
      </c>
      <c r="AL47" t="s">
        <v>688</v>
      </c>
      <c r="AM47" t="s">
        <v>406</v>
      </c>
      <c r="AN47" t="s">
        <v>515</v>
      </c>
      <c r="AO47" t="s">
        <v>687</v>
      </c>
      <c r="AP47">
        <v>5</v>
      </c>
      <c r="AR47" t="s">
        <v>276</v>
      </c>
      <c r="AS47" s="2">
        <f>(SQRT(N47*U47)*POWER((MIN(P47,20)+SQRT(MAX(P47-20,0))),0.9)*Data!$B$1)*(1-(V47-1))</f>
        <v>12.635629698849716</v>
      </c>
      <c r="AT47" s="2"/>
      <c r="AU47" s="2">
        <f>((POWER((N47*N47*U47), 0.33)*LOG10(S47)*10*Data!$B$1)*V47)+AT47</f>
        <v>15.424889646511295</v>
      </c>
      <c r="AV47" s="2">
        <f t="shared" si="27"/>
        <v>14.516129032258064</v>
      </c>
      <c r="AW47" s="2">
        <f t="shared" si="31"/>
        <v>0</v>
      </c>
      <c r="AZ47" s="2">
        <v>2</v>
      </c>
      <c r="BA47" s="2">
        <v>2</v>
      </c>
      <c r="BB47" s="2">
        <f t="shared" si="29"/>
        <v>9</v>
      </c>
      <c r="BC47" s="2">
        <f t="shared" si="30"/>
        <v>18</v>
      </c>
      <c r="BD47" s="3"/>
      <c r="BE47" s="3"/>
      <c r="BF47" s="3"/>
      <c r="BG47" s="2" t="str">
        <f>CONCATENATE(
ROUND(BD47*VLOOKUP(L47,'ID Scheme'!$A$2:$E$7,3),0), "x",
ROUND(BE47*VLOOKUP(L47,'ID Scheme'!$A$2:$E$7,5),0), "x",
ROUND(BF47*VLOOKUP(L47,'ID Scheme'!$A$2:$E$7,4),0))</f>
        <v>0x0x0</v>
      </c>
    </row>
    <row r="48" spans="1:60" x14ac:dyDescent="0.25">
      <c r="A48" t="s">
        <v>689</v>
      </c>
      <c r="B48" t="s">
        <v>690</v>
      </c>
      <c r="C48" t="s">
        <v>694</v>
      </c>
      <c r="D48">
        <f>IF(H48 &gt; 2020, ((H48-2020)*4)+1610+J48,IF(H48 &gt; 1900, ((H48-1900)*10)+400+J48, ((H48-1730)*2)+J48))+VLOOKUP(L48,'ID Scheme'!$A$2:$B$7,2, FALSE)</f>
        <v>855</v>
      </c>
      <c r="F48">
        <v>841</v>
      </c>
      <c r="G48" t="s">
        <v>683</v>
      </c>
      <c r="H48">
        <v>1857</v>
      </c>
      <c r="I48">
        <v>2</v>
      </c>
      <c r="J48">
        <v>1</v>
      </c>
      <c r="K48" t="s">
        <v>523</v>
      </c>
      <c r="L48" t="s">
        <v>12</v>
      </c>
      <c r="M48" t="s">
        <v>508</v>
      </c>
      <c r="N48">
        <v>18</v>
      </c>
      <c r="O48">
        <v>62</v>
      </c>
      <c r="P48">
        <v>12</v>
      </c>
      <c r="Q48">
        <v>4</v>
      </c>
      <c r="R48">
        <v>1</v>
      </c>
      <c r="S48">
        <v>15</v>
      </c>
      <c r="T48">
        <v>20</v>
      </c>
      <c r="U48">
        <v>26</v>
      </c>
      <c r="V48">
        <v>1</v>
      </c>
      <c r="W48" t="s">
        <v>287</v>
      </c>
      <c r="Y48" s="2" t="s">
        <v>693</v>
      </c>
      <c r="Z48" s="2"/>
      <c r="AA48" s="2"/>
      <c r="AB48" s="2"/>
      <c r="AC48" s="2"/>
      <c r="AD48" s="2"/>
      <c r="AE48" s="2"/>
      <c r="AF48" s="2"/>
      <c r="AG48" s="2"/>
      <c r="AH48" s="2"/>
      <c r="AJ48" t="s">
        <v>406</v>
      </c>
      <c r="AL48" t="s">
        <v>691</v>
      </c>
      <c r="AM48" t="s">
        <v>406</v>
      </c>
      <c r="AN48" t="s">
        <v>515</v>
      </c>
      <c r="AO48" t="s">
        <v>692</v>
      </c>
      <c r="AP48">
        <v>5</v>
      </c>
      <c r="AR48" t="s">
        <v>276</v>
      </c>
      <c r="AS48" s="2">
        <f>(SQRT(N48*U48)*POWER((MIN(P48,20)+SQRT(MAX(P48-20,0))),0.9)*Data!$B$1)*(1-(V48-1))</f>
        <v>15.186136925659419</v>
      </c>
      <c r="AT48" s="2"/>
      <c r="AU48" s="2">
        <f>((POWER((N48*N48*U48), 0.33)*LOG10(S48)*10*Data!$B$1)*V48)+AT48</f>
        <v>17.414994587283896</v>
      </c>
      <c r="AV48" s="2">
        <f t="shared" ref="AV48" si="32">N48/1.24</f>
        <v>14.516129032258064</v>
      </c>
      <c r="AW48" s="2">
        <f t="shared" ref="AW48" si="33">AI48/1.24</f>
        <v>0</v>
      </c>
      <c r="AZ48" s="2">
        <v>2</v>
      </c>
      <c r="BA48" s="2">
        <v>2</v>
      </c>
      <c r="BB48" s="2">
        <f t="shared" ref="BB48" si="34">U48/BA48</f>
        <v>13</v>
      </c>
      <c r="BC48" s="2">
        <f t="shared" ref="BC48" si="35">(U48)/MAX(AZ48-1, 1)</f>
        <v>26</v>
      </c>
      <c r="BD48" s="3"/>
      <c r="BE48" s="3"/>
      <c r="BF48" s="3"/>
      <c r="BG48" s="2" t="str">
        <f>CONCATENATE(
ROUND(BD48*VLOOKUP(L48,'ID Scheme'!$A$2:$E$7,3),0), "x",
ROUND(BE48*VLOOKUP(L48,'ID Scheme'!$A$2:$E$7,5),0), "x",
ROUND(BF48*VLOOKUP(L48,'ID Scheme'!$A$2:$E$7,4),0))</f>
        <v>0x0x0</v>
      </c>
    </row>
    <row r="49" spans="1:60" x14ac:dyDescent="0.25">
      <c r="A49" t="s">
        <v>36</v>
      </c>
      <c r="B49" t="s">
        <v>163</v>
      </c>
      <c r="C49" t="s">
        <v>285</v>
      </c>
      <c r="D49">
        <f>IF(H49 &gt; 2020, ((H49-2020)*4)+1610+J49,IF(H49 &gt; 1900, ((H49-1900)*10)+400+J49, ((H49-1730)*2)+J49))+VLOOKUP(L49,'ID Scheme'!$A$2:$B$7,2, FALSE)</f>
        <v>807</v>
      </c>
      <c r="F49">
        <v>807</v>
      </c>
      <c r="G49" t="s">
        <v>683</v>
      </c>
      <c r="H49">
        <v>1833</v>
      </c>
      <c r="I49">
        <v>1</v>
      </c>
      <c r="J49">
        <v>1</v>
      </c>
      <c r="K49" t="s">
        <v>523</v>
      </c>
      <c r="L49" t="s">
        <v>12</v>
      </c>
      <c r="M49" t="s">
        <v>508</v>
      </c>
      <c r="N49">
        <v>18</v>
      </c>
      <c r="O49">
        <v>52</v>
      </c>
      <c r="P49">
        <v>20</v>
      </c>
      <c r="Q49">
        <v>4</v>
      </c>
      <c r="R49">
        <v>4</v>
      </c>
      <c r="S49">
        <v>30</v>
      </c>
      <c r="T49">
        <v>20</v>
      </c>
      <c r="U49">
        <v>22</v>
      </c>
      <c r="V49">
        <v>1</v>
      </c>
      <c r="W49" t="s">
        <v>288</v>
      </c>
      <c r="X49">
        <v>2</v>
      </c>
      <c r="Y49" s="2" t="s">
        <v>273</v>
      </c>
      <c r="Z49" s="2"/>
      <c r="AA49" s="2"/>
      <c r="AB49" s="2"/>
      <c r="AC49" s="2"/>
      <c r="AD49" s="2"/>
      <c r="AE49" s="2"/>
      <c r="AF49" s="2"/>
      <c r="AG49" s="2"/>
      <c r="AH49" s="2"/>
      <c r="AP49">
        <v>8</v>
      </c>
      <c r="AS49" s="2">
        <f>(SQRT(N49*U49)*POWER((MIN(P49,20)+SQRT(MAX(P49-20,0))),0.9)*Data!$B$1)*(1-(V49-1))</f>
        <v>22.122583982050454</v>
      </c>
      <c r="AT49" s="2">
        <v>4</v>
      </c>
      <c r="AU49" s="2">
        <f>((POWER((N49*N49*U49), 0.33)*LOG10(S49)*10*Data!$B$1)*V49)+AT49</f>
        <v>24.699351945933547</v>
      </c>
      <c r="AV49" s="2">
        <f t="shared" si="27"/>
        <v>14.516129032258064</v>
      </c>
      <c r="AW49" s="2">
        <f t="shared" si="31"/>
        <v>0</v>
      </c>
      <c r="AZ49" s="2">
        <v>1</v>
      </c>
      <c r="BA49" s="2">
        <v>1</v>
      </c>
      <c r="BB49" s="2">
        <f t="shared" si="29"/>
        <v>22</v>
      </c>
      <c r="BC49" s="2">
        <f t="shared" si="30"/>
        <v>22</v>
      </c>
      <c r="BD49" s="3"/>
      <c r="BE49" s="3"/>
      <c r="BF49" s="3"/>
      <c r="BG49" s="2" t="str">
        <f>CONCATENATE(
ROUND(BD49*VLOOKUP(L49,'ID Scheme'!$A$2:$E$7,3),0), "x",
ROUND(BE49*VLOOKUP(L49,'ID Scheme'!$A$2:$E$7,5),0), "x",
ROUND(BF49*VLOOKUP(L49,'ID Scheme'!$A$2:$E$7,4),0))</f>
        <v>0x0x0</v>
      </c>
    </row>
    <row r="50" spans="1:60" x14ac:dyDescent="0.25">
      <c r="A50" t="s">
        <v>652</v>
      </c>
      <c r="B50" t="s">
        <v>653</v>
      </c>
      <c r="C50" t="s">
        <v>291</v>
      </c>
      <c r="D50">
        <f>IF(H50 &gt; 2020, ((H50-2020)*4)+1610+J50,IF(H50 &gt; 1900, ((H50-1900)*10)+400+J50, ((H50-1730)*2)+J50))+VLOOKUP(L50,'ID Scheme'!$A$2:$B$7,2, FALSE)</f>
        <v>903</v>
      </c>
      <c r="F50">
        <v>903</v>
      </c>
      <c r="G50" t="s">
        <v>683</v>
      </c>
      <c r="H50">
        <v>1881</v>
      </c>
      <c r="I50">
        <v>2</v>
      </c>
      <c r="J50">
        <v>1</v>
      </c>
      <c r="K50" t="s">
        <v>523</v>
      </c>
      <c r="L50" t="s">
        <v>12</v>
      </c>
      <c r="M50" t="s">
        <v>508</v>
      </c>
      <c r="N50">
        <v>18</v>
      </c>
      <c r="O50">
        <v>22</v>
      </c>
      <c r="P50">
        <v>18</v>
      </c>
      <c r="Q50">
        <v>4</v>
      </c>
      <c r="R50">
        <v>4</v>
      </c>
      <c r="S50">
        <v>25</v>
      </c>
      <c r="T50">
        <v>20</v>
      </c>
      <c r="U50">
        <v>18</v>
      </c>
      <c r="V50">
        <v>1</v>
      </c>
      <c r="W50" t="s">
        <v>288</v>
      </c>
      <c r="X50">
        <v>2</v>
      </c>
      <c r="Y50" s="2" t="s">
        <v>654</v>
      </c>
      <c r="Z50" s="2"/>
      <c r="AA50" s="2"/>
      <c r="AB50" s="2"/>
      <c r="AC50" s="2"/>
      <c r="AD50" s="2"/>
      <c r="AE50" s="2"/>
      <c r="AF50" s="2"/>
      <c r="AG50" s="2"/>
      <c r="AH50" s="2"/>
      <c r="AP50">
        <v>5</v>
      </c>
      <c r="AS50" s="2">
        <f>(SQRT(N50*U50)*POWER((MIN(P50,20)+SQRT(MAX(P50-20,0))),0.9)*Data!$B$1)*(1-(V50-1))</f>
        <v>18.200319967441867</v>
      </c>
      <c r="AT50" s="2"/>
      <c r="AU50" s="2">
        <f>((POWER((N50*N50*U50), 0.33)*LOG10(S50)*10*Data!$B$1)*V50)+AT50</f>
        <v>18.334521407397293</v>
      </c>
      <c r="AV50" s="2">
        <f t="shared" ref="AV50" si="36">N50/1.24</f>
        <v>14.516129032258064</v>
      </c>
      <c r="AW50" s="2">
        <f t="shared" si="31"/>
        <v>0</v>
      </c>
      <c r="AZ50" s="2">
        <v>1</v>
      </c>
      <c r="BA50" s="2">
        <v>1</v>
      </c>
      <c r="BB50" s="2">
        <f t="shared" ref="BB50" si="37">U50/BA50</f>
        <v>18</v>
      </c>
      <c r="BC50" s="2">
        <f t="shared" ref="BC50" si="38">(U50)/MAX(AZ50-1, 1)</f>
        <v>18</v>
      </c>
      <c r="BD50" s="3"/>
      <c r="BE50" s="3"/>
      <c r="BF50" s="3"/>
      <c r="BG50" s="2" t="str">
        <f>CONCATENATE(
ROUND(BD50*VLOOKUP(L50,'ID Scheme'!$A$2:$E$7,3),0), "x",
ROUND(BE50*VLOOKUP(L50,'ID Scheme'!$A$2:$E$7,5),0), "x",
ROUND(BF50*VLOOKUP(L50,'ID Scheme'!$A$2:$E$7,4),0))</f>
        <v>0x0x0</v>
      </c>
    </row>
    <row r="51" spans="1:60" x14ac:dyDescent="0.25">
      <c r="A51" t="s">
        <v>509</v>
      </c>
      <c r="B51" t="s">
        <v>510</v>
      </c>
      <c r="C51" t="s">
        <v>291</v>
      </c>
      <c r="D51">
        <f>IF(H51 &gt; 2020, ((H51-2020)*4)+1610+J51,IF(H51 &gt; 1900, ((H51-1900)*10)+400+J51, ((H51-1730)*2)+J51))+VLOOKUP(L51,'ID Scheme'!$A$2:$B$7,2, FALSE)</f>
        <v>939</v>
      </c>
      <c r="F51">
        <v>939</v>
      </c>
      <c r="G51" t="s">
        <v>683</v>
      </c>
      <c r="H51">
        <v>1899</v>
      </c>
      <c r="I51">
        <v>2</v>
      </c>
      <c r="J51">
        <v>1</v>
      </c>
      <c r="K51" t="s">
        <v>523</v>
      </c>
      <c r="L51" t="s">
        <v>12</v>
      </c>
      <c r="M51" t="s">
        <v>501</v>
      </c>
      <c r="N51">
        <v>20</v>
      </c>
      <c r="O51">
        <v>22</v>
      </c>
      <c r="P51">
        <v>14</v>
      </c>
      <c r="Q51">
        <v>4</v>
      </c>
      <c r="R51">
        <v>5</v>
      </c>
      <c r="S51">
        <v>25</v>
      </c>
      <c r="T51">
        <v>20</v>
      </c>
      <c r="U51">
        <v>24</v>
      </c>
      <c r="V51">
        <v>1</v>
      </c>
      <c r="W51" t="s">
        <v>289</v>
      </c>
      <c r="X51">
        <v>3</v>
      </c>
      <c r="Y51" s="2" t="s">
        <v>511</v>
      </c>
      <c r="Z51" s="2"/>
      <c r="AA51" s="2"/>
      <c r="AB51" s="2"/>
      <c r="AC51" s="2"/>
      <c r="AD51" s="2"/>
      <c r="AE51" s="2"/>
      <c r="AF51" s="2"/>
      <c r="AG51" s="2"/>
      <c r="AH51" s="2"/>
      <c r="AP51">
        <v>7</v>
      </c>
      <c r="AS51" s="2">
        <f>(SQRT(N51*U51)*POWER((MIN(P51,20)+SQRT(MAX(P51-20,0))),0.9)*Data!$B$1)*(1-(V51-1))</f>
        <v>17.668395580782125</v>
      </c>
      <c r="AT51" s="2"/>
      <c r="AU51" s="2">
        <f>((POWER((N51*N51*U51), 0.33)*LOG10(S51)*10*Data!$B$1)*V51)+AT51</f>
        <v>21.612216267307918</v>
      </c>
      <c r="AV51" s="2">
        <f t="shared" si="27"/>
        <v>16.129032258064516</v>
      </c>
      <c r="AW51" s="2">
        <f t="shared" ref="AW51" si="39">AI51/1.24</f>
        <v>0</v>
      </c>
      <c r="AZ51" s="2">
        <v>1</v>
      </c>
      <c r="BA51" s="2">
        <v>1</v>
      </c>
      <c r="BB51" s="2">
        <f t="shared" si="29"/>
        <v>24</v>
      </c>
      <c r="BC51" s="2">
        <f t="shared" si="30"/>
        <v>24</v>
      </c>
      <c r="BD51" s="3"/>
      <c r="BE51" s="3"/>
      <c r="BF51" s="3"/>
      <c r="BG51" s="2" t="str">
        <f>CONCATENATE(
ROUND(BD51*VLOOKUP(L51,'ID Scheme'!$A$2:$E$7,3),0), "x",
ROUND(BE51*VLOOKUP(L51,'ID Scheme'!$A$2:$E$7,5),0), "x",
ROUND(BF51*VLOOKUP(L51,'ID Scheme'!$A$2:$E$7,4),0))</f>
        <v>0x0x0</v>
      </c>
    </row>
    <row r="52" spans="1:60" x14ac:dyDescent="0.25">
      <c r="A52" t="s">
        <v>24</v>
      </c>
      <c r="B52" t="s">
        <v>164</v>
      </c>
      <c r="C52" t="s">
        <v>291</v>
      </c>
      <c r="D52">
        <f>IF(H52 &gt; 2020, ((H52-2020)*4)+1610+J52,IF(H52 &gt; 1900, ((H52-1900)*10)+400+J52, ((H52-1730)*2)+J52))+VLOOKUP(L52,'ID Scheme'!$A$2:$B$7,2, FALSE)</f>
        <v>1111</v>
      </c>
      <c r="F52">
        <v>1111</v>
      </c>
      <c r="G52" t="s">
        <v>683</v>
      </c>
      <c r="H52">
        <v>1911</v>
      </c>
      <c r="I52">
        <v>1</v>
      </c>
      <c r="J52">
        <v>1</v>
      </c>
      <c r="K52" t="s">
        <v>523</v>
      </c>
      <c r="L52" t="s">
        <v>12</v>
      </c>
      <c r="M52" t="s">
        <v>501</v>
      </c>
      <c r="N52">
        <v>22</v>
      </c>
      <c r="O52">
        <v>20</v>
      </c>
      <c r="P52">
        <v>15</v>
      </c>
      <c r="Q52">
        <v>5</v>
      </c>
      <c r="R52">
        <v>5</v>
      </c>
      <c r="S52">
        <v>30</v>
      </c>
      <c r="T52">
        <v>20</v>
      </c>
      <c r="U52">
        <v>36</v>
      </c>
      <c r="V52">
        <v>1</v>
      </c>
      <c r="W52" t="s">
        <v>289</v>
      </c>
      <c r="X52">
        <v>3</v>
      </c>
      <c r="Y52" s="2" t="s">
        <v>274</v>
      </c>
      <c r="Z52" s="2"/>
      <c r="AA52" s="2"/>
      <c r="AB52" s="2"/>
      <c r="AC52" s="2"/>
      <c r="AD52" s="2"/>
      <c r="AE52" s="2"/>
      <c r="AF52" s="2"/>
      <c r="AG52" s="2"/>
      <c r="AH52" s="2"/>
      <c r="AP52">
        <v>8</v>
      </c>
      <c r="AS52" s="2">
        <f>(SQRT(N52*U52)*POWER((MIN(P52,20)+SQRT(MAX(P52-20,0))),0.9)*Data!$B$1)*(1-(V52-1))</f>
        <v>24.149380110174171</v>
      </c>
      <c r="AT52" s="2"/>
      <c r="AU52" s="2">
        <f>((POWER((N52*N52*U52), 0.33)*LOG10(S52)*10*Data!$B$1)*V52)+AT52</f>
        <v>27.800730349293211</v>
      </c>
      <c r="AV52" s="2">
        <f t="shared" si="27"/>
        <v>17.741935483870968</v>
      </c>
      <c r="AW52" s="2">
        <f t="shared" si="31"/>
        <v>0</v>
      </c>
      <c r="AZ52" s="2">
        <v>1</v>
      </c>
      <c r="BA52" s="2">
        <v>1</v>
      </c>
      <c r="BB52" s="2">
        <f t="shared" si="29"/>
        <v>36</v>
      </c>
      <c r="BC52" s="2">
        <f t="shared" si="30"/>
        <v>36</v>
      </c>
      <c r="BD52" s="3"/>
      <c r="BE52" s="3"/>
      <c r="BF52" s="3"/>
      <c r="BG52" s="2" t="str">
        <f>CONCATENATE(
ROUND(BD52*VLOOKUP(L52,'ID Scheme'!$A$2:$E$7,3),0), "x",
ROUND(BE52*VLOOKUP(L52,'ID Scheme'!$A$2:$E$7,5),0), "x",
ROUND(BF52*VLOOKUP(L52,'ID Scheme'!$A$2:$E$7,4),0))</f>
        <v>0x0x0</v>
      </c>
    </row>
    <row r="53" spans="1:60" x14ac:dyDescent="0.25">
      <c r="A53" t="s">
        <v>93</v>
      </c>
      <c r="B53" t="s">
        <v>165</v>
      </c>
      <c r="C53" t="s">
        <v>291</v>
      </c>
      <c r="D53">
        <f>IF(H53 &gt; 2020, ((H53-2020)*4)+1610+J53,IF(H53 &gt; 1900, ((H53-1900)*10)+400+J53, ((H53-1730)*2)+J53))+VLOOKUP(L53,'ID Scheme'!$A$2:$B$7,2, FALSE)</f>
        <v>1201</v>
      </c>
      <c r="F53">
        <v>1201</v>
      </c>
      <c r="G53" t="s">
        <v>683</v>
      </c>
      <c r="H53">
        <v>1920</v>
      </c>
      <c r="I53">
        <v>1</v>
      </c>
      <c r="J53">
        <v>1</v>
      </c>
      <c r="K53" t="s">
        <v>523</v>
      </c>
      <c r="L53" t="s">
        <v>12</v>
      </c>
      <c r="M53" t="s">
        <v>501</v>
      </c>
      <c r="N53">
        <v>22</v>
      </c>
      <c r="O53">
        <v>20</v>
      </c>
      <c r="P53">
        <v>16</v>
      </c>
      <c r="Q53">
        <v>5</v>
      </c>
      <c r="R53">
        <v>5</v>
      </c>
      <c r="S53">
        <v>30</v>
      </c>
      <c r="T53">
        <v>20</v>
      </c>
      <c r="U53">
        <v>54</v>
      </c>
      <c r="V53">
        <v>1</v>
      </c>
      <c r="W53" t="s">
        <v>289</v>
      </c>
      <c r="X53">
        <v>3</v>
      </c>
      <c r="Y53" s="2" t="s">
        <v>290</v>
      </c>
      <c r="Z53" s="2"/>
      <c r="AA53" s="2"/>
      <c r="AB53" s="2"/>
      <c r="AC53" s="2"/>
      <c r="AD53" s="2"/>
      <c r="AE53" s="2"/>
      <c r="AF53" s="2"/>
      <c r="AG53" s="2"/>
      <c r="AH53" s="2"/>
      <c r="AP53">
        <v>8</v>
      </c>
      <c r="AS53" s="2">
        <f>(SQRT(N53*U53)*POWER((MIN(P53,20)+SQRT(MAX(P53-20,0))),0.9)*Data!$B$1)*(1-(V53-1))</f>
        <v>31.345663574572221</v>
      </c>
      <c r="AT53" s="2"/>
      <c r="AU53" s="2">
        <f>((POWER((N53*N53*U53), 0.33)*LOG10(S53)*10*Data!$B$1)*V53)+AT53</f>
        <v>31.780909444617688</v>
      </c>
      <c r="AV53" s="2">
        <f t="shared" si="27"/>
        <v>17.741935483870968</v>
      </c>
      <c r="AW53" s="2">
        <f t="shared" ref="AW53:AW55" si="40">AI53/1.24</f>
        <v>0</v>
      </c>
      <c r="AZ53" s="2">
        <v>1</v>
      </c>
      <c r="BA53" s="2">
        <v>1</v>
      </c>
      <c r="BB53" s="2">
        <f t="shared" si="29"/>
        <v>54</v>
      </c>
      <c r="BC53" s="2">
        <f t="shared" si="30"/>
        <v>54</v>
      </c>
      <c r="BD53" s="3"/>
      <c r="BE53" s="3"/>
      <c r="BF53" s="3"/>
      <c r="BG53" s="2" t="str">
        <f>CONCATENATE(
ROUND(BD53*VLOOKUP(L53,'ID Scheme'!$A$2:$E$7,3),0), "x",
ROUND(BE53*VLOOKUP(L53,'ID Scheme'!$A$2:$E$7,5),0), "x",
ROUND(BF53*VLOOKUP(L53,'ID Scheme'!$A$2:$E$7,4),0))</f>
        <v>0x0x0</v>
      </c>
    </row>
    <row r="54" spans="1:60" x14ac:dyDescent="0.25">
      <c r="A54" t="s">
        <v>504</v>
      </c>
      <c r="B54" t="s">
        <v>505</v>
      </c>
      <c r="C54" t="s">
        <v>285</v>
      </c>
      <c r="D54">
        <f>IF(H54 &gt; 2020, ((H54-2020)*4)+1610+J54,IF(H54 &gt; 1900, ((H54-1900)*10)+400+J54, ((H54-1730)*2)+J54))+VLOOKUP(L54,'ID Scheme'!$A$2:$B$7,2, FALSE)</f>
        <v>1261</v>
      </c>
      <c r="F54">
        <v>1261</v>
      </c>
      <c r="G54" t="s">
        <v>683</v>
      </c>
      <c r="H54">
        <v>1926</v>
      </c>
      <c r="I54">
        <v>12</v>
      </c>
      <c r="J54">
        <v>1</v>
      </c>
      <c r="K54" t="s">
        <v>523</v>
      </c>
      <c r="L54" t="s">
        <v>12</v>
      </c>
      <c r="M54" t="s">
        <v>506</v>
      </c>
      <c r="N54">
        <v>30</v>
      </c>
      <c r="O54">
        <v>40</v>
      </c>
      <c r="P54">
        <v>18</v>
      </c>
      <c r="Q54">
        <v>5</v>
      </c>
      <c r="R54">
        <v>5</v>
      </c>
      <c r="S54">
        <v>60</v>
      </c>
      <c r="T54">
        <v>20</v>
      </c>
      <c r="U54">
        <v>48</v>
      </c>
      <c r="V54">
        <v>1</v>
      </c>
      <c r="W54" t="s">
        <v>365</v>
      </c>
      <c r="X54">
        <v>3</v>
      </c>
      <c r="Y54" s="2" t="s">
        <v>507</v>
      </c>
      <c r="Z54" s="2"/>
      <c r="AA54" s="2"/>
      <c r="AB54" s="2"/>
      <c r="AC54" s="2"/>
      <c r="AD54" s="2"/>
      <c r="AE54" s="2"/>
      <c r="AF54" s="2"/>
      <c r="AG54" s="2"/>
      <c r="AH54" s="2"/>
      <c r="AP54">
        <v>8</v>
      </c>
      <c r="AS54" s="2">
        <f>(SQRT(N54*U54)*POWER((MIN(P54,20)+SQRT(MAX(P54-20,0))),0.9)*Data!$B$1)*(1-(V54-1))</f>
        <v>38.369643493971942</v>
      </c>
      <c r="AT54" s="2"/>
      <c r="AU54" s="2">
        <f>((POWER((N54*N54*U54), 0.33)*LOG10(S54)*10*Data!$B$1)*V54)+AT54</f>
        <v>45.158509516285143</v>
      </c>
      <c r="AV54" s="2">
        <f t="shared" si="27"/>
        <v>24.193548387096776</v>
      </c>
      <c r="AW54" s="2">
        <f t="shared" si="40"/>
        <v>0</v>
      </c>
      <c r="AZ54" s="2">
        <v>1</v>
      </c>
      <c r="BA54" s="2">
        <v>1</v>
      </c>
      <c r="BB54" s="2">
        <f t="shared" si="29"/>
        <v>48</v>
      </c>
      <c r="BC54" s="2">
        <f t="shared" si="30"/>
        <v>48</v>
      </c>
      <c r="BD54" s="3">
        <v>11</v>
      </c>
      <c r="BE54" s="3">
        <v>2.5</v>
      </c>
      <c r="BF54" s="3">
        <v>3.8</v>
      </c>
      <c r="BG54" s="2" t="str">
        <f>CONCATENATE(
ROUND(BD54*VLOOKUP(L54,'ID Scheme'!$A$2:$E$7,3),0), "x",
ROUND(BE54*VLOOKUP(L54,'ID Scheme'!$A$2:$E$7,5),0), "x",
ROUND(BF54*VLOOKUP(L54,'ID Scheme'!$A$2:$E$7,4),0))</f>
        <v>103x36x37</v>
      </c>
    </row>
    <row r="55" spans="1:60" ht="14.25" customHeight="1" x14ac:dyDescent="0.25">
      <c r="A55" t="s">
        <v>44</v>
      </c>
      <c r="B55" t="s">
        <v>167</v>
      </c>
      <c r="C55" t="s">
        <v>285</v>
      </c>
      <c r="D55">
        <f>IF(H55 &gt; 2020, ((H55-2020)*4)+1610+J55,IF(H55 &gt; 1900, ((H55-1900)*10)+400+J55, ((H55-1730)*2)+J55))+VLOOKUP(L55,'ID Scheme'!$A$2:$B$7,2, FALSE)</f>
        <v>1271</v>
      </c>
      <c r="F55">
        <v>1271</v>
      </c>
      <c r="G55" t="s">
        <v>683</v>
      </c>
      <c r="H55">
        <v>1927</v>
      </c>
      <c r="I55">
        <v>3</v>
      </c>
      <c r="J55">
        <v>1</v>
      </c>
      <c r="K55" t="s">
        <v>523</v>
      </c>
      <c r="L55" t="s">
        <v>12</v>
      </c>
      <c r="M55" t="s">
        <v>501</v>
      </c>
      <c r="N55">
        <v>42</v>
      </c>
      <c r="O55">
        <v>20</v>
      </c>
      <c r="P55">
        <v>17</v>
      </c>
      <c r="Q55">
        <v>4</v>
      </c>
      <c r="R55">
        <v>5</v>
      </c>
      <c r="S55">
        <v>94</v>
      </c>
      <c r="T55">
        <v>20</v>
      </c>
      <c r="U55">
        <v>35</v>
      </c>
      <c r="V55">
        <v>1</v>
      </c>
      <c r="W55" t="s">
        <v>289</v>
      </c>
      <c r="X55">
        <v>3</v>
      </c>
      <c r="Y55" s="2" t="s">
        <v>312</v>
      </c>
      <c r="Z55" s="2"/>
      <c r="AA55" s="2"/>
      <c r="AB55" s="2"/>
      <c r="AC55" s="2"/>
      <c r="AD55" s="2"/>
      <c r="AE55" s="2"/>
      <c r="AF55" s="2"/>
      <c r="AG55" s="2"/>
      <c r="AH55" s="2"/>
      <c r="AP55">
        <v>8</v>
      </c>
      <c r="AS55" s="2">
        <f>(SQRT(N55*U55)*POWER((MIN(P55,20)+SQRT(MAX(P55-20,0))),0.9)*Data!$B$1)*(1-(V55-1))</f>
        <v>36.82340631265253</v>
      </c>
      <c r="AT55" s="2"/>
      <c r="AU55" s="2">
        <f>((POWER((N55*N55*U55), 0.33)*LOG10(S55)*10*Data!$B$1)*V55)+AT55</f>
        <v>56.377196674747736</v>
      </c>
      <c r="AV55" s="2">
        <f t="shared" si="27"/>
        <v>33.870967741935488</v>
      </c>
      <c r="AW55" s="2">
        <f t="shared" si="40"/>
        <v>0</v>
      </c>
      <c r="AZ55" s="2">
        <v>1</v>
      </c>
      <c r="BA55" s="2">
        <v>1</v>
      </c>
      <c r="BB55" s="2">
        <f t="shared" si="29"/>
        <v>35</v>
      </c>
      <c r="BC55" s="2">
        <f t="shared" si="30"/>
        <v>35</v>
      </c>
      <c r="BD55" s="3"/>
      <c r="BE55" s="3"/>
      <c r="BF55" s="3"/>
      <c r="BG55" s="2" t="str">
        <f>CONCATENATE(
ROUND(BD55*VLOOKUP(L55,'ID Scheme'!$A$2:$E$7,3),0), "x",
ROUND(BE55*VLOOKUP(L55,'ID Scheme'!$A$2:$E$7,5),0), "x",
ROUND(BF55*VLOOKUP(L55,'ID Scheme'!$A$2:$E$7,4),0))</f>
        <v>0x0x0</v>
      </c>
    </row>
    <row r="56" spans="1:60" x14ac:dyDescent="0.25">
      <c r="A56" t="s">
        <v>26</v>
      </c>
      <c r="B56" t="s">
        <v>162</v>
      </c>
      <c r="C56" t="s">
        <v>285</v>
      </c>
      <c r="D56">
        <f>IF(H56 &gt; 2020, ((H56-2020)*4)+1610+J56,IF(H56 &gt; 1900, ((H56-1900)*10)+400+J56, ((H56-1730)*2)+J56))+VLOOKUP(L56,'ID Scheme'!$A$2:$B$7,2, FALSE)</f>
        <v>1291</v>
      </c>
      <c r="F56">
        <v>1291</v>
      </c>
      <c r="G56" t="s">
        <v>683</v>
      </c>
      <c r="H56">
        <v>1929</v>
      </c>
      <c r="I56">
        <v>1</v>
      </c>
      <c r="J56">
        <v>1</v>
      </c>
      <c r="K56" t="s">
        <v>523</v>
      </c>
      <c r="L56" t="s">
        <v>12</v>
      </c>
      <c r="M56" t="s">
        <v>501</v>
      </c>
      <c r="N56">
        <v>29</v>
      </c>
      <c r="O56">
        <v>20</v>
      </c>
      <c r="P56">
        <v>20</v>
      </c>
      <c r="Q56">
        <v>7</v>
      </c>
      <c r="R56">
        <v>7</v>
      </c>
      <c r="S56">
        <v>90</v>
      </c>
      <c r="T56">
        <v>20</v>
      </c>
      <c r="U56">
        <v>50</v>
      </c>
      <c r="V56">
        <v>1</v>
      </c>
      <c r="W56" t="s">
        <v>289</v>
      </c>
      <c r="X56">
        <v>3</v>
      </c>
      <c r="Y56" s="2" t="s">
        <v>311</v>
      </c>
      <c r="Z56" s="2"/>
      <c r="AA56" s="2"/>
      <c r="AB56" s="2"/>
      <c r="AC56" s="2"/>
      <c r="AD56" s="2"/>
      <c r="AE56" s="2"/>
      <c r="AF56" s="2"/>
      <c r="AG56" s="2"/>
      <c r="AH56" s="2"/>
      <c r="AP56">
        <v>8</v>
      </c>
      <c r="AS56" s="2">
        <f>(SQRT(N56*U56)*POWER((MIN(P56,20)+SQRT(MAX(P56-20,0))),0.9)*Data!$B$1)*(1-(V56-1))</f>
        <v>42.332338540034662</v>
      </c>
      <c r="AT56" s="2"/>
      <c r="AU56" s="2">
        <f>((POWER((N56*N56*U56), 0.33)*LOG10(S56)*10*Data!$B$1)*V56)+AT56</f>
        <v>49.190642990058024</v>
      </c>
      <c r="AV56" s="2">
        <f t="shared" si="27"/>
        <v>23.387096774193548</v>
      </c>
      <c r="AW56" s="2">
        <f t="shared" si="31"/>
        <v>0</v>
      </c>
      <c r="AZ56" s="2">
        <v>1</v>
      </c>
      <c r="BA56" s="2">
        <v>1</v>
      </c>
      <c r="BB56" s="2">
        <f t="shared" si="29"/>
        <v>50</v>
      </c>
      <c r="BC56" s="2">
        <f t="shared" si="30"/>
        <v>50</v>
      </c>
      <c r="BD56" s="3"/>
      <c r="BE56" s="3"/>
      <c r="BF56" s="3"/>
      <c r="BG56" s="2" t="str">
        <f>CONCATENATE(
ROUND(BD56*VLOOKUP(L56,'ID Scheme'!$A$2:$E$7,3),0), "x",
ROUND(BE56*VLOOKUP(L56,'ID Scheme'!$A$2:$E$7,5),0), "x",
ROUND(BF56*VLOOKUP(L56,'ID Scheme'!$A$2:$E$7,4),0))</f>
        <v>0x0x0</v>
      </c>
    </row>
    <row r="57" spans="1:60" x14ac:dyDescent="0.25">
      <c r="A57" t="s">
        <v>47</v>
      </c>
      <c r="B57" t="s">
        <v>166</v>
      </c>
      <c r="C57" t="s">
        <v>285</v>
      </c>
      <c r="D57">
        <f>IF(H57 &gt; 2020, ((H57-2020)*4)+1610+J57,IF(H57 &gt; 1900, ((H57-1900)*10)+400+J57, ((H57-1730)*2)+J57))+VLOOKUP(L57,'ID Scheme'!$A$2:$B$7,2, FALSE)</f>
        <v>1311</v>
      </c>
      <c r="F57">
        <v>1311</v>
      </c>
      <c r="G57" t="s">
        <v>683</v>
      </c>
      <c r="H57">
        <v>1931</v>
      </c>
      <c r="I57">
        <v>1</v>
      </c>
      <c r="J57">
        <v>1</v>
      </c>
      <c r="K57" t="s">
        <v>523</v>
      </c>
      <c r="L57" t="s">
        <v>12</v>
      </c>
      <c r="M57" t="s">
        <v>501</v>
      </c>
      <c r="N57">
        <v>36</v>
      </c>
      <c r="O57">
        <v>18</v>
      </c>
      <c r="P57">
        <v>19</v>
      </c>
      <c r="Q57">
        <v>5</v>
      </c>
      <c r="R57">
        <v>5</v>
      </c>
      <c r="S57">
        <v>100</v>
      </c>
      <c r="T57">
        <v>20</v>
      </c>
      <c r="U57">
        <v>32</v>
      </c>
      <c r="V57">
        <v>1</v>
      </c>
      <c r="W57" t="s">
        <v>288</v>
      </c>
      <c r="X57">
        <v>-3</v>
      </c>
      <c r="Y57" s="2" t="s">
        <v>310</v>
      </c>
      <c r="Z57" s="2"/>
      <c r="AA57" s="2"/>
      <c r="AB57" s="2"/>
      <c r="AC57" s="2"/>
      <c r="AD57" s="2"/>
      <c r="AE57" s="2"/>
      <c r="AF57" s="2"/>
      <c r="AG57" s="2"/>
      <c r="AH57" s="2"/>
      <c r="AP57">
        <v>7</v>
      </c>
      <c r="AS57" s="2">
        <f>(SQRT(N57*U57)*POWER((MIN(P57,20)+SQRT(MAX(P57-20,0))),0.9)*Data!$B$1)*(1-(V57-1))</f>
        <v>36.030122922747744</v>
      </c>
      <c r="AT57" s="2"/>
      <c r="AU57" s="2">
        <f>((POWER((N57*N57*U57), 0.33)*LOG10(S57)*10*Data!$B$1)*V57)+AT57</f>
        <v>50.112999997180935</v>
      </c>
      <c r="AV57" s="2">
        <f t="shared" si="27"/>
        <v>29.032258064516128</v>
      </c>
      <c r="AW57" s="2">
        <f t="shared" si="31"/>
        <v>0</v>
      </c>
      <c r="AZ57" s="2">
        <v>1</v>
      </c>
      <c r="BA57" s="2">
        <v>1</v>
      </c>
      <c r="BB57" s="2">
        <f t="shared" si="29"/>
        <v>32</v>
      </c>
      <c r="BC57" s="2">
        <f t="shared" si="30"/>
        <v>32</v>
      </c>
      <c r="BD57" s="3"/>
      <c r="BE57" s="3"/>
      <c r="BF57" s="3"/>
      <c r="BG57" s="2" t="str">
        <f>CONCATENATE(
ROUND(BD57*VLOOKUP(L57,'ID Scheme'!$A$2:$E$7,3),0), "x",
ROUND(BE57*VLOOKUP(L57,'ID Scheme'!$A$2:$E$7,5),0), "x",
ROUND(BF57*VLOOKUP(L57,'ID Scheme'!$A$2:$E$7,4),0))</f>
        <v>0x0x0</v>
      </c>
    </row>
    <row r="58" spans="1:60" x14ac:dyDescent="0.25">
      <c r="A58" t="s">
        <v>43</v>
      </c>
      <c r="B58" t="s">
        <v>168</v>
      </c>
      <c r="C58" t="s">
        <v>285</v>
      </c>
      <c r="D58">
        <f>IF(H58 &gt; 2020, ((H58-2020)*4)+1610+J58,IF(H58 &gt; 1900, ((H58-1900)*10)+400+J58, ((H58-1730)*2)+J58))+VLOOKUP(L58,'ID Scheme'!$A$2:$B$7,2, FALSE)</f>
        <v>1331</v>
      </c>
      <c r="F58">
        <v>1331</v>
      </c>
      <c r="G58" t="s">
        <v>683</v>
      </c>
      <c r="H58">
        <v>1933</v>
      </c>
      <c r="I58">
        <v>1</v>
      </c>
      <c r="J58">
        <v>1</v>
      </c>
      <c r="K58" t="s">
        <v>523</v>
      </c>
      <c r="L58" t="s">
        <v>12</v>
      </c>
      <c r="M58" t="s">
        <v>501</v>
      </c>
      <c r="N58">
        <v>40</v>
      </c>
      <c r="O58">
        <v>20</v>
      </c>
      <c r="P58">
        <v>16</v>
      </c>
      <c r="Q58">
        <v>4</v>
      </c>
      <c r="R58">
        <v>6</v>
      </c>
      <c r="S58">
        <v>102</v>
      </c>
      <c r="T58">
        <v>20</v>
      </c>
      <c r="U58">
        <v>44</v>
      </c>
      <c r="V58">
        <v>1</v>
      </c>
      <c r="W58" t="s">
        <v>289</v>
      </c>
      <c r="X58">
        <v>3</v>
      </c>
      <c r="Y58" s="2" t="s">
        <v>309</v>
      </c>
      <c r="Z58" s="2"/>
      <c r="AA58" s="2"/>
      <c r="AB58" s="2"/>
      <c r="AC58" s="2"/>
      <c r="AD58" s="2"/>
      <c r="AE58" s="2"/>
      <c r="AF58" s="2"/>
      <c r="AG58" s="2"/>
      <c r="AH58" s="2"/>
      <c r="AP58">
        <v>8</v>
      </c>
      <c r="AS58" s="2">
        <f>(SQRT(N58*U58)*POWER((MIN(P58,20)+SQRT(MAX(P58-20,0))),0.9)*Data!$B$1)*(1-(V58-1))</f>
        <v>38.152726710580495</v>
      </c>
      <c r="AT58" s="2"/>
      <c r="AU58" s="2">
        <f>((POWER((N58*N58*U58), 0.33)*LOG10(S58)*10*Data!$B$1)*V58)+AT58</f>
        <v>59.931305258252422</v>
      </c>
      <c r="AV58" s="2">
        <f t="shared" si="27"/>
        <v>32.258064516129032</v>
      </c>
      <c r="AW58" s="2">
        <f t="shared" si="31"/>
        <v>0</v>
      </c>
      <c r="AZ58" s="2">
        <v>1</v>
      </c>
      <c r="BA58" s="2">
        <v>1</v>
      </c>
      <c r="BB58" s="2">
        <f t="shared" si="29"/>
        <v>44</v>
      </c>
      <c r="BC58" s="2">
        <f t="shared" si="30"/>
        <v>44</v>
      </c>
      <c r="BD58" s="3"/>
      <c r="BE58" s="3"/>
      <c r="BF58" s="3"/>
      <c r="BG58" s="2" t="str">
        <f>CONCATENATE(
ROUND(BD58*VLOOKUP(L58,'ID Scheme'!$A$2:$E$7,3),0), "x",
ROUND(BE58*VLOOKUP(L58,'ID Scheme'!$A$2:$E$7,5),0), "x",
ROUND(BF58*VLOOKUP(L58,'ID Scheme'!$A$2:$E$7,4),0))</f>
        <v>0x0x0</v>
      </c>
    </row>
    <row r="59" spans="1:60" x14ac:dyDescent="0.25">
      <c r="A59" t="s">
        <v>101</v>
      </c>
      <c r="B59" t="s">
        <v>169</v>
      </c>
      <c r="C59" t="s">
        <v>285</v>
      </c>
      <c r="D59">
        <f>IF(H59 &gt; 2020, ((H59-2020)*4)+1610+J59,IF(H59 &gt; 1900, ((H59-1900)*10)+400+J59, ((H59-1730)*2)+J59))+VLOOKUP(L59,'ID Scheme'!$A$2:$B$7,2, FALSE)</f>
        <v>1332</v>
      </c>
      <c r="F59">
        <v>1332</v>
      </c>
      <c r="G59" t="s">
        <v>683</v>
      </c>
      <c r="H59">
        <v>1933</v>
      </c>
      <c r="I59">
        <v>3</v>
      </c>
      <c r="J59">
        <v>2</v>
      </c>
      <c r="K59" t="s">
        <v>523</v>
      </c>
      <c r="L59" t="s">
        <v>12</v>
      </c>
      <c r="M59" t="s">
        <v>501</v>
      </c>
      <c r="N59">
        <v>48</v>
      </c>
      <c r="O59">
        <v>25</v>
      </c>
      <c r="P59">
        <v>15</v>
      </c>
      <c r="Q59">
        <v>5</v>
      </c>
      <c r="R59">
        <v>4</v>
      </c>
      <c r="S59">
        <v>90</v>
      </c>
      <c r="T59">
        <v>20</v>
      </c>
      <c r="U59">
        <v>20</v>
      </c>
      <c r="V59">
        <v>1</v>
      </c>
      <c r="W59" t="s">
        <v>289</v>
      </c>
      <c r="X59">
        <v>0</v>
      </c>
      <c r="Y59" s="2" t="s">
        <v>308</v>
      </c>
      <c r="Z59" s="2"/>
      <c r="AA59" s="2"/>
      <c r="AB59" s="2"/>
      <c r="AC59" s="2"/>
      <c r="AD59" s="2"/>
      <c r="AE59" s="2"/>
      <c r="AF59" s="2"/>
      <c r="AG59" s="2"/>
      <c r="AH59" s="2"/>
      <c r="AP59">
        <v>6</v>
      </c>
      <c r="AS59" s="2">
        <f>(SQRT(N59*U59)*POWER((MIN(P59,20)+SQRT(MAX(P59-20,0))),0.9)*Data!$B$1)*(1-(V59-1))</f>
        <v>26.587592451565005</v>
      </c>
      <c r="AT59" s="2"/>
      <c r="AU59" s="2">
        <f>((POWER((N59*N59*U59), 0.33)*LOG10(S59)*10*Data!$B$1)*V59)+AT59</f>
        <v>50.698934782631881</v>
      </c>
      <c r="AV59" s="2">
        <f t="shared" si="27"/>
        <v>38.70967741935484</v>
      </c>
      <c r="AW59" s="2">
        <f t="shared" si="31"/>
        <v>0</v>
      </c>
      <c r="AZ59" s="2">
        <v>1</v>
      </c>
      <c r="BA59" s="2">
        <v>1</v>
      </c>
      <c r="BB59" s="2">
        <f t="shared" si="29"/>
        <v>20</v>
      </c>
      <c r="BC59" s="2">
        <f t="shared" si="30"/>
        <v>20</v>
      </c>
      <c r="BF59" s="3"/>
      <c r="BG59" s="2" t="str">
        <f>CONCATENATE(
ROUND(BD59*VLOOKUP(L59,'ID Scheme'!$A$2:$E$7,3),0), "x",
ROUND(BE59*VLOOKUP(L59,'ID Scheme'!$A$2:$E$7,5),0), "x",
ROUND(BF59*VLOOKUP(L59,'ID Scheme'!$A$2:$E$7,4),0))</f>
        <v>0x0x0</v>
      </c>
    </row>
    <row r="60" spans="1:60" x14ac:dyDescent="0.25">
      <c r="A60" t="s">
        <v>92</v>
      </c>
      <c r="B60" t="s">
        <v>170</v>
      </c>
      <c r="C60" t="s">
        <v>285</v>
      </c>
      <c r="D60">
        <f>IF(H60 &gt; 2020, ((H60-2020)*4)+1610+J60,IF(H60 &gt; 1900, ((H60-1900)*10)+400+J60, ((H60-1730)*2)+J60))+VLOOKUP(L60,'ID Scheme'!$A$2:$B$7,2, FALSE)</f>
        <v>1371</v>
      </c>
      <c r="F60">
        <v>1371</v>
      </c>
      <c r="G60" t="s">
        <v>683</v>
      </c>
      <c r="H60">
        <v>1937</v>
      </c>
      <c r="I60">
        <v>1</v>
      </c>
      <c r="J60">
        <v>1</v>
      </c>
      <c r="K60" t="s">
        <v>523</v>
      </c>
      <c r="L60" t="s">
        <v>12</v>
      </c>
      <c r="M60" t="s">
        <v>501</v>
      </c>
      <c r="N60">
        <v>44</v>
      </c>
      <c r="O60">
        <v>15</v>
      </c>
      <c r="P60">
        <v>15</v>
      </c>
      <c r="Q60">
        <v>4</v>
      </c>
      <c r="R60">
        <v>5</v>
      </c>
      <c r="S60">
        <v>100</v>
      </c>
      <c r="T60">
        <v>20</v>
      </c>
      <c r="U60">
        <v>38</v>
      </c>
      <c r="V60">
        <v>1</v>
      </c>
      <c r="W60" t="s">
        <v>289</v>
      </c>
      <c r="X60">
        <v>1</v>
      </c>
      <c r="Y60" s="2" t="s">
        <v>307</v>
      </c>
      <c r="Z60" s="2"/>
      <c r="AA60" s="2"/>
      <c r="AB60" s="2"/>
      <c r="AC60" s="2"/>
      <c r="AD60" s="2"/>
      <c r="AE60" s="2"/>
      <c r="AF60" s="2"/>
      <c r="AG60" s="2"/>
      <c r="AH60" s="2"/>
      <c r="AP60">
        <v>7</v>
      </c>
      <c r="AS60" s="2">
        <f>(SQRT(N60*U60)*POWER((MIN(P60,20)+SQRT(MAX(P60-20,0))),0.9)*Data!$B$1)*(1-(V60-1))</f>
        <v>35.088235816466785</v>
      </c>
      <c r="AT60" s="2"/>
      <c r="AU60" s="2">
        <f>((POWER((N60*N60*U60), 0.33)*LOG10(S60)*10*Data!$B$1)*V60)+AT60</f>
        <v>60.547834117089934</v>
      </c>
      <c r="AV60" s="2">
        <f t="shared" si="27"/>
        <v>35.483870967741936</v>
      </c>
      <c r="AW60" s="2">
        <f t="shared" si="31"/>
        <v>0</v>
      </c>
      <c r="AZ60" s="2">
        <v>1</v>
      </c>
      <c r="BA60" s="2">
        <v>1</v>
      </c>
      <c r="BB60" s="2">
        <f t="shared" si="29"/>
        <v>38</v>
      </c>
      <c r="BC60" s="2">
        <f t="shared" si="30"/>
        <v>38</v>
      </c>
      <c r="BD60" s="3">
        <v>8.4</v>
      </c>
      <c r="BE60" s="3">
        <v>2.4</v>
      </c>
      <c r="BF60" s="3">
        <v>2.6</v>
      </c>
      <c r="BG60" s="2" t="str">
        <f>CONCATENATE(
ROUND(BD60*VLOOKUP(L60,'ID Scheme'!$A$2:$E$7,3),0), "x",
ROUND(BE60*VLOOKUP(L60,'ID Scheme'!$A$2:$E$7,5),0), "x",
ROUND(BF60*VLOOKUP(L60,'ID Scheme'!$A$2:$E$7,4),0))</f>
        <v>78x35x25</v>
      </c>
    </row>
    <row r="61" spans="1:60" x14ac:dyDescent="0.25">
      <c r="A61" t="s">
        <v>27</v>
      </c>
      <c r="B61" t="s">
        <v>161</v>
      </c>
      <c r="C61" t="s">
        <v>285</v>
      </c>
      <c r="D61">
        <f>IF(H61 &gt; 2020, ((H61-2020)*4)+1610+J61,IF(H61 &gt; 1900, ((H61-1900)*10)+400+J61, ((H61-1730)*2)+J61))+VLOOKUP(L61,'ID Scheme'!$A$2:$B$7,2, FALSE)</f>
        <v>1451</v>
      </c>
      <c r="F61">
        <v>1451</v>
      </c>
      <c r="G61" t="s">
        <v>683</v>
      </c>
      <c r="H61">
        <v>1945</v>
      </c>
      <c r="I61">
        <v>9</v>
      </c>
      <c r="J61">
        <v>1</v>
      </c>
      <c r="K61" t="s">
        <v>523</v>
      </c>
      <c r="L61" t="s">
        <v>12</v>
      </c>
      <c r="M61" t="s">
        <v>501</v>
      </c>
      <c r="N61">
        <v>38</v>
      </c>
      <c r="O61">
        <v>20</v>
      </c>
      <c r="P61">
        <v>20</v>
      </c>
      <c r="Q61">
        <v>7</v>
      </c>
      <c r="R61">
        <v>7</v>
      </c>
      <c r="S61">
        <v>115</v>
      </c>
      <c r="T61">
        <v>20</v>
      </c>
      <c r="U61">
        <v>57</v>
      </c>
      <c r="V61">
        <v>1</v>
      </c>
      <c r="W61" t="s">
        <v>289</v>
      </c>
      <c r="X61">
        <v>3</v>
      </c>
      <c r="Y61" s="2" t="s">
        <v>306</v>
      </c>
      <c r="Z61" s="2"/>
      <c r="AA61" s="2"/>
      <c r="AB61" s="2"/>
      <c r="AC61" s="2"/>
      <c r="AD61" s="2"/>
      <c r="AE61" s="2"/>
      <c r="AF61" s="2"/>
      <c r="AG61" s="2"/>
      <c r="AH61" s="2"/>
      <c r="AP61">
        <v>8</v>
      </c>
      <c r="AS61" s="2">
        <f>(SQRT(N61*U61)*POWER((MIN(P61,20)+SQRT(MAX(P61-20,0))),0.9)*Data!$B$1)*(1-(V61-1))</f>
        <v>51.738935086655786</v>
      </c>
      <c r="AT61" s="2"/>
      <c r="AU61" s="2">
        <f>((POWER((N61*N61*U61), 0.33)*LOG10(S61)*10*Data!$B$1)*V61)+AT61</f>
        <v>64.739815215748749</v>
      </c>
      <c r="AV61" s="2">
        <f t="shared" si="27"/>
        <v>30.64516129032258</v>
      </c>
      <c r="AW61" s="2">
        <f t="shared" si="31"/>
        <v>0</v>
      </c>
      <c r="AZ61" s="2">
        <v>1</v>
      </c>
      <c r="BA61" s="2">
        <v>1</v>
      </c>
      <c r="BB61" s="2">
        <f t="shared" si="29"/>
        <v>57</v>
      </c>
      <c r="BC61" s="2">
        <f t="shared" si="30"/>
        <v>57</v>
      </c>
      <c r="BD61" s="3"/>
      <c r="BE61" s="3"/>
      <c r="BF61" s="3"/>
      <c r="BG61" s="2" t="str">
        <f>CONCATENATE(
ROUND(BD61*VLOOKUP(L61,'ID Scheme'!$A$2:$E$7,3),0), "x",
ROUND(BE61*VLOOKUP(L61,'ID Scheme'!$A$2:$E$7,5),0), "x",
ROUND(BF61*VLOOKUP(L61,'ID Scheme'!$A$2:$E$7,4),0))</f>
        <v>0x0x0</v>
      </c>
    </row>
    <row r="62" spans="1:60" x14ac:dyDescent="0.25">
      <c r="A62" t="s">
        <v>86</v>
      </c>
      <c r="B62" t="s">
        <v>171</v>
      </c>
      <c r="C62" t="s">
        <v>285</v>
      </c>
      <c r="D62">
        <f>IF(H62 &gt; 2020, ((H62-2020)*4)+1610+J62,IF(H62 &gt; 1900, ((H62-1900)*10)+400+J62, ((H62-1730)*2)+J62))+VLOOKUP(L62,'ID Scheme'!$A$2:$B$7,2, FALSE)</f>
        <v>1491</v>
      </c>
      <c r="F62">
        <v>1491</v>
      </c>
      <c r="G62" t="s">
        <v>683</v>
      </c>
      <c r="H62">
        <v>1949</v>
      </c>
      <c r="I62">
        <v>6</v>
      </c>
      <c r="J62">
        <v>1</v>
      </c>
      <c r="K62" t="s">
        <v>523</v>
      </c>
      <c r="L62" t="s">
        <v>12</v>
      </c>
      <c r="M62" t="s">
        <v>501</v>
      </c>
      <c r="N62">
        <v>42</v>
      </c>
      <c r="O62">
        <v>20</v>
      </c>
      <c r="P62">
        <v>18</v>
      </c>
      <c r="Q62">
        <v>6</v>
      </c>
      <c r="R62">
        <v>6.5</v>
      </c>
      <c r="S62">
        <v>120</v>
      </c>
      <c r="T62">
        <v>20</v>
      </c>
      <c r="U62">
        <v>58</v>
      </c>
      <c r="V62">
        <v>1</v>
      </c>
      <c r="W62" t="s">
        <v>289</v>
      </c>
      <c r="X62">
        <v>3</v>
      </c>
      <c r="Y62" s="2" t="s">
        <v>292</v>
      </c>
      <c r="Z62" s="2"/>
      <c r="AA62" s="2"/>
      <c r="AB62" s="2"/>
      <c r="AC62" s="2"/>
      <c r="AD62" s="2"/>
      <c r="AE62" s="2"/>
      <c r="AF62" s="2"/>
      <c r="AG62" s="2"/>
      <c r="AH62" s="2"/>
      <c r="AP62">
        <v>7</v>
      </c>
      <c r="AS62" s="2">
        <f>(SQRT(N62*U62)*POWER((MIN(P62,20)+SQRT(MAX(P62-20,0))),0.9)*Data!$B$1)*(1-(V62-1))</f>
        <v>49.905126406384355</v>
      </c>
      <c r="AT62" s="2"/>
      <c r="AU62" s="2">
        <f>((POWER((N62*N62*U62), 0.33)*LOG10(S62)*10*Data!$B$1)*V62)+AT62</f>
        <v>70.182588528436455</v>
      </c>
      <c r="AV62" s="2">
        <f t="shared" si="27"/>
        <v>33.870967741935488</v>
      </c>
      <c r="AW62" s="2">
        <f t="shared" si="31"/>
        <v>0</v>
      </c>
      <c r="AZ62" s="2">
        <v>1</v>
      </c>
      <c r="BA62" s="2">
        <v>1</v>
      </c>
      <c r="BB62" s="2">
        <f t="shared" si="29"/>
        <v>58</v>
      </c>
      <c r="BC62" s="2">
        <f t="shared" si="30"/>
        <v>58</v>
      </c>
      <c r="BD62" s="3">
        <v>9.1</v>
      </c>
      <c r="BE62" s="3">
        <v>2.4</v>
      </c>
      <c r="BF62" s="3">
        <v>3.9</v>
      </c>
      <c r="BG62" s="2" t="str">
        <f>CONCATENATE(
ROUND(BD62*VLOOKUP(L62,'ID Scheme'!$A$2:$E$7,3),0), "x",
ROUND(BE62*VLOOKUP(L62,'ID Scheme'!$A$2:$E$7,5),0), "x",
ROUND(BF62*VLOOKUP(L62,'ID Scheme'!$A$2:$E$7,4),0))</f>
        <v>85x35x38</v>
      </c>
      <c r="BH62" t="s">
        <v>87</v>
      </c>
    </row>
    <row r="63" spans="1:60" x14ac:dyDescent="0.25">
      <c r="A63" t="s">
        <v>581</v>
      </c>
      <c r="B63" t="s">
        <v>582</v>
      </c>
      <c r="C63" t="s">
        <v>285</v>
      </c>
      <c r="D63">
        <f>IF(H63 &gt; 2020, ((H63-2020)*4)+1610+J63,IF(H63 &gt; 1900, ((H63-1900)*10)+400+J63, ((H63-1730)*2)+J63))+VLOOKUP(L63,'ID Scheme'!$A$2:$B$7,2, FALSE)</f>
        <v>1502</v>
      </c>
      <c r="F63">
        <v>1502</v>
      </c>
      <c r="G63" t="s">
        <v>683</v>
      </c>
      <c r="H63">
        <v>1950</v>
      </c>
      <c r="I63">
        <v>7</v>
      </c>
      <c r="J63">
        <v>2</v>
      </c>
      <c r="K63" t="s">
        <v>523</v>
      </c>
      <c r="L63" t="s">
        <v>12</v>
      </c>
      <c r="M63" t="s">
        <v>506</v>
      </c>
      <c r="N63">
        <v>30</v>
      </c>
      <c r="O63">
        <v>20</v>
      </c>
      <c r="P63">
        <v>17</v>
      </c>
      <c r="Q63">
        <v>5</v>
      </c>
      <c r="R63">
        <v>5</v>
      </c>
      <c r="S63">
        <v>75</v>
      </c>
      <c r="T63">
        <v>20</v>
      </c>
      <c r="U63">
        <v>56</v>
      </c>
      <c r="V63">
        <v>1</v>
      </c>
      <c r="W63" t="s">
        <v>365</v>
      </c>
      <c r="X63">
        <v>3</v>
      </c>
      <c r="Y63" s="2" t="s">
        <v>583</v>
      </c>
      <c r="Z63" s="2"/>
      <c r="AA63" s="2"/>
      <c r="AB63" s="2"/>
      <c r="AC63" s="2"/>
      <c r="AD63" s="2"/>
      <c r="AE63" s="2"/>
      <c r="AF63" s="2"/>
      <c r="AG63" s="2"/>
      <c r="AH63" s="2"/>
      <c r="AP63">
        <v>8</v>
      </c>
      <c r="AS63" s="2">
        <f>(SQRT(N63*U63)*POWER((MIN(P63,20)+SQRT(MAX(P63-20,0))),0.9)*Data!$B$1)*(1-(V63-1))</f>
        <v>39.365877210261296</v>
      </c>
      <c r="AT63" s="2"/>
      <c r="AU63" s="2">
        <f>((POWER((N63*N63*U63), 0.33)*LOG10(S63)*10*Data!$B$1)*V63)+AT63</f>
        <v>50.104738782023908</v>
      </c>
      <c r="AV63" s="2">
        <f t="shared" si="27"/>
        <v>24.193548387096776</v>
      </c>
      <c r="AW63" s="2">
        <f t="shared" ref="AW63" si="41">AI63/1.24</f>
        <v>0</v>
      </c>
      <c r="AZ63" s="2">
        <v>1</v>
      </c>
      <c r="BA63" s="2">
        <v>1</v>
      </c>
      <c r="BB63" s="2">
        <f t="shared" si="29"/>
        <v>56</v>
      </c>
      <c r="BC63" s="2">
        <f t="shared" si="30"/>
        <v>56</v>
      </c>
      <c r="BD63" s="3">
        <v>11</v>
      </c>
      <c r="BE63" s="3">
        <v>2.5</v>
      </c>
      <c r="BF63" s="3">
        <v>3.8</v>
      </c>
      <c r="BG63" s="2" t="str">
        <f>CONCATENATE(
ROUND(BD63*VLOOKUP(L63,'ID Scheme'!$A$2:$E$7,3),0), "x",
ROUND(BE63*VLOOKUP(L63,'ID Scheme'!$A$2:$E$7,5),0), "x",
ROUND(BF63*VLOOKUP(L63,'ID Scheme'!$A$2:$E$7,4),0))</f>
        <v>103x36x37</v>
      </c>
    </row>
    <row r="64" spans="1:60" x14ac:dyDescent="0.25">
      <c r="A64" t="s">
        <v>85</v>
      </c>
      <c r="B64" t="s">
        <v>172</v>
      </c>
      <c r="C64" t="s">
        <v>285</v>
      </c>
      <c r="D64">
        <f>IF(H64 &gt; 2020, ((H64-2020)*4)+1610+J64,IF(H64 &gt; 1900, ((H64-1900)*10)+400+J64, ((H64-1730)*2)+J64))+VLOOKUP(L64,'ID Scheme'!$A$2:$B$7,2, FALSE)</f>
        <v>1501</v>
      </c>
      <c r="F64">
        <v>1501</v>
      </c>
      <c r="G64" t="s">
        <v>683</v>
      </c>
      <c r="H64">
        <v>1950</v>
      </c>
      <c r="I64">
        <v>1</v>
      </c>
      <c r="J64">
        <v>1</v>
      </c>
      <c r="K64" t="s">
        <v>523</v>
      </c>
      <c r="L64" t="s">
        <v>12</v>
      </c>
      <c r="M64" t="s">
        <v>501</v>
      </c>
      <c r="N64">
        <v>45</v>
      </c>
      <c r="O64">
        <v>15</v>
      </c>
      <c r="P64">
        <v>17</v>
      </c>
      <c r="Q64">
        <v>4</v>
      </c>
      <c r="R64">
        <v>5</v>
      </c>
      <c r="S64">
        <v>120</v>
      </c>
      <c r="T64">
        <v>20</v>
      </c>
      <c r="U64">
        <v>42</v>
      </c>
      <c r="V64">
        <v>1</v>
      </c>
      <c r="W64" t="s">
        <v>289</v>
      </c>
      <c r="X64">
        <v>1</v>
      </c>
      <c r="Y64" s="2" t="s">
        <v>293</v>
      </c>
      <c r="Z64" s="2"/>
      <c r="AA64" s="2"/>
      <c r="AB64" s="2"/>
      <c r="AC64" s="2"/>
      <c r="AD64" s="2"/>
      <c r="AE64" s="2"/>
      <c r="AF64" s="2"/>
      <c r="AG64" s="2"/>
      <c r="AH64" s="2"/>
      <c r="AP64">
        <v>7</v>
      </c>
      <c r="AS64" s="2">
        <f>(SQRT(N64*U64)*POWER((MIN(P64,20)+SQRT(MAX(P64-20,0))),0.9)*Data!$B$1)*(1-(V64-1))</f>
        <v>41.753818084099102</v>
      </c>
      <c r="AT64" s="2"/>
      <c r="AU64" s="2">
        <f>((POWER((N64*N64*U64), 0.33)*LOG10(S64)*10*Data!$B$1)*V64)+AT64</f>
        <v>66.030735917412429</v>
      </c>
      <c r="AV64" s="2">
        <f t="shared" si="27"/>
        <v>36.29032258064516</v>
      </c>
      <c r="AW64" s="2">
        <f t="shared" si="31"/>
        <v>0</v>
      </c>
      <c r="AZ64" s="2">
        <v>1</v>
      </c>
      <c r="BA64" s="2">
        <v>1</v>
      </c>
      <c r="BB64" s="2">
        <f t="shared" si="29"/>
        <v>42</v>
      </c>
      <c r="BC64" s="2">
        <f t="shared" si="30"/>
        <v>42</v>
      </c>
      <c r="BD64" s="3">
        <v>9.1</v>
      </c>
      <c r="BE64" s="3">
        <v>2.4</v>
      </c>
      <c r="BF64" s="3">
        <v>2.6</v>
      </c>
      <c r="BG64" s="2" t="str">
        <f>CONCATENATE(
ROUND(BD64*VLOOKUP(L64,'ID Scheme'!$A$2:$E$7,3),0), "x",
ROUND(BE64*VLOOKUP(L64,'ID Scheme'!$A$2:$E$7,5),0), "x",
ROUND(BF64*VLOOKUP(L64,'ID Scheme'!$A$2:$E$7,4),0))</f>
        <v>85x35x25</v>
      </c>
      <c r="BH64" t="s">
        <v>87</v>
      </c>
    </row>
    <row r="65" spans="1:60" x14ac:dyDescent="0.25">
      <c r="A65" t="s">
        <v>28</v>
      </c>
      <c r="B65" t="s">
        <v>173</v>
      </c>
      <c r="C65" t="s">
        <v>285</v>
      </c>
      <c r="D65">
        <f>IF(H65 &gt; 2020, ((H65-2020)*4)+1610+J65,IF(H65 &gt; 1900, ((H65-1900)*10)+400+J65, ((H65-1730)*2)+J65))+VLOOKUP(L65,'ID Scheme'!$A$2:$B$7,2, FALSE)</f>
        <v>1541</v>
      </c>
      <c r="F65">
        <v>1541</v>
      </c>
      <c r="G65" t="s">
        <v>683</v>
      </c>
      <c r="H65">
        <v>1954</v>
      </c>
      <c r="I65">
        <v>9</v>
      </c>
      <c r="J65">
        <v>1</v>
      </c>
      <c r="K65" t="s">
        <v>523</v>
      </c>
      <c r="L65" t="s">
        <v>12</v>
      </c>
      <c r="M65" t="s">
        <v>501</v>
      </c>
      <c r="N65">
        <v>40</v>
      </c>
      <c r="O65">
        <v>40</v>
      </c>
      <c r="P65">
        <v>25</v>
      </c>
      <c r="Q65">
        <v>7</v>
      </c>
      <c r="R65">
        <v>7.5</v>
      </c>
      <c r="S65">
        <v>115</v>
      </c>
      <c r="T65">
        <v>20</v>
      </c>
      <c r="U65">
        <v>72</v>
      </c>
      <c r="V65">
        <v>1</v>
      </c>
      <c r="W65" t="s">
        <v>289</v>
      </c>
      <c r="X65">
        <v>3</v>
      </c>
      <c r="Y65" s="2" t="s">
        <v>305</v>
      </c>
      <c r="Z65" s="2"/>
      <c r="AA65" s="2"/>
      <c r="AB65" s="2"/>
      <c r="AC65" s="2"/>
      <c r="AD65" s="2"/>
      <c r="AE65" s="2"/>
      <c r="AF65" s="2"/>
      <c r="AG65" s="2"/>
      <c r="AH65" s="2"/>
      <c r="AP65">
        <v>8</v>
      </c>
      <c r="AS65" s="2">
        <f>(SQRT(N65*U65)*POWER((MIN(P65,20)+SQRT(MAX(P65-20,0))),0.9)*Data!$B$1)*(1-(V65-1))</f>
        <v>65.631102684772316</v>
      </c>
      <c r="AT65" s="2"/>
      <c r="AU65" s="2">
        <f>((POWER((N65*N65*U65), 0.33)*LOG10(S65)*10*Data!$B$1)*V65)+AT65</f>
        <v>72.3360679145528</v>
      </c>
      <c r="AV65" s="2">
        <f t="shared" si="27"/>
        <v>32.258064516129032</v>
      </c>
      <c r="AW65" s="2">
        <f t="shared" si="31"/>
        <v>0</v>
      </c>
      <c r="AZ65" s="2">
        <v>1</v>
      </c>
      <c r="BA65" s="2">
        <v>1</v>
      </c>
      <c r="BB65" s="2">
        <f t="shared" si="29"/>
        <v>72</v>
      </c>
      <c r="BC65" s="2">
        <f t="shared" si="30"/>
        <v>72</v>
      </c>
      <c r="BD65" s="3"/>
      <c r="BE65" s="3"/>
      <c r="BF65" s="3"/>
      <c r="BG65" s="2" t="str">
        <f>CONCATENATE(
ROUND(BD65*VLOOKUP(L65,'ID Scheme'!$A$2:$E$7,3),0), "x",
ROUND(BE65*VLOOKUP(L65,'ID Scheme'!$A$2:$E$7,5),0), "x",
ROUND(BF65*VLOOKUP(L65,'ID Scheme'!$A$2:$E$7,4),0))</f>
        <v>0x0x0</v>
      </c>
    </row>
    <row r="66" spans="1:60" x14ac:dyDescent="0.25">
      <c r="A66" t="s">
        <v>29</v>
      </c>
      <c r="B66" t="s">
        <v>174</v>
      </c>
      <c r="C66" t="s">
        <v>285</v>
      </c>
      <c r="D66">
        <f>IF(H66 &gt; 2020, ((H66-2020)*4)+1610+J66,IF(H66 &gt; 1900, ((H66-1900)*10)+400+J66, ((H66-1730)*2)+J66))+VLOOKUP(L66,'ID Scheme'!$A$2:$B$7,2, FALSE)</f>
        <v>1581</v>
      </c>
      <c r="F66">
        <v>1581</v>
      </c>
      <c r="G66" t="s">
        <v>683</v>
      </c>
      <c r="H66">
        <v>1958</v>
      </c>
      <c r="I66">
        <v>6</v>
      </c>
      <c r="J66">
        <v>1</v>
      </c>
      <c r="K66" t="s">
        <v>523</v>
      </c>
      <c r="L66" t="s">
        <v>12</v>
      </c>
      <c r="M66" t="s">
        <v>501</v>
      </c>
      <c r="N66">
        <v>76</v>
      </c>
      <c r="O66">
        <v>15</v>
      </c>
      <c r="P66">
        <v>16</v>
      </c>
      <c r="Q66">
        <v>4</v>
      </c>
      <c r="R66">
        <v>6</v>
      </c>
      <c r="S66">
        <v>138</v>
      </c>
      <c r="T66">
        <v>24</v>
      </c>
      <c r="U66">
        <v>34</v>
      </c>
      <c r="V66">
        <v>1.1000000000000001</v>
      </c>
      <c r="W66" t="s">
        <v>295</v>
      </c>
      <c r="X66">
        <v>2</v>
      </c>
      <c r="Y66" s="2" t="s">
        <v>296</v>
      </c>
      <c r="Z66" s="2"/>
      <c r="AA66" s="2"/>
      <c r="AB66" s="2"/>
      <c r="AC66" s="2"/>
      <c r="AD66" s="2"/>
      <c r="AE66" s="2"/>
      <c r="AF66" s="2"/>
      <c r="AG66" s="2"/>
      <c r="AH66" s="2"/>
      <c r="AI66">
        <v>62</v>
      </c>
      <c r="AP66">
        <v>8</v>
      </c>
      <c r="AS66" s="2">
        <f>(SQRT(N66*U66)*POWER((MIN(P66,20)+SQRT(MAX(P66-20,0))),0.9)*Data!$B$1)*(1-(V66-1))</f>
        <v>41.606196119796323</v>
      </c>
      <c r="AT66" s="2"/>
      <c r="AU66" s="2">
        <f>((POWER((N66*N66*U66), 0.33)*LOG10(S66)*10*Data!$B$1)*V66)+AT66</f>
        <v>98.529935018135305</v>
      </c>
      <c r="AV66" s="2">
        <f t="shared" si="27"/>
        <v>61.29032258064516</v>
      </c>
      <c r="AW66" s="2">
        <f t="shared" si="31"/>
        <v>50</v>
      </c>
      <c r="AZ66" s="2">
        <v>1</v>
      </c>
      <c r="BA66" s="2">
        <v>1</v>
      </c>
      <c r="BB66" s="2">
        <f t="shared" si="29"/>
        <v>34</v>
      </c>
      <c r="BC66" s="2">
        <f t="shared" si="30"/>
        <v>34</v>
      </c>
      <c r="BD66" s="3"/>
      <c r="BE66" s="3"/>
      <c r="BF66" s="3"/>
      <c r="BG66" s="2" t="str">
        <f>CONCATENATE(
ROUND(BD66*VLOOKUP(L66,'ID Scheme'!$A$2:$E$7,3),0), "x",
ROUND(BE66*VLOOKUP(L66,'ID Scheme'!$A$2:$E$7,5),0), "x",
ROUND(BF66*VLOOKUP(L66,'ID Scheme'!$A$2:$E$7,4),0))</f>
        <v>0x0x0</v>
      </c>
    </row>
    <row r="67" spans="1:60" x14ac:dyDescent="0.25">
      <c r="A67" t="s">
        <v>59</v>
      </c>
      <c r="B67" t="s">
        <v>175</v>
      </c>
      <c r="C67" t="s">
        <v>285</v>
      </c>
      <c r="D67">
        <f>IF(H67 &gt; 2020, ((H67-2020)*4)+1610+J67,IF(H67 &gt; 1900, ((H67-1900)*10)+400+J67, ((H67-1730)*2)+J67))+VLOOKUP(L67,'ID Scheme'!$A$2:$B$7,2, FALSE)</f>
        <v>1582</v>
      </c>
      <c r="F67">
        <v>1582</v>
      </c>
      <c r="G67" t="s">
        <v>683</v>
      </c>
      <c r="H67">
        <v>1958</v>
      </c>
      <c r="I67">
        <v>1</v>
      </c>
      <c r="J67">
        <v>2</v>
      </c>
      <c r="K67" t="s">
        <v>523</v>
      </c>
      <c r="L67" t="s">
        <v>12</v>
      </c>
      <c r="M67" t="s">
        <v>501</v>
      </c>
      <c r="N67">
        <v>55</v>
      </c>
      <c r="O67">
        <v>30</v>
      </c>
      <c r="P67">
        <v>25</v>
      </c>
      <c r="Q67">
        <v>4</v>
      </c>
      <c r="R67">
        <v>7</v>
      </c>
      <c r="S67">
        <v>140</v>
      </c>
      <c r="T67">
        <v>20</v>
      </c>
      <c r="U67">
        <v>57</v>
      </c>
      <c r="V67">
        <v>1</v>
      </c>
      <c r="W67" t="s">
        <v>299</v>
      </c>
      <c r="X67">
        <v>3</v>
      </c>
      <c r="Y67" s="2" t="s">
        <v>300</v>
      </c>
      <c r="Z67" s="2"/>
      <c r="AA67" s="2"/>
      <c r="AB67" s="2"/>
      <c r="AC67" s="2"/>
      <c r="AD67" s="2"/>
      <c r="AE67" s="2"/>
      <c r="AF67" s="2"/>
      <c r="AG67" s="2"/>
      <c r="AH67" s="2"/>
      <c r="AP67">
        <v>8</v>
      </c>
      <c r="AS67" s="2">
        <f>(SQRT(N67*U67)*POWER((MIN(P67,20)+SQRT(MAX(P67-20,0))),0.9)*Data!$B$1)*(1-(V67-1))</f>
        <v>68.475029766042482</v>
      </c>
      <c r="AT67" s="2"/>
      <c r="AU67" s="2">
        <f>((POWER((N67*N67*U67), 0.33)*LOG10(S67)*10*Data!$B$1)*V67)+AT67</f>
        <v>86.05873713759469</v>
      </c>
      <c r="AV67" s="2">
        <f t="shared" si="27"/>
        <v>44.354838709677416</v>
      </c>
      <c r="AW67" s="2">
        <f t="shared" si="31"/>
        <v>0</v>
      </c>
      <c r="AZ67" s="2">
        <v>1</v>
      </c>
      <c r="BA67" s="2">
        <v>1</v>
      </c>
      <c r="BB67" s="2">
        <f t="shared" si="29"/>
        <v>57</v>
      </c>
      <c r="BC67" s="2">
        <f t="shared" si="30"/>
        <v>57</v>
      </c>
      <c r="BD67" s="3"/>
      <c r="BE67" s="3"/>
      <c r="BF67" s="3"/>
      <c r="BG67" s="2" t="str">
        <f>CONCATENATE(
ROUND(BD67*VLOOKUP(L67,'ID Scheme'!$A$2:$E$7,3),0), "x",
ROUND(BE67*VLOOKUP(L67,'ID Scheme'!$A$2:$E$7,5),0), "x",
ROUND(BF67*VLOOKUP(L67,'ID Scheme'!$A$2:$E$7,4),0))</f>
        <v>0x0x0</v>
      </c>
    </row>
    <row r="68" spans="1:60" x14ac:dyDescent="0.25">
      <c r="A68" t="s">
        <v>579</v>
      </c>
      <c r="B68" t="s">
        <v>578</v>
      </c>
      <c r="C68" t="s">
        <v>285</v>
      </c>
      <c r="D68">
        <f>IF(H68 &gt; 2020, ((H68-2020)*4)+1610+J68,IF(H68 &gt; 1900, ((H68-1900)*10)+400+J68, ((H68-1730)*2)+J68))+VLOOKUP(L68,'ID Scheme'!$A$2:$B$7,2, FALSE)</f>
        <v>1601</v>
      </c>
      <c r="F68">
        <v>1601</v>
      </c>
      <c r="G68" t="s">
        <v>683</v>
      </c>
      <c r="H68">
        <v>1960</v>
      </c>
      <c r="I68">
        <v>2</v>
      </c>
      <c r="J68">
        <v>1</v>
      </c>
      <c r="K68" t="s">
        <v>523</v>
      </c>
      <c r="L68" t="s">
        <v>12</v>
      </c>
      <c r="M68" t="s">
        <v>506</v>
      </c>
      <c r="N68">
        <v>30</v>
      </c>
      <c r="O68">
        <v>-1</v>
      </c>
      <c r="P68">
        <v>19</v>
      </c>
      <c r="Q68">
        <v>5</v>
      </c>
      <c r="R68">
        <v>5</v>
      </c>
      <c r="S68">
        <v>95</v>
      </c>
      <c r="T68">
        <v>20</v>
      </c>
      <c r="U68">
        <v>65</v>
      </c>
      <c r="V68">
        <v>1</v>
      </c>
      <c r="W68" t="s">
        <v>365</v>
      </c>
      <c r="X68">
        <v>3</v>
      </c>
      <c r="Y68" s="2" t="s">
        <v>580</v>
      </c>
      <c r="Z68" s="2"/>
      <c r="AA68" s="2"/>
      <c r="AB68" s="2"/>
      <c r="AC68" s="2"/>
      <c r="AD68" s="2"/>
      <c r="AE68" s="2"/>
      <c r="AF68" s="2"/>
      <c r="AG68" s="2"/>
      <c r="AH68" s="2"/>
      <c r="AP68">
        <v>8</v>
      </c>
      <c r="AS68" s="2">
        <f>(SQRT(N68*U68)*POWER((MIN(P68,20)+SQRT(MAX(P68-20,0))),0.9)*Data!$B$1)*(1-(V68-1))</f>
        <v>46.876676153043313</v>
      </c>
      <c r="AT68" s="2"/>
      <c r="AU68" s="2">
        <f>((POWER((N68*N68*U68), 0.33)*LOG10(S68)*10*Data!$B$1)*V68)+AT68</f>
        <v>55.512181741920003</v>
      </c>
      <c r="AV68" s="2">
        <f t="shared" si="27"/>
        <v>24.193548387096776</v>
      </c>
      <c r="AW68" s="2">
        <f t="shared" si="31"/>
        <v>0</v>
      </c>
      <c r="AZ68" s="2">
        <v>1</v>
      </c>
      <c r="BA68" s="2">
        <v>1</v>
      </c>
      <c r="BB68" s="2">
        <f t="shared" si="29"/>
        <v>65</v>
      </c>
      <c r="BC68" s="2">
        <f t="shared" si="30"/>
        <v>65</v>
      </c>
      <c r="BD68" s="3">
        <v>11</v>
      </c>
      <c r="BE68" s="3">
        <v>2.5</v>
      </c>
      <c r="BF68" s="3">
        <v>3.8</v>
      </c>
      <c r="BG68" s="2" t="str">
        <f>CONCATENATE(
ROUND(BD68*VLOOKUP(L68,'ID Scheme'!$A$2:$E$7,3),0), "x",
ROUND(BE68*VLOOKUP(L68,'ID Scheme'!$A$2:$E$7,5),0), "x",
ROUND(BF68*VLOOKUP(L68,'ID Scheme'!$A$2:$E$7,4),0))</f>
        <v>103x36x37</v>
      </c>
    </row>
    <row r="69" spans="1:60" x14ac:dyDescent="0.25">
      <c r="A69" t="s">
        <v>25</v>
      </c>
      <c r="B69" t="s">
        <v>176</v>
      </c>
      <c r="C69" t="s">
        <v>285</v>
      </c>
      <c r="D69">
        <f>IF(H69 &gt; 2020, ((H69-2020)*4)+1610+J69,IF(H69 &gt; 1900, ((H69-1900)*10)+400+J69, ((H69-1730)*2)+J69))+VLOOKUP(L69,'ID Scheme'!$A$2:$B$7,2, FALSE)</f>
        <v>1631</v>
      </c>
      <c r="F69">
        <v>1631</v>
      </c>
      <c r="G69" t="s">
        <v>683</v>
      </c>
      <c r="H69">
        <v>1963</v>
      </c>
      <c r="I69">
        <v>6</v>
      </c>
      <c r="J69">
        <v>1</v>
      </c>
      <c r="K69" t="s">
        <v>523</v>
      </c>
      <c r="L69" t="s">
        <v>12</v>
      </c>
      <c r="M69" t="s">
        <v>501</v>
      </c>
      <c r="N69">
        <v>55</v>
      </c>
      <c r="O69">
        <v>20</v>
      </c>
      <c r="P69">
        <v>18</v>
      </c>
      <c r="Q69">
        <v>4</v>
      </c>
      <c r="R69">
        <v>10</v>
      </c>
      <c r="S69">
        <v>143</v>
      </c>
      <c r="T69">
        <v>20</v>
      </c>
      <c r="U69">
        <v>52</v>
      </c>
      <c r="V69">
        <v>1</v>
      </c>
      <c r="W69" t="s">
        <v>299</v>
      </c>
      <c r="X69">
        <v>3</v>
      </c>
      <c r="Y69" s="2" t="s">
        <v>301</v>
      </c>
      <c r="Z69" s="2"/>
      <c r="AA69" s="2"/>
      <c r="AB69" s="2"/>
      <c r="AC69" s="2"/>
      <c r="AD69" s="2"/>
      <c r="AE69" s="2"/>
      <c r="AF69" s="2"/>
      <c r="AG69" s="2"/>
      <c r="AH69" s="2"/>
      <c r="AP69">
        <v>8</v>
      </c>
      <c r="AS69" s="2">
        <f>(SQRT(N69*U69)*POWER((MIN(P69,20)+SQRT(MAX(P69-20,0))),0.9)*Data!$B$1)*(1-(V69-1))</f>
        <v>54.074129222607461</v>
      </c>
      <c r="AT69" s="2"/>
      <c r="AU69" s="2">
        <f>((POWER((N69*N69*U69), 0.33)*LOG10(S69)*10*Data!$B$1)*V69)+AT69</f>
        <v>83.848776966287019</v>
      </c>
      <c r="AV69" s="2">
        <f t="shared" si="27"/>
        <v>44.354838709677416</v>
      </c>
      <c r="AW69" s="2">
        <f t="shared" si="31"/>
        <v>0</v>
      </c>
      <c r="AZ69" s="2">
        <v>1</v>
      </c>
      <c r="BA69" s="2">
        <v>1</v>
      </c>
      <c r="BB69" s="2">
        <f t="shared" si="29"/>
        <v>52</v>
      </c>
      <c r="BC69" s="2">
        <f t="shared" si="30"/>
        <v>52</v>
      </c>
      <c r="BD69" s="3">
        <v>11</v>
      </c>
      <c r="BE69" s="3">
        <v>2.5</v>
      </c>
      <c r="BF69" s="3"/>
      <c r="BG69" s="2" t="str">
        <f>CONCATENATE(
ROUND(BD69*VLOOKUP(L69,'ID Scheme'!$A$2:$E$7,3),0), "x",
ROUND(BE69*VLOOKUP(L69,'ID Scheme'!$A$2:$E$7,5),0), "x",
ROUND(BF69*VLOOKUP(L69,'ID Scheme'!$A$2:$E$7,4),0))</f>
        <v>103x36x0</v>
      </c>
    </row>
    <row r="70" spans="1:60" x14ac:dyDescent="0.25">
      <c r="A70" t="s">
        <v>45</v>
      </c>
      <c r="B70" t="s">
        <v>177</v>
      </c>
      <c r="C70" t="s">
        <v>285</v>
      </c>
      <c r="D70">
        <f>IF(H70 &gt; 2020, ((H70-2020)*4)+1610+J70,IF(H70 &gt; 1900, ((H70-1900)*10)+400+J70, ((H70-1730)*2)+J70))+VLOOKUP(L70,'ID Scheme'!$A$2:$B$7,2, FALSE)</f>
        <v>1721</v>
      </c>
      <c r="F70">
        <v>1721</v>
      </c>
      <c r="G70" t="s">
        <v>683</v>
      </c>
      <c r="H70">
        <v>1972</v>
      </c>
      <c r="I70">
        <v>1</v>
      </c>
      <c r="J70">
        <v>1</v>
      </c>
      <c r="K70" t="s">
        <v>523</v>
      </c>
      <c r="L70" t="s">
        <v>12</v>
      </c>
      <c r="M70" t="s">
        <v>501</v>
      </c>
      <c r="N70">
        <v>52</v>
      </c>
      <c r="O70">
        <v>23</v>
      </c>
      <c r="P70">
        <v>22</v>
      </c>
      <c r="Q70">
        <v>5</v>
      </c>
      <c r="R70">
        <v>7</v>
      </c>
      <c r="S70">
        <v>165</v>
      </c>
      <c r="T70">
        <v>20</v>
      </c>
      <c r="U70">
        <v>58</v>
      </c>
      <c r="V70">
        <v>1</v>
      </c>
      <c r="W70" t="s">
        <v>289</v>
      </c>
      <c r="X70">
        <v>3</v>
      </c>
      <c r="Y70" s="2" t="s">
        <v>302</v>
      </c>
      <c r="Z70" s="2"/>
      <c r="AA70" s="2"/>
      <c r="AB70" s="2"/>
      <c r="AC70" s="2"/>
      <c r="AD70" s="2"/>
      <c r="AE70" s="2"/>
      <c r="AF70" s="2"/>
      <c r="AG70" s="2"/>
      <c r="AH70" s="2"/>
      <c r="AP70">
        <v>8</v>
      </c>
      <c r="AS70" s="2">
        <f>(SQRT(N70*U70)*POWER((MIN(P70,20)+SQRT(MAX(P70-20,0))),0.9)*Data!$B$1)*(1-(V70-1))</f>
        <v>64.924535113354011</v>
      </c>
      <c r="AT70" s="2"/>
      <c r="AU70" s="2">
        <f>((POWER((N70*N70*U70), 0.33)*LOG10(S70)*10*Data!$B$1)*V70)+AT70</f>
        <v>86.181726874059862</v>
      </c>
      <c r="AV70" s="2">
        <f t="shared" si="27"/>
        <v>41.935483870967744</v>
      </c>
      <c r="AW70" s="2">
        <f t="shared" si="31"/>
        <v>0</v>
      </c>
      <c r="AZ70" s="2">
        <v>1</v>
      </c>
      <c r="BA70" s="2">
        <v>1</v>
      </c>
      <c r="BB70" s="2">
        <f t="shared" si="29"/>
        <v>58</v>
      </c>
      <c r="BC70" s="2">
        <f t="shared" si="30"/>
        <v>58</v>
      </c>
      <c r="BD70" s="3">
        <v>11.3</v>
      </c>
      <c r="BE70" s="3">
        <v>2.5</v>
      </c>
      <c r="BF70" s="3"/>
      <c r="BG70" s="2" t="str">
        <f>CONCATENATE(
ROUND(BD70*VLOOKUP(L70,'ID Scheme'!$A$2:$E$7,3),0), "x",
ROUND(BE70*VLOOKUP(L70,'ID Scheme'!$A$2:$E$7,5),0), "x",
ROUND(BF70*VLOOKUP(L70,'ID Scheme'!$A$2:$E$7,4),0))</f>
        <v>106x36x0</v>
      </c>
    </row>
    <row r="71" spans="1:60" x14ac:dyDescent="0.25">
      <c r="A71" t="s">
        <v>94</v>
      </c>
      <c r="B71" t="s">
        <v>178</v>
      </c>
      <c r="C71" t="s">
        <v>285</v>
      </c>
      <c r="D71">
        <f>IF(H71 &gt; 2020, ((H71-2020)*4)+1610+J71,IF(H71 &gt; 1900, ((H71-1900)*10)+400+J71, ((H71-1730)*2)+J71))+VLOOKUP(L71,'ID Scheme'!$A$2:$B$7,2, FALSE)</f>
        <v>1771</v>
      </c>
      <c r="F71">
        <v>1771</v>
      </c>
      <c r="G71" t="s">
        <v>683</v>
      </c>
      <c r="H71">
        <v>1977</v>
      </c>
      <c r="I71">
        <v>1</v>
      </c>
      <c r="J71">
        <v>1</v>
      </c>
      <c r="K71" t="s">
        <v>523</v>
      </c>
      <c r="L71" t="s">
        <v>12</v>
      </c>
      <c r="M71" t="s">
        <v>501</v>
      </c>
      <c r="N71">
        <v>45</v>
      </c>
      <c r="O71">
        <v>12</v>
      </c>
      <c r="P71">
        <v>19</v>
      </c>
      <c r="Q71">
        <v>7</v>
      </c>
      <c r="R71">
        <v>10</v>
      </c>
      <c r="S71">
        <v>210</v>
      </c>
      <c r="T71">
        <v>20</v>
      </c>
      <c r="U71">
        <v>71</v>
      </c>
      <c r="V71">
        <v>1</v>
      </c>
      <c r="W71" t="s">
        <v>299</v>
      </c>
      <c r="X71">
        <v>3</v>
      </c>
      <c r="Y71" s="2" t="s">
        <v>303</v>
      </c>
      <c r="Z71" s="2"/>
      <c r="AA71" s="2"/>
      <c r="AB71" s="2"/>
      <c r="AC71" s="2"/>
      <c r="AD71" s="2"/>
      <c r="AE71" s="2"/>
      <c r="AF71" s="2"/>
      <c r="AG71" s="2"/>
      <c r="AH71" s="2"/>
      <c r="AP71">
        <v>8</v>
      </c>
      <c r="AS71" s="2">
        <f>(SQRT(N71*U71)*POWER((MIN(P71,20)+SQRT(MAX(P71-20,0))),0.9)*Data!$B$1)*(1-(V71-1))</f>
        <v>60.003272308491312</v>
      </c>
      <c r="AT71" s="2"/>
      <c r="AU71" s="2">
        <f>((POWER((N71*N71*U71), 0.33)*LOG10(S71)*10*Data!$B$1)*V71)+AT71</f>
        <v>87.700083475967674</v>
      </c>
      <c r="AV71" s="2">
        <f t="shared" si="27"/>
        <v>36.29032258064516</v>
      </c>
      <c r="AW71" s="2">
        <f t="shared" si="31"/>
        <v>0</v>
      </c>
      <c r="AZ71" s="2">
        <v>1</v>
      </c>
      <c r="BA71" s="2">
        <v>1</v>
      </c>
      <c r="BB71" s="2">
        <f t="shared" si="29"/>
        <v>71</v>
      </c>
      <c r="BC71" s="2">
        <f t="shared" si="30"/>
        <v>71</v>
      </c>
      <c r="BD71" s="3">
        <v>12</v>
      </c>
      <c r="BE71" s="3">
        <v>2.5</v>
      </c>
      <c r="BF71" s="3">
        <v>4.2</v>
      </c>
      <c r="BG71" s="2" t="str">
        <f>CONCATENATE(
ROUND(BD71*VLOOKUP(L71,'ID Scheme'!$A$2:$E$7,3),0), "x",
ROUND(BE71*VLOOKUP(L71,'ID Scheme'!$A$2:$E$7,5),0), "x",
ROUND(BF71*VLOOKUP(L71,'ID Scheme'!$A$2:$E$7,4),0))</f>
        <v>112x36x41</v>
      </c>
    </row>
    <row r="72" spans="1:60" x14ac:dyDescent="0.25">
      <c r="A72" t="s">
        <v>34</v>
      </c>
      <c r="B72" t="s">
        <v>179</v>
      </c>
      <c r="C72" t="s">
        <v>285</v>
      </c>
      <c r="D72">
        <f>IF(H72 &gt; 2020, ((H72-2020)*4)+1610+J72,IF(H72 &gt; 1900, ((H72-1900)*10)+400+J72, ((H72-1730)*2)+J72))+VLOOKUP(L72,'ID Scheme'!$A$2:$B$7,2, FALSE)</f>
        <v>1781</v>
      </c>
      <c r="F72">
        <v>1781</v>
      </c>
      <c r="G72" t="s">
        <v>683</v>
      </c>
      <c r="H72">
        <v>1978</v>
      </c>
      <c r="I72">
        <v>6</v>
      </c>
      <c r="J72">
        <v>1</v>
      </c>
      <c r="K72" t="s">
        <v>523</v>
      </c>
      <c r="L72" t="s">
        <v>12</v>
      </c>
      <c r="M72" t="s">
        <v>501</v>
      </c>
      <c r="N72">
        <v>62</v>
      </c>
      <c r="O72">
        <v>25</v>
      </c>
      <c r="P72">
        <v>22</v>
      </c>
      <c r="Q72">
        <v>4</v>
      </c>
      <c r="R72">
        <v>12</v>
      </c>
      <c r="S72">
        <v>245</v>
      </c>
      <c r="T72">
        <v>18</v>
      </c>
      <c r="U72">
        <v>55</v>
      </c>
      <c r="V72">
        <v>1</v>
      </c>
      <c r="W72" t="s">
        <v>295</v>
      </c>
      <c r="X72">
        <v>3</v>
      </c>
      <c r="Y72" s="2" t="s">
        <v>304</v>
      </c>
      <c r="Z72" s="2"/>
      <c r="AA72" s="2"/>
      <c r="AB72" s="2"/>
      <c r="AC72" s="2"/>
      <c r="AD72" s="2"/>
      <c r="AE72" s="2"/>
      <c r="AF72" s="2"/>
      <c r="AG72" s="2"/>
      <c r="AH72" s="2"/>
      <c r="AP72">
        <v>8</v>
      </c>
      <c r="AS72" s="2">
        <f>(SQRT(N72*U72)*POWER((MIN(P72,20)+SQRT(MAX(P72-20,0))),0.9)*Data!$B$1)*(1-(V72-1))</f>
        <v>69.035165364270128</v>
      </c>
      <c r="AT72" s="2"/>
      <c r="AU72" s="2">
        <f>((POWER((N72*N72*U72), 0.33)*LOG10(S72)*10*Data!$B$1)*V72)+AT72</f>
        <v>102.47214024912293</v>
      </c>
      <c r="AV72" s="2">
        <f t="shared" si="27"/>
        <v>50</v>
      </c>
      <c r="AW72" s="2">
        <f t="shared" si="31"/>
        <v>0</v>
      </c>
      <c r="AZ72" s="2">
        <v>1</v>
      </c>
      <c r="BA72" s="2">
        <v>1</v>
      </c>
      <c r="BB72" s="2">
        <f t="shared" si="29"/>
        <v>55</v>
      </c>
      <c r="BC72" s="2">
        <f t="shared" si="30"/>
        <v>55</v>
      </c>
      <c r="BD72" s="3">
        <v>12</v>
      </c>
      <c r="BE72" s="3">
        <v>2.5</v>
      </c>
      <c r="BF72" s="3">
        <v>3.3</v>
      </c>
      <c r="BG72" s="2" t="str">
        <f>CONCATENATE(
ROUND(BD72*VLOOKUP(L72,'ID Scheme'!$A$2:$E$7,3),0), "x",
ROUND(BE72*VLOOKUP(L72,'ID Scheme'!$A$2:$E$7,5),0), "x",
ROUND(BF72*VLOOKUP(L72,'ID Scheme'!$A$2:$E$7,4),0))</f>
        <v>112x36x32</v>
      </c>
    </row>
    <row r="73" spans="1:60" x14ac:dyDescent="0.25">
      <c r="A73" t="s">
        <v>32</v>
      </c>
      <c r="B73" t="s">
        <v>180</v>
      </c>
      <c r="C73" t="s">
        <v>285</v>
      </c>
      <c r="D73">
        <f>IF(H73 &gt; 2020, ((H73-2020)*4)+1610+J73,IF(H73 &gt; 1900, ((H73-1900)*10)+400+J73, ((H73-1730)*2)+J73))+VLOOKUP(L73,'ID Scheme'!$A$2:$B$7,2, FALSE)</f>
        <v>1801</v>
      </c>
      <c r="F73">
        <v>1801</v>
      </c>
      <c r="G73" t="s">
        <v>683</v>
      </c>
      <c r="H73">
        <v>1980</v>
      </c>
      <c r="I73">
        <v>1</v>
      </c>
      <c r="J73">
        <v>1</v>
      </c>
      <c r="K73" t="s">
        <v>523</v>
      </c>
      <c r="L73" t="s">
        <v>12</v>
      </c>
      <c r="M73" t="s">
        <v>501</v>
      </c>
      <c r="N73">
        <v>47</v>
      </c>
      <c r="O73">
        <v>13</v>
      </c>
      <c r="P73">
        <v>22</v>
      </c>
      <c r="Q73">
        <v>7</v>
      </c>
      <c r="R73">
        <v>10</v>
      </c>
      <c r="S73">
        <v>180</v>
      </c>
      <c r="T73">
        <v>20</v>
      </c>
      <c r="U73">
        <v>73</v>
      </c>
      <c r="V73">
        <v>1</v>
      </c>
      <c r="W73" t="s">
        <v>289</v>
      </c>
      <c r="X73">
        <v>3</v>
      </c>
      <c r="Y73" s="2" t="s">
        <v>313</v>
      </c>
      <c r="Z73" s="2"/>
      <c r="AA73" s="2"/>
      <c r="AB73" s="2"/>
      <c r="AC73" s="2"/>
      <c r="AD73" s="2"/>
      <c r="AE73" s="2"/>
      <c r="AF73" s="2"/>
      <c r="AG73" s="2"/>
      <c r="AH73" s="2"/>
      <c r="AP73">
        <v>8</v>
      </c>
      <c r="AS73" s="2">
        <f>(SQRT(N73*U73)*POWER((MIN(P73,20)+SQRT(MAX(P73-20,0))),0.9)*Data!$B$1)*(1-(V73-1))</f>
        <v>69.247410718668419</v>
      </c>
      <c r="AT73" s="2"/>
      <c r="AU73" s="2">
        <f>((POWER((N73*N73*U73), 0.33)*LOG10(S73)*10*Data!$B$1)*V73)+AT73</f>
        <v>88.458876415134782</v>
      </c>
      <c r="AV73" s="2">
        <f t="shared" si="27"/>
        <v>37.903225806451616</v>
      </c>
      <c r="AW73" s="2">
        <f t="shared" si="31"/>
        <v>0</v>
      </c>
      <c r="AZ73" s="2">
        <v>1</v>
      </c>
      <c r="BA73" s="2">
        <v>1</v>
      </c>
      <c r="BB73" s="2">
        <f t="shared" si="29"/>
        <v>73</v>
      </c>
      <c r="BC73" s="2">
        <f t="shared" si="30"/>
        <v>73</v>
      </c>
      <c r="BD73" s="3">
        <v>12</v>
      </c>
      <c r="BE73" s="3">
        <v>2.5</v>
      </c>
      <c r="BF73" s="3">
        <v>4.2</v>
      </c>
      <c r="BG73" s="2" t="str">
        <f>CONCATENATE(
ROUND(BD73*VLOOKUP(L73,'ID Scheme'!$A$2:$E$7,3),0), "x",
ROUND(BE73*VLOOKUP(L73,'ID Scheme'!$A$2:$E$7,5),0), "x",
ROUND(BF73*VLOOKUP(L73,'ID Scheme'!$A$2:$E$7,4),0))</f>
        <v>112x36x41</v>
      </c>
    </row>
    <row r="74" spans="1:60" x14ac:dyDescent="0.25">
      <c r="A74" t="s">
        <v>481</v>
      </c>
      <c r="B74" t="s">
        <v>482</v>
      </c>
      <c r="C74" t="s">
        <v>285</v>
      </c>
      <c r="D74">
        <f>IF(H74 &gt; 2020, ((H74-2020)*4)+1610+J74,IF(H74 &gt; 1900, ((H74-1900)*10)+400+J74, ((H74-1730)*2)+J74))+VLOOKUP(L74,'ID Scheme'!$A$2:$B$7,2, FALSE)</f>
        <v>1861</v>
      </c>
      <c r="F74">
        <v>1861</v>
      </c>
      <c r="G74" t="s">
        <v>683</v>
      </c>
      <c r="H74">
        <v>1986</v>
      </c>
      <c r="I74">
        <v>10</v>
      </c>
      <c r="J74">
        <v>1</v>
      </c>
      <c r="K74" t="s">
        <v>523</v>
      </c>
      <c r="L74" t="s">
        <v>12</v>
      </c>
      <c r="M74" t="s">
        <v>501</v>
      </c>
      <c r="N74">
        <v>64</v>
      </c>
      <c r="O74">
        <v>14</v>
      </c>
      <c r="P74">
        <v>11</v>
      </c>
      <c r="Q74">
        <v>5</v>
      </c>
      <c r="R74">
        <v>6</v>
      </c>
      <c r="S74">
        <v>130</v>
      </c>
      <c r="T74">
        <v>24</v>
      </c>
      <c r="U74">
        <v>33</v>
      </c>
      <c r="V74">
        <v>1</v>
      </c>
      <c r="W74" t="s">
        <v>289</v>
      </c>
      <c r="X74">
        <v>2</v>
      </c>
      <c r="Y74" s="2" t="s">
        <v>483</v>
      </c>
      <c r="Z74" s="2"/>
      <c r="AA74" s="2"/>
      <c r="AB74" s="2"/>
      <c r="AC74" s="2"/>
      <c r="AD74" s="2"/>
      <c r="AE74" s="2"/>
      <c r="AF74" s="2"/>
      <c r="AG74" s="2"/>
      <c r="AH74" s="2"/>
      <c r="AP74">
        <v>7</v>
      </c>
      <c r="AS74" s="2">
        <f>(SQRT(N74*U74)*POWER((MIN(P74,20)+SQRT(MAX(P74-20,0))),0.9)*Data!$B$1)*(1-(V74-1))</f>
        <v>29.830575842658725</v>
      </c>
      <c r="AT74" s="2"/>
      <c r="AU74" s="2">
        <f>((POWER((N74*N74*U74), 0.33)*LOG10(S74)*10*Data!$B$1)*V74)+AT74</f>
        <v>78.224535261541249</v>
      </c>
      <c r="AV74" s="2">
        <f t="shared" si="27"/>
        <v>51.612903225806456</v>
      </c>
      <c r="AW74" s="2">
        <f t="shared" si="31"/>
        <v>0</v>
      </c>
      <c r="AZ74" s="2">
        <v>1</v>
      </c>
      <c r="BA74" s="2">
        <v>1</v>
      </c>
      <c r="BB74" s="2">
        <f t="shared" si="29"/>
        <v>33</v>
      </c>
      <c r="BC74" s="2">
        <f t="shared" si="30"/>
        <v>33</v>
      </c>
      <c r="BD74" s="3">
        <v>8.4</v>
      </c>
      <c r="BE74" s="3">
        <v>2.2999999999999998</v>
      </c>
      <c r="BF74" s="3">
        <v>2.7</v>
      </c>
      <c r="BG74" s="2" t="str">
        <f>CONCATENATE(
ROUND(BD74*VLOOKUP(L74,'ID Scheme'!$A$2:$E$7,3),0), "x",
ROUND(BE74*VLOOKUP(L74,'ID Scheme'!$A$2:$E$7,5),0), "x",
ROUND(BF74*VLOOKUP(L74,'ID Scheme'!$A$2:$E$7,4),0))</f>
        <v>78x33x26</v>
      </c>
    </row>
    <row r="75" spans="1:60" x14ac:dyDescent="0.25">
      <c r="A75" t="s">
        <v>46</v>
      </c>
      <c r="B75" t="s">
        <v>181</v>
      </c>
      <c r="C75" t="s">
        <v>285</v>
      </c>
      <c r="D75">
        <f>IF(H75 &gt; 2020, ((H75-2020)*4)+1610+J75,IF(H75 &gt; 1900, ((H75-1900)*10)+400+J75, ((H75-1730)*2)+J75))+VLOOKUP(L75,'ID Scheme'!$A$2:$B$7,2, FALSE)</f>
        <v>1891</v>
      </c>
      <c r="F75">
        <v>1891</v>
      </c>
      <c r="G75" t="s">
        <v>683</v>
      </c>
      <c r="H75">
        <v>1989</v>
      </c>
      <c r="I75">
        <v>1</v>
      </c>
      <c r="J75">
        <v>1</v>
      </c>
      <c r="K75" t="s">
        <v>523</v>
      </c>
      <c r="L75" t="s">
        <v>12</v>
      </c>
      <c r="M75" t="s">
        <v>501</v>
      </c>
      <c r="N75">
        <v>56</v>
      </c>
      <c r="O75">
        <v>19</v>
      </c>
      <c r="P75">
        <v>21</v>
      </c>
      <c r="Q75">
        <v>5</v>
      </c>
      <c r="R75">
        <v>6</v>
      </c>
      <c r="S75">
        <v>130</v>
      </c>
      <c r="T75">
        <v>20</v>
      </c>
      <c r="U75">
        <v>50</v>
      </c>
      <c r="V75">
        <v>1</v>
      </c>
      <c r="W75" t="s">
        <v>289</v>
      </c>
      <c r="X75">
        <v>3</v>
      </c>
      <c r="Y75" s="2" t="s">
        <v>314</v>
      </c>
      <c r="Z75" s="2"/>
      <c r="AA75" s="2"/>
      <c r="AB75" s="2"/>
      <c r="AC75" s="2"/>
      <c r="AD75" s="2"/>
      <c r="AE75" s="2"/>
      <c r="AF75" s="2"/>
      <c r="AG75" s="2"/>
      <c r="AH75" s="2"/>
      <c r="AP75">
        <v>8</v>
      </c>
      <c r="AS75" s="2">
        <f>(SQRT(N75*U75)*POWER((MIN(P75,20)+SQRT(MAX(P75-20,0))),0.9)*Data!$B$1)*(1-(V75-1))</f>
        <v>61.466381101342122</v>
      </c>
      <c r="AT75" s="2"/>
      <c r="AU75" s="2">
        <f>((POWER((N75*N75*U75), 0.33)*LOG10(S75)*10*Data!$B$1)*V75)+AT75</f>
        <v>82.152126183000618</v>
      </c>
      <c r="AV75" s="2">
        <f t="shared" si="27"/>
        <v>45.161290322580648</v>
      </c>
      <c r="AW75" s="2">
        <f t="shared" si="31"/>
        <v>0</v>
      </c>
      <c r="AZ75" s="2">
        <v>1</v>
      </c>
      <c r="BA75" s="2">
        <v>1</v>
      </c>
      <c r="BB75" s="2">
        <f t="shared" si="29"/>
        <v>50</v>
      </c>
      <c r="BC75" s="2">
        <f t="shared" si="30"/>
        <v>50</v>
      </c>
      <c r="BD75" s="3">
        <v>10.199999999999999</v>
      </c>
      <c r="BE75" s="3">
        <v>2.4</v>
      </c>
      <c r="BF75" s="3">
        <v>2.7</v>
      </c>
      <c r="BG75" s="2" t="str">
        <f>CONCATENATE(
ROUND(BD75*VLOOKUP(L75,'ID Scheme'!$A$2:$E$7,3),0), "x",
ROUND(BE75*VLOOKUP(L75,'ID Scheme'!$A$2:$E$7,5),0), "x",
ROUND(BF75*VLOOKUP(L75,'ID Scheme'!$A$2:$E$7,4),0))</f>
        <v>95x35x26</v>
      </c>
    </row>
    <row r="76" spans="1:60" x14ac:dyDescent="0.25">
      <c r="A76" t="s">
        <v>658</v>
      </c>
      <c r="B76" t="s">
        <v>659</v>
      </c>
      <c r="C76" t="s">
        <v>285</v>
      </c>
      <c r="D76">
        <f>IF(H76 &gt; 2020, ((H76-2020)*4)+1610+J76,IF(H76 &gt; 1900, ((H76-1900)*10)+400+J76, ((H76-1730)*2)+J76))+VLOOKUP(L76,'ID Scheme'!$A$2:$B$7,2, FALSE)</f>
        <v>1921</v>
      </c>
      <c r="F76">
        <v>1921</v>
      </c>
      <c r="G76" t="s">
        <v>683</v>
      </c>
      <c r="H76">
        <v>1992</v>
      </c>
      <c r="I76">
        <v>3</v>
      </c>
      <c r="J76">
        <v>1</v>
      </c>
      <c r="K76" t="s">
        <v>523</v>
      </c>
      <c r="L76" t="s">
        <v>12</v>
      </c>
      <c r="M76" t="s">
        <v>501</v>
      </c>
      <c r="N76">
        <v>48</v>
      </c>
      <c r="O76">
        <v>12</v>
      </c>
      <c r="P76">
        <v>22</v>
      </c>
      <c r="Q76">
        <v>7</v>
      </c>
      <c r="R76">
        <v>10</v>
      </c>
      <c r="S76">
        <v>240</v>
      </c>
      <c r="T76">
        <v>20</v>
      </c>
      <c r="U76">
        <v>73</v>
      </c>
      <c r="V76">
        <v>1</v>
      </c>
      <c r="W76" t="s">
        <v>295</v>
      </c>
      <c r="X76">
        <v>3</v>
      </c>
      <c r="Y76" s="2" t="s">
        <v>660</v>
      </c>
      <c r="Z76" s="2"/>
      <c r="AA76" s="2"/>
      <c r="AB76" s="2"/>
      <c r="AC76" s="2"/>
      <c r="AD76" s="2"/>
      <c r="AE76" s="2"/>
      <c r="AF76" s="2"/>
      <c r="AG76" s="2"/>
      <c r="AH76" s="2"/>
      <c r="AP76">
        <v>8</v>
      </c>
      <c r="AS76" s="2">
        <f>(SQRT(N76*U76)*POWER((MIN(P76,20)+SQRT(MAX(P76-20,0))),0.9)*Data!$B$1)*(1-(V76-1))</f>
        <v>69.980207958730645</v>
      </c>
      <c r="AT76" s="2"/>
      <c r="AU76" s="2">
        <f>((POWER((N76*N76*U76), 0.33)*LOG10(S76)*10*Data!$B$1)*V76)+AT76</f>
        <v>94.665672823321316</v>
      </c>
      <c r="AV76" s="2">
        <f t="shared" ref="AV76" si="42">N76/1.24</f>
        <v>38.70967741935484</v>
      </c>
      <c r="AW76" s="2">
        <f t="shared" ref="AW76" si="43">AI76/1.24</f>
        <v>0</v>
      </c>
      <c r="AZ76" s="2">
        <v>1</v>
      </c>
      <c r="BA76" s="2">
        <v>1</v>
      </c>
      <c r="BB76" s="2">
        <f t="shared" ref="BB76" si="44">U76/BA76</f>
        <v>73</v>
      </c>
      <c r="BC76" s="2">
        <f t="shared" ref="BC76" si="45">(U76)/MAX(AZ76-1, 1)</f>
        <v>73</v>
      </c>
      <c r="BD76" s="3">
        <v>12</v>
      </c>
      <c r="BE76" s="3">
        <v>2.5</v>
      </c>
      <c r="BF76" s="3">
        <v>4.2</v>
      </c>
      <c r="BG76" s="2" t="str">
        <f>CONCATENATE(
ROUND(BD76*VLOOKUP(L76,'ID Scheme'!$A$2:$E$7,3),0), "x",
ROUND(BE76*VLOOKUP(L76,'ID Scheme'!$A$2:$E$7,5),0), "x",
ROUND(BF76*VLOOKUP(L76,'ID Scheme'!$A$2:$E$7,4),0))</f>
        <v>112x36x41</v>
      </c>
    </row>
    <row r="77" spans="1:60" x14ac:dyDescent="0.25">
      <c r="A77" t="s">
        <v>97</v>
      </c>
      <c r="B77" t="s">
        <v>182</v>
      </c>
      <c r="C77" t="s">
        <v>285</v>
      </c>
      <c r="D77">
        <f>IF(H77 &gt; 2020, ((H77-2020)*4)+1610+J77,IF(H77 &gt; 1900, ((H77-1900)*10)+400+J77, ((H77-1730)*2)+J77))+VLOOKUP(L77,'ID Scheme'!$A$2:$B$7,2, FALSE)</f>
        <v>1951</v>
      </c>
      <c r="F77">
        <v>1951</v>
      </c>
      <c r="G77" t="s">
        <v>683</v>
      </c>
      <c r="H77">
        <v>1995</v>
      </c>
      <c r="I77">
        <v>1</v>
      </c>
      <c r="J77">
        <v>1</v>
      </c>
      <c r="K77" t="s">
        <v>523</v>
      </c>
      <c r="L77" t="s">
        <v>12</v>
      </c>
      <c r="M77" t="s">
        <v>501</v>
      </c>
      <c r="N77">
        <v>60</v>
      </c>
      <c r="O77">
        <v>21</v>
      </c>
      <c r="P77">
        <v>17</v>
      </c>
      <c r="Q77">
        <v>5</v>
      </c>
      <c r="R77">
        <v>6.5</v>
      </c>
      <c r="S77">
        <v>249</v>
      </c>
      <c r="T77">
        <v>20</v>
      </c>
      <c r="U77">
        <v>53</v>
      </c>
      <c r="V77">
        <v>1</v>
      </c>
      <c r="W77" t="s">
        <v>289</v>
      </c>
      <c r="X77">
        <v>3</v>
      </c>
      <c r="Y77" s="2" t="s">
        <v>315</v>
      </c>
      <c r="Z77" s="2"/>
      <c r="AA77" s="2"/>
      <c r="AB77" s="2"/>
      <c r="AC77" s="2"/>
      <c r="AD77" s="2"/>
      <c r="AE77" s="2"/>
      <c r="AF77" s="2"/>
      <c r="AG77" s="2"/>
      <c r="AH77" s="2"/>
      <c r="AP77">
        <v>8</v>
      </c>
      <c r="AS77" s="2">
        <f>(SQRT(N77*U77)*POWER((MIN(P77,20)+SQRT(MAX(P77-20,0))),0.9)*Data!$B$1)*(1-(V77-1))</f>
        <v>54.160024560908056</v>
      </c>
      <c r="AT77" s="2"/>
      <c r="AU77" s="2">
        <f>((POWER((N77*N77*U77), 0.33)*LOG10(S77)*10*Data!$B$1)*V77)+AT77</f>
        <v>99.351647021851662</v>
      </c>
      <c r="AV77" s="2">
        <f t="shared" si="27"/>
        <v>48.387096774193552</v>
      </c>
      <c r="AW77" s="2">
        <f t="shared" si="31"/>
        <v>0</v>
      </c>
      <c r="AZ77" s="2">
        <v>1</v>
      </c>
      <c r="BA77" s="2">
        <v>1</v>
      </c>
      <c r="BB77" s="2">
        <f t="shared" si="29"/>
        <v>53</v>
      </c>
      <c r="BC77" s="2">
        <f t="shared" si="30"/>
        <v>53</v>
      </c>
      <c r="BD77" s="3">
        <v>10.199999999999999</v>
      </c>
      <c r="BE77" s="3">
        <v>2.4</v>
      </c>
      <c r="BF77" s="3">
        <v>2.7</v>
      </c>
      <c r="BG77" s="2" t="str">
        <f>CONCATENATE(
ROUND(BD77*VLOOKUP(L77,'ID Scheme'!$A$2:$E$7,3),0), "x",
ROUND(BE77*VLOOKUP(L77,'ID Scheme'!$A$2:$E$7,5),0), "x",
ROUND(BF77*VLOOKUP(L77,'ID Scheme'!$A$2:$E$7,4),0))</f>
        <v>95x35x26</v>
      </c>
      <c r="BH77" t="s">
        <v>98</v>
      </c>
    </row>
    <row r="78" spans="1:60" x14ac:dyDescent="0.25">
      <c r="A78" t="s">
        <v>484</v>
      </c>
      <c r="B78" t="s">
        <v>486</v>
      </c>
      <c r="C78" t="s">
        <v>285</v>
      </c>
      <c r="D78">
        <f>IF(H78 &gt; 2020, ((H78-2020)*4)+1610+J78,IF(H78 &gt; 1900, ((H78-1900)*10)+400+J78, ((H78-1730)*2)+J78))+VLOOKUP(L78,'ID Scheme'!$A$2:$B$7,2, FALSE)</f>
        <v>1971</v>
      </c>
      <c r="F78">
        <v>1971</v>
      </c>
      <c r="G78" t="s">
        <v>683</v>
      </c>
      <c r="H78">
        <v>1997</v>
      </c>
      <c r="I78">
        <v>1</v>
      </c>
      <c r="J78">
        <v>1</v>
      </c>
      <c r="K78" t="s">
        <v>523</v>
      </c>
      <c r="L78" t="s">
        <v>12</v>
      </c>
      <c r="M78" t="s">
        <v>501</v>
      </c>
      <c r="N78">
        <v>55</v>
      </c>
      <c r="O78">
        <v>21</v>
      </c>
      <c r="P78">
        <v>21</v>
      </c>
      <c r="Q78">
        <v>5</v>
      </c>
      <c r="R78">
        <v>10</v>
      </c>
      <c r="S78">
        <v>220</v>
      </c>
      <c r="T78">
        <v>20</v>
      </c>
      <c r="U78">
        <v>82</v>
      </c>
      <c r="V78">
        <v>1</v>
      </c>
      <c r="W78" t="s">
        <v>299</v>
      </c>
      <c r="X78">
        <v>3</v>
      </c>
      <c r="Y78" s="2" t="s">
        <v>485</v>
      </c>
      <c r="Z78" s="2"/>
      <c r="AA78" s="2"/>
      <c r="AB78" s="2"/>
      <c r="AC78" s="2"/>
      <c r="AD78" s="2"/>
      <c r="AE78" s="2"/>
      <c r="AF78" s="2"/>
      <c r="AG78" s="2"/>
      <c r="AH78" s="2"/>
      <c r="AP78">
        <v>8</v>
      </c>
      <c r="AS78" s="2">
        <f>(SQRT(N78*U78)*POWER((MIN(P78,20)+SQRT(MAX(P78-20,0))),0.9)*Data!$B$1)*(1-(V78-1))</f>
        <v>78.009393174536498</v>
      </c>
      <c r="AT78" s="2"/>
      <c r="AU78" s="2">
        <f>((POWER((N78*N78*U78), 0.33)*LOG10(S78)*10*Data!$B$1)*V78)+AT78</f>
        <v>105.90695322593139</v>
      </c>
      <c r="AV78" s="2">
        <f t="shared" si="27"/>
        <v>44.354838709677416</v>
      </c>
      <c r="AW78" s="2">
        <f t="shared" si="31"/>
        <v>0</v>
      </c>
      <c r="AZ78" s="2">
        <v>1</v>
      </c>
      <c r="BA78" s="2">
        <v>1</v>
      </c>
      <c r="BB78" s="2">
        <f t="shared" si="29"/>
        <v>82</v>
      </c>
      <c r="BC78" s="2">
        <f t="shared" si="30"/>
        <v>82</v>
      </c>
      <c r="BD78" s="3">
        <v>11</v>
      </c>
      <c r="BE78" s="3">
        <v>2.5499999999999998</v>
      </c>
      <c r="BF78" s="3">
        <v>4.4000000000000004</v>
      </c>
      <c r="BG78" s="2" t="str">
        <f>CONCATENATE(
ROUND(BD78*VLOOKUP(L78,'ID Scheme'!$A$2:$E$7,3),0), "x",
ROUND(BE78*VLOOKUP(L78,'ID Scheme'!$A$2:$E$7,5),0), "x",
ROUND(BF78*VLOOKUP(L78,'ID Scheme'!$A$2:$E$7,4),0))</f>
        <v>103x37x43</v>
      </c>
    </row>
    <row r="79" spans="1:60" x14ac:dyDescent="0.25">
      <c r="A79" t="s">
        <v>64</v>
      </c>
      <c r="B79" t="s">
        <v>183</v>
      </c>
      <c r="C79" t="s">
        <v>285</v>
      </c>
      <c r="D79">
        <f>IF(H79 &gt; 2020, ((H79-2020)*4)+1610+J79,IF(H79 &gt; 1900, ((H79-1900)*10)+400+J79, ((H79-1730)*2)+J79))+VLOOKUP(L79,'ID Scheme'!$A$2:$B$7,2, FALSE)</f>
        <v>1981</v>
      </c>
      <c r="F79">
        <v>1981</v>
      </c>
      <c r="G79" t="s">
        <v>683</v>
      </c>
      <c r="H79">
        <v>1998</v>
      </c>
      <c r="I79">
        <v>1</v>
      </c>
      <c r="J79">
        <v>1</v>
      </c>
      <c r="K79" t="s">
        <v>523</v>
      </c>
      <c r="L79" t="s">
        <v>12</v>
      </c>
      <c r="M79" t="s">
        <v>501</v>
      </c>
      <c r="N79">
        <v>59</v>
      </c>
      <c r="O79">
        <v>15</v>
      </c>
      <c r="P79">
        <v>15</v>
      </c>
      <c r="Q79">
        <v>5</v>
      </c>
      <c r="R79">
        <v>7</v>
      </c>
      <c r="S79">
        <v>110</v>
      </c>
      <c r="T79">
        <v>20</v>
      </c>
      <c r="U79">
        <v>33</v>
      </c>
      <c r="V79">
        <v>1</v>
      </c>
      <c r="W79" t="s">
        <v>299</v>
      </c>
      <c r="X79">
        <v>2</v>
      </c>
      <c r="Y79" s="2" t="s">
        <v>316</v>
      </c>
      <c r="Z79" s="2"/>
      <c r="AA79" s="2"/>
      <c r="AB79" s="2"/>
      <c r="AC79" s="2"/>
      <c r="AD79" s="2"/>
      <c r="AE79" s="2"/>
      <c r="AF79" s="2"/>
      <c r="AG79" s="2"/>
      <c r="AH79" s="2"/>
      <c r="AP79">
        <v>8</v>
      </c>
      <c r="AS79" s="2">
        <f>(SQRT(N79*U79)*POWER((MIN(P79,20)+SQRT(MAX(P79-20,0))),0.9)*Data!$B$1)*(1-(V79-1))</f>
        <v>37.863989611191968</v>
      </c>
      <c r="AT79" s="2"/>
      <c r="AU79" s="2">
        <f>((POWER((N79*N79*U79), 0.33)*LOG10(S79)*10*Data!$B$1)*V79)+AT79</f>
        <v>71.591217050010968</v>
      </c>
      <c r="AV79" s="2">
        <f t="shared" si="27"/>
        <v>47.58064516129032</v>
      </c>
      <c r="AW79" s="2">
        <f t="shared" si="31"/>
        <v>0</v>
      </c>
      <c r="AZ79" s="2">
        <v>1</v>
      </c>
      <c r="BA79" s="2">
        <v>1</v>
      </c>
      <c r="BB79" s="2">
        <f t="shared" si="29"/>
        <v>33</v>
      </c>
      <c r="BC79" s="2">
        <f t="shared" si="30"/>
        <v>33</v>
      </c>
      <c r="BD79" s="3">
        <v>10.199999999999999</v>
      </c>
      <c r="BE79" s="3">
        <v>2.2999999999999998</v>
      </c>
      <c r="BF79" s="3">
        <v>2.7</v>
      </c>
      <c r="BG79" s="2" t="str">
        <f>CONCATENATE(
ROUND(BD79*VLOOKUP(L79,'ID Scheme'!$A$2:$E$7,3),0), "x",
ROUND(BE79*VLOOKUP(L79,'ID Scheme'!$A$2:$E$7,5),0), "x",
ROUND(BF79*VLOOKUP(L79,'ID Scheme'!$A$2:$E$7,4),0))</f>
        <v>95x33x26</v>
      </c>
    </row>
    <row r="80" spans="1:60" x14ac:dyDescent="0.25">
      <c r="A80" t="s">
        <v>633</v>
      </c>
      <c r="B80" t="s">
        <v>634</v>
      </c>
      <c r="C80" t="s">
        <v>285</v>
      </c>
      <c r="D80">
        <f>IF(H80 &gt; 2020, ((H80-2020)*4)+1610+J80,IF(H80 &gt; 1900, ((H80-1900)*10)+400+J80, ((H80-1730)*2)+J80))+VLOOKUP(L80,'ID Scheme'!$A$2:$B$7,2, FALSE)</f>
        <v>1991</v>
      </c>
      <c r="F80">
        <v>1991</v>
      </c>
      <c r="G80" t="s">
        <v>683</v>
      </c>
      <c r="H80">
        <v>1999</v>
      </c>
      <c r="I80">
        <v>1</v>
      </c>
      <c r="J80">
        <v>1</v>
      </c>
      <c r="K80" t="s">
        <v>523</v>
      </c>
      <c r="L80" t="s">
        <v>12</v>
      </c>
      <c r="M80" t="s">
        <v>501</v>
      </c>
      <c r="N80">
        <v>58</v>
      </c>
      <c r="O80">
        <v>19</v>
      </c>
      <c r="P80">
        <v>19</v>
      </c>
      <c r="Q80">
        <v>5</v>
      </c>
      <c r="R80">
        <v>6</v>
      </c>
      <c r="S80">
        <v>180</v>
      </c>
      <c r="T80">
        <v>20</v>
      </c>
      <c r="U80">
        <v>59</v>
      </c>
      <c r="V80">
        <v>1</v>
      </c>
      <c r="W80" t="s">
        <v>289</v>
      </c>
      <c r="X80">
        <v>3</v>
      </c>
      <c r="Y80" s="2" t="s">
        <v>635</v>
      </c>
      <c r="Z80" s="2"/>
      <c r="AA80" s="2"/>
      <c r="AB80" s="2"/>
      <c r="AC80" s="2"/>
      <c r="AD80" s="2"/>
      <c r="AE80" s="2"/>
      <c r="AF80" s="2"/>
      <c r="AG80" s="2"/>
      <c r="AH80" s="2"/>
      <c r="AP80">
        <v>8</v>
      </c>
      <c r="AS80" s="2">
        <f>(SQRT(N80*U80)*POWER((MIN(P80,20)+SQRT(MAX(P80-20,0))),0.9)*Data!$B$1)*(1-(V80-1))</f>
        <v>62.098270793102415</v>
      </c>
      <c r="AT80" s="2"/>
      <c r="AU80" s="2">
        <f>((POWER((N80*N80*U80), 0.33)*LOG10(S80)*10*Data!$B$1)*V80)+AT80</f>
        <v>94.733575329138617</v>
      </c>
      <c r="AV80" s="2">
        <f t="shared" ref="AV80" si="46">N80/1.24</f>
        <v>46.774193548387096</v>
      </c>
      <c r="AW80" s="2">
        <f t="shared" ref="AW80" si="47">AI80/1.24</f>
        <v>0</v>
      </c>
      <c r="AZ80" s="2">
        <v>1</v>
      </c>
      <c r="BA80" s="2">
        <v>1</v>
      </c>
      <c r="BB80" s="2">
        <f t="shared" ref="BB80" si="48">U80/BA80</f>
        <v>59</v>
      </c>
      <c r="BC80" s="2">
        <f t="shared" ref="BC80" si="49">(U80)/MAX(AZ80-1, 1)</f>
        <v>59</v>
      </c>
      <c r="BD80" s="3">
        <v>10.199999999999999</v>
      </c>
      <c r="BE80" s="3">
        <v>2.4</v>
      </c>
      <c r="BF80" s="3">
        <v>2.7</v>
      </c>
      <c r="BG80" s="2" t="str">
        <f>CONCATENATE(
ROUND(BD80*VLOOKUP(L80,'ID Scheme'!$A$2:$E$7,3),0), "x",
ROUND(BE80*VLOOKUP(L80,'ID Scheme'!$A$2:$E$7,5),0), "x",
ROUND(BF80*VLOOKUP(L80,'ID Scheme'!$A$2:$E$7,4),0))</f>
        <v>95x35x26</v>
      </c>
    </row>
    <row r="81" spans="1:59" x14ac:dyDescent="0.25">
      <c r="A81" t="s">
        <v>35</v>
      </c>
      <c r="B81" t="s">
        <v>275</v>
      </c>
      <c r="C81" t="s">
        <v>285</v>
      </c>
      <c r="D81">
        <f>IF(H81 &gt; 2020, ((H81-2020)*4)+1610+J81,IF(H81 &gt; 1900, ((H81-1900)*10)+400+J81, ((H81-1730)*2)+J81))+VLOOKUP(L81,'ID Scheme'!$A$2:$B$7,2, FALSE)</f>
        <v>2011</v>
      </c>
      <c r="F81">
        <v>2011</v>
      </c>
      <c r="G81" t="s">
        <v>683</v>
      </c>
      <c r="H81">
        <v>2001</v>
      </c>
      <c r="I81">
        <v>1</v>
      </c>
      <c r="J81">
        <v>1</v>
      </c>
      <c r="K81" t="s">
        <v>523</v>
      </c>
      <c r="L81" t="s">
        <v>12</v>
      </c>
      <c r="M81" t="s">
        <v>501</v>
      </c>
      <c r="N81">
        <v>70</v>
      </c>
      <c r="O81">
        <v>-1</v>
      </c>
      <c r="P81">
        <v>22</v>
      </c>
      <c r="Q81">
        <v>4</v>
      </c>
      <c r="R81">
        <v>12</v>
      </c>
      <c r="S81">
        <v>320</v>
      </c>
      <c r="T81">
        <v>18</v>
      </c>
      <c r="U81">
        <v>58</v>
      </c>
      <c r="V81">
        <v>1</v>
      </c>
      <c r="W81" t="s">
        <v>295</v>
      </c>
      <c r="X81">
        <v>3</v>
      </c>
      <c r="Y81" s="2" t="s">
        <v>318</v>
      </c>
      <c r="Z81" s="2"/>
      <c r="AA81" s="2"/>
      <c r="AB81" s="2"/>
      <c r="AC81" s="2"/>
      <c r="AD81" s="2"/>
      <c r="AE81" s="2"/>
      <c r="AF81" s="2"/>
      <c r="AG81" s="2"/>
      <c r="AH81" s="2"/>
      <c r="AI81">
        <v>62</v>
      </c>
      <c r="AP81">
        <v>8</v>
      </c>
      <c r="AS81" s="2">
        <f>(SQRT(N81*U81)*POWER((MIN(P81,20)+SQRT(MAX(P81-20,0))),0.9)*Data!$B$1)*(1-(V81-1))</f>
        <v>75.327958362845649</v>
      </c>
      <c r="AT81" s="2"/>
      <c r="AU81" s="2">
        <f>((POWER((N81*N81*U81), 0.33)*LOG10(S81)*10*Data!$B$1)*V81)+AT81</f>
        <v>118.46524010653438</v>
      </c>
      <c r="AV81" s="2">
        <f t="shared" ref="AV81:AV120" si="50">N81/1.24</f>
        <v>56.451612903225808</v>
      </c>
      <c r="AW81" s="2">
        <f t="shared" si="31"/>
        <v>50</v>
      </c>
      <c r="AZ81" s="2">
        <v>1</v>
      </c>
      <c r="BA81" s="2">
        <v>1</v>
      </c>
      <c r="BB81" s="2">
        <f t="shared" ref="BB81:BB120" si="51">U81/BA81</f>
        <v>58</v>
      </c>
      <c r="BC81" s="2">
        <f t="shared" ref="BC81:BC120" si="52">(U81)/MAX(AZ81-1, 1)</f>
        <v>58</v>
      </c>
      <c r="BD81" s="3">
        <v>12</v>
      </c>
      <c r="BE81" s="3">
        <v>2.5</v>
      </c>
      <c r="BF81" s="3">
        <v>3.3</v>
      </c>
      <c r="BG81" s="2" t="str">
        <f>CONCATENATE(
ROUND(BD81*VLOOKUP(L81,'ID Scheme'!$A$2:$E$7,3),0), "x",
ROUND(BE81*VLOOKUP(L81,'ID Scheme'!$A$2:$E$7,5),0), "x",
ROUND(BF81*VLOOKUP(L81,'ID Scheme'!$A$2:$E$7,4),0))</f>
        <v>112x36x32</v>
      </c>
    </row>
    <row r="82" spans="1:59" x14ac:dyDescent="0.25">
      <c r="A82" t="s">
        <v>58</v>
      </c>
      <c r="B82" t="s">
        <v>184</v>
      </c>
      <c r="C82" t="s">
        <v>324</v>
      </c>
      <c r="D82">
        <f>IF(H82 &gt; 2020, ((H82-2020)*4)+1610+J82,IF(H82 &gt; 1900, ((H82-1900)*10)+400+J82, ((H82-1730)*2)+J82))+VLOOKUP(L82,'ID Scheme'!$A$2:$B$7,2, FALSE)</f>
        <v>2012</v>
      </c>
      <c r="F82">
        <v>2012</v>
      </c>
      <c r="G82" t="s">
        <v>683</v>
      </c>
      <c r="H82">
        <v>2001</v>
      </c>
      <c r="I82">
        <v>1</v>
      </c>
      <c r="J82">
        <v>2</v>
      </c>
      <c r="K82" t="s">
        <v>523</v>
      </c>
      <c r="L82" t="s">
        <v>12</v>
      </c>
      <c r="M82" t="s">
        <v>501</v>
      </c>
      <c r="N82">
        <v>55</v>
      </c>
      <c r="O82">
        <v>-1</v>
      </c>
      <c r="P82">
        <v>11</v>
      </c>
      <c r="Q82">
        <v>10</v>
      </c>
      <c r="R82">
        <v>14</v>
      </c>
      <c r="S82">
        <v>320</v>
      </c>
      <c r="T82">
        <v>25</v>
      </c>
      <c r="U82">
        <v>140</v>
      </c>
      <c r="V82">
        <v>1</v>
      </c>
      <c r="W82" t="s">
        <v>289</v>
      </c>
      <c r="X82">
        <v>3</v>
      </c>
      <c r="Y82" s="2" t="s">
        <v>325</v>
      </c>
      <c r="Z82" s="2"/>
      <c r="AA82" s="2"/>
      <c r="AB82" s="2"/>
      <c r="AC82" s="2"/>
      <c r="AD82" s="2"/>
      <c r="AE82" s="2"/>
      <c r="AF82" s="2"/>
      <c r="AG82" s="2"/>
      <c r="AH82" s="2"/>
      <c r="AJ82" t="s">
        <v>372</v>
      </c>
      <c r="AK82" t="s">
        <v>398</v>
      </c>
      <c r="AL82" t="s">
        <v>370</v>
      </c>
      <c r="AM82" t="s">
        <v>372</v>
      </c>
      <c r="AN82" t="s">
        <v>373</v>
      </c>
      <c r="AO82" t="s">
        <v>548</v>
      </c>
      <c r="AP82">
        <v>6</v>
      </c>
      <c r="AS82" s="2">
        <f>(SQRT(N82*U82)*POWER((MIN(P82,20)+SQRT(MAX(P82-20,0))),0.9)*Data!$B$1)*(1-(V82-1))</f>
        <v>56.95869659296028</v>
      </c>
      <c r="AT82" s="2"/>
      <c r="AU82" s="2">
        <f>((POWER((N82*N82*U82), 0.33)*LOG10(S82)*10*Data!$B$1)*V82)+AT82</f>
        <v>135.13150745681415</v>
      </c>
      <c r="AV82" s="2">
        <f t="shared" si="50"/>
        <v>44.354838709677416</v>
      </c>
      <c r="AW82" s="2">
        <f t="shared" si="31"/>
        <v>0</v>
      </c>
      <c r="AZ82" s="2">
        <v>2</v>
      </c>
      <c r="BA82" s="2">
        <v>2</v>
      </c>
      <c r="BB82" s="2">
        <f t="shared" si="51"/>
        <v>70</v>
      </c>
      <c r="BC82" s="2">
        <f t="shared" si="52"/>
        <v>140</v>
      </c>
      <c r="BD82" s="3">
        <v>18</v>
      </c>
      <c r="BE82" s="3">
        <v>2.5</v>
      </c>
      <c r="BF82" s="3">
        <v>3.2</v>
      </c>
      <c r="BG82" s="2" t="str">
        <f>CONCATENATE(
ROUND(BD82*VLOOKUP(L82,'ID Scheme'!$A$2:$E$7,3),0), "x",
ROUND(BE82*VLOOKUP(L82,'ID Scheme'!$A$2:$E$7,5),0), "x",
ROUND(BF82*VLOOKUP(L82,'ID Scheme'!$A$2:$E$7,4),0))</f>
        <v>168x36x31</v>
      </c>
    </row>
    <row r="83" spans="1:59" x14ac:dyDescent="0.25">
      <c r="A83" t="s">
        <v>33</v>
      </c>
      <c r="B83" t="s">
        <v>185</v>
      </c>
      <c r="C83" t="s">
        <v>285</v>
      </c>
      <c r="D83">
        <f>IF(H83 &gt; 2020, ((H83-2020)*4)+1610+J83,IF(H83 &gt; 1900, ((H83-1900)*10)+400+J83, ((H83-1730)*2)+J83))+VLOOKUP(L83,'ID Scheme'!$A$2:$B$7,2, FALSE)</f>
        <v>2051</v>
      </c>
      <c r="F83">
        <v>2051</v>
      </c>
      <c r="G83" t="s">
        <v>683</v>
      </c>
      <c r="H83">
        <v>2005</v>
      </c>
      <c r="I83">
        <v>1</v>
      </c>
      <c r="J83">
        <v>1</v>
      </c>
      <c r="K83" t="s">
        <v>523</v>
      </c>
      <c r="L83" t="s">
        <v>12</v>
      </c>
      <c r="M83" t="s">
        <v>501</v>
      </c>
      <c r="N83">
        <v>60</v>
      </c>
      <c r="O83">
        <v>18</v>
      </c>
      <c r="P83">
        <v>20</v>
      </c>
      <c r="Q83">
        <v>7</v>
      </c>
      <c r="R83">
        <v>11</v>
      </c>
      <c r="S83">
        <v>185</v>
      </c>
      <c r="T83">
        <v>20</v>
      </c>
      <c r="U83">
        <v>90</v>
      </c>
      <c r="V83">
        <v>1</v>
      </c>
      <c r="W83" t="s">
        <v>295</v>
      </c>
      <c r="X83">
        <v>3</v>
      </c>
      <c r="Y83" s="2" t="s">
        <v>319</v>
      </c>
      <c r="Z83" s="2"/>
      <c r="AA83" s="2"/>
      <c r="AB83" s="2"/>
      <c r="AC83" s="2"/>
      <c r="AD83" s="2"/>
      <c r="AE83" s="2"/>
      <c r="AF83" s="2"/>
      <c r="AG83" s="2"/>
      <c r="AH83" s="2"/>
      <c r="AP83">
        <v>8</v>
      </c>
      <c r="AS83" s="2">
        <f>(SQRT(N83*U83)*POWER((MIN(P83,20)+SQRT(MAX(P83-20,0))),0.9)*Data!$B$1)*(1-(V83-1))</f>
        <v>81.693055399982839</v>
      </c>
      <c r="AT83" s="2"/>
      <c r="AU83" s="2">
        <f>((POWER((N83*N83*U83), 0.33)*LOG10(S83)*10*Data!$B$1)*V83)+AT83</f>
        <v>111.95037019981191</v>
      </c>
      <c r="AV83" s="2">
        <f t="shared" si="50"/>
        <v>48.387096774193552</v>
      </c>
      <c r="AW83" s="2">
        <f t="shared" si="31"/>
        <v>0</v>
      </c>
      <c r="AZ83" s="2">
        <v>1</v>
      </c>
      <c r="BA83" s="2">
        <v>1</v>
      </c>
      <c r="BB83" s="2">
        <f t="shared" si="51"/>
        <v>90</v>
      </c>
      <c r="BC83" s="2">
        <f t="shared" si="52"/>
        <v>90</v>
      </c>
      <c r="BD83" s="3">
        <v>11.4</v>
      </c>
      <c r="BE83" s="3">
        <v>2.5499999999999998</v>
      </c>
      <c r="BF83" s="3">
        <v>4.2</v>
      </c>
      <c r="BG83" s="2" t="str">
        <f>CONCATENATE(
ROUND(BD83*VLOOKUP(L83,'ID Scheme'!$A$2:$E$7,3),0), "x",
ROUND(BE83*VLOOKUP(L83,'ID Scheme'!$A$2:$E$7,5),0), "x",
ROUND(BF83*VLOOKUP(L83,'ID Scheme'!$A$2:$E$7,4),0))</f>
        <v>106x37x41</v>
      </c>
    </row>
    <row r="84" spans="1:59" x14ac:dyDescent="0.25">
      <c r="A84" t="s">
        <v>320</v>
      </c>
      <c r="B84" t="s">
        <v>186</v>
      </c>
      <c r="C84" t="s">
        <v>285</v>
      </c>
      <c r="D84">
        <f>IF(H84 &gt; 2020, ((H84-2020)*4)+1610+J84,IF(H84 &gt; 1900, ((H84-1900)*10)+400+J84, ((H84-1730)*2)+J84))+VLOOKUP(L84,'ID Scheme'!$A$2:$B$7,2, FALSE)</f>
        <v>2112</v>
      </c>
      <c r="F84">
        <v>2112</v>
      </c>
      <c r="G84" t="s">
        <v>683</v>
      </c>
      <c r="H84">
        <v>2011</v>
      </c>
      <c r="I84">
        <v>1</v>
      </c>
      <c r="J84">
        <v>2</v>
      </c>
      <c r="K84" t="s">
        <v>523</v>
      </c>
      <c r="L84" t="s">
        <v>12</v>
      </c>
      <c r="M84" t="s">
        <v>501</v>
      </c>
      <c r="N84">
        <v>50</v>
      </c>
      <c r="O84">
        <v>-1</v>
      </c>
      <c r="P84">
        <v>16</v>
      </c>
      <c r="Q84">
        <v>6</v>
      </c>
      <c r="R84">
        <v>10</v>
      </c>
      <c r="S84">
        <v>101</v>
      </c>
      <c r="T84">
        <v>22</v>
      </c>
      <c r="U84">
        <v>72</v>
      </c>
      <c r="V84">
        <v>1</v>
      </c>
      <c r="W84" t="s">
        <v>321</v>
      </c>
      <c r="X84">
        <v>3</v>
      </c>
      <c r="Y84" s="2" t="s">
        <v>322</v>
      </c>
      <c r="Z84" s="2"/>
      <c r="AA84" s="2"/>
      <c r="AB84" s="2"/>
      <c r="AC84" s="2"/>
      <c r="AD84" s="2"/>
      <c r="AE84" s="2"/>
      <c r="AF84" s="2"/>
      <c r="AG84" s="2"/>
      <c r="AH84" s="2"/>
      <c r="AP84">
        <v>8</v>
      </c>
      <c r="AS84" s="2">
        <f>(SQRT(N84*U84)*POWER((MIN(P84,20)+SQRT(MAX(P84-20,0))),0.9)*Data!$B$1)*(1-(V84-1))</f>
        <v>54.565796394374324</v>
      </c>
      <c r="AT84" s="2"/>
      <c r="AU84" s="2">
        <f>((POWER((N84*N84*U84), 0.33)*LOG10(S84)*10*Data!$B$1)*V84)+AT84</f>
        <v>81.520821564001579</v>
      </c>
      <c r="AV84" s="2">
        <f t="shared" si="50"/>
        <v>40.322580645161288</v>
      </c>
      <c r="AW84" s="2">
        <f t="shared" si="31"/>
        <v>0</v>
      </c>
      <c r="AZ84" s="2">
        <v>1</v>
      </c>
      <c r="BA84" s="2">
        <v>1</v>
      </c>
      <c r="BB84" s="2">
        <f t="shared" si="51"/>
        <v>72</v>
      </c>
      <c r="BC84" s="2">
        <f t="shared" si="52"/>
        <v>72</v>
      </c>
      <c r="BD84" s="3"/>
      <c r="BE84" s="3"/>
      <c r="BF84" s="3"/>
      <c r="BG84" s="2" t="str">
        <f>CONCATENATE(
ROUND(BD84*VLOOKUP(L84,'ID Scheme'!$A$2:$E$7,3),0), "x",
ROUND(BE84*VLOOKUP(L84,'ID Scheme'!$A$2:$E$7,5),0), "x",
ROUND(BF84*VLOOKUP(L84,'ID Scheme'!$A$2:$E$7,4),0))</f>
        <v>0x0x0</v>
      </c>
    </row>
    <row r="85" spans="1:59" x14ac:dyDescent="0.25">
      <c r="A85" t="s">
        <v>66</v>
      </c>
      <c r="B85" t="s">
        <v>187</v>
      </c>
      <c r="C85" t="s">
        <v>285</v>
      </c>
      <c r="D85">
        <f>IF(H85 &gt; 2020, ((H85-2020)*4)+1610+J85,IF(H85 &gt; 1900, ((H85-1900)*10)+400+J85, ((H85-1730)*2)+J85))+VLOOKUP(L85,'ID Scheme'!$A$2:$B$7,2, FALSE)</f>
        <v>2121</v>
      </c>
      <c r="F85">
        <v>2121</v>
      </c>
      <c r="G85" t="s">
        <v>683</v>
      </c>
      <c r="H85">
        <v>2012</v>
      </c>
      <c r="I85">
        <v>1</v>
      </c>
      <c r="J85">
        <v>1</v>
      </c>
      <c r="K85" t="s">
        <v>523</v>
      </c>
      <c r="L85" t="s">
        <v>12</v>
      </c>
      <c r="M85" t="s">
        <v>501</v>
      </c>
      <c r="N85">
        <v>50</v>
      </c>
      <c r="O85">
        <v>-1</v>
      </c>
      <c r="P85">
        <v>20</v>
      </c>
      <c r="Q85">
        <v>7</v>
      </c>
      <c r="R85">
        <v>12.5</v>
      </c>
      <c r="S85">
        <v>185</v>
      </c>
      <c r="T85">
        <v>23</v>
      </c>
      <c r="U85">
        <v>87</v>
      </c>
      <c r="V85">
        <v>1</v>
      </c>
      <c r="W85" t="s">
        <v>299</v>
      </c>
      <c r="X85">
        <v>3</v>
      </c>
      <c r="Y85" s="2" t="s">
        <v>323</v>
      </c>
      <c r="Z85" s="2"/>
      <c r="AA85" s="2"/>
      <c r="AB85" s="2"/>
      <c r="AC85" s="2"/>
      <c r="AD85" s="2"/>
      <c r="AE85" s="2"/>
      <c r="AF85" s="2"/>
      <c r="AG85" s="2"/>
      <c r="AH85" s="2"/>
      <c r="AP85">
        <v>8</v>
      </c>
      <c r="AS85" s="2">
        <f>(SQRT(N85*U85)*POWER((MIN(P85,20)+SQRT(MAX(P85-20,0))),0.9)*Data!$B$1)*(1-(V85-1))</f>
        <v>73.321761154546138</v>
      </c>
      <c r="AT85" s="2"/>
      <c r="AU85" s="2">
        <f>((POWER((N85*N85*U85), 0.33)*LOG10(S85)*10*Data!$B$1)*V85)+AT85</f>
        <v>98.153826904979823</v>
      </c>
      <c r="AV85" s="2">
        <f t="shared" si="50"/>
        <v>40.322580645161288</v>
      </c>
      <c r="AW85" s="2">
        <f t="shared" si="31"/>
        <v>0</v>
      </c>
      <c r="AZ85" s="2">
        <v>1</v>
      </c>
      <c r="BA85" s="2">
        <v>1</v>
      </c>
      <c r="BB85" s="2">
        <f t="shared" si="51"/>
        <v>87</v>
      </c>
      <c r="BC85" s="2">
        <f t="shared" si="52"/>
        <v>87</v>
      </c>
      <c r="BD85" s="3"/>
      <c r="BE85" s="3"/>
      <c r="BF85" s="3"/>
      <c r="BG85" s="2" t="str">
        <f>CONCATENATE(
ROUND(BD85*VLOOKUP(L85,'ID Scheme'!$A$2:$E$7,3),0), "x",
ROUND(BE85*VLOOKUP(L85,'ID Scheme'!$A$2:$E$7,5),0), "x",
ROUND(BF85*VLOOKUP(L85,'ID Scheme'!$A$2:$E$7,4),0))</f>
        <v>0x0x0</v>
      </c>
    </row>
    <row r="86" spans="1:59" x14ac:dyDescent="0.25">
      <c r="A86" t="s">
        <v>65</v>
      </c>
      <c r="B86" t="s">
        <v>188</v>
      </c>
      <c r="C86" t="s">
        <v>285</v>
      </c>
      <c r="D86">
        <f>IF(H86 &gt; 2020, ((H86-2020)*4)+1610+J86,IF(H86 &gt; 1900, ((H86-1900)*10)+400+J86, ((H86-1730)*2)+J86))+VLOOKUP(L86,'ID Scheme'!$A$2:$B$7,2, FALSE)</f>
        <v>2122</v>
      </c>
      <c r="F86">
        <v>2122</v>
      </c>
      <c r="G86" t="s">
        <v>683</v>
      </c>
      <c r="H86">
        <v>2012</v>
      </c>
      <c r="I86">
        <v>1</v>
      </c>
      <c r="J86">
        <v>2</v>
      </c>
      <c r="K86" t="s">
        <v>523</v>
      </c>
      <c r="L86" t="s">
        <v>12</v>
      </c>
      <c r="M86" t="s">
        <v>501</v>
      </c>
      <c r="N86">
        <v>60</v>
      </c>
      <c r="O86">
        <v>-1</v>
      </c>
      <c r="P86">
        <v>16</v>
      </c>
      <c r="Q86">
        <v>5</v>
      </c>
      <c r="R86">
        <v>7.5</v>
      </c>
      <c r="S86">
        <v>110</v>
      </c>
      <c r="T86">
        <v>20</v>
      </c>
      <c r="U86">
        <v>35</v>
      </c>
      <c r="V86">
        <v>0.95</v>
      </c>
      <c r="W86" t="s">
        <v>299</v>
      </c>
      <c r="X86">
        <v>2</v>
      </c>
      <c r="Y86" s="2" t="s">
        <v>317</v>
      </c>
      <c r="Z86" s="2"/>
      <c r="AA86" s="2"/>
      <c r="AB86" s="2"/>
      <c r="AC86" s="2"/>
      <c r="AD86" s="2"/>
      <c r="AE86" s="2"/>
      <c r="AF86" s="2"/>
      <c r="AG86" s="2"/>
      <c r="AH86" s="2"/>
      <c r="AP86">
        <v>8</v>
      </c>
      <c r="AS86" s="2">
        <f>(SQRT(N86*U86)*POWER((MIN(P86,20)+SQRT(MAX(P86-20,0))),0.9)*Data!$B$1)*(1-(V86-1))</f>
        <v>43.759081158234544</v>
      </c>
      <c r="AT86" s="2"/>
      <c r="AU86" s="2">
        <f>((POWER((N86*N86*U86), 0.33)*LOG10(S86)*10*Data!$B$1)*V86)+AT86</f>
        <v>70.118675319420305</v>
      </c>
      <c r="AV86" s="2">
        <f t="shared" si="50"/>
        <v>48.387096774193552</v>
      </c>
      <c r="AW86" s="2">
        <f t="shared" si="31"/>
        <v>0</v>
      </c>
      <c r="AZ86" s="2">
        <v>1</v>
      </c>
      <c r="BA86" s="2">
        <v>1</v>
      </c>
      <c r="BB86" s="2">
        <f t="shared" si="51"/>
        <v>35</v>
      </c>
      <c r="BC86" s="2">
        <f t="shared" si="52"/>
        <v>35</v>
      </c>
      <c r="BD86" s="3">
        <v>10.199999999999999</v>
      </c>
      <c r="BE86" s="3">
        <v>2.2999999999999998</v>
      </c>
      <c r="BF86" s="3">
        <v>2.7</v>
      </c>
      <c r="BG86" s="2" t="str">
        <f>CONCATENATE(
ROUND(BD86*VLOOKUP(L86,'ID Scheme'!$A$2:$E$7,3),0), "x",
ROUND(BE86*VLOOKUP(L86,'ID Scheme'!$A$2:$E$7,5),0), "x",
ROUND(BF86*VLOOKUP(L86,'ID Scheme'!$A$2:$E$7,4),0))</f>
        <v>95x33x26</v>
      </c>
    </row>
    <row r="87" spans="1:59" x14ac:dyDescent="0.25">
      <c r="A87" t="s">
        <v>636</v>
      </c>
      <c r="B87" t="s">
        <v>637</v>
      </c>
      <c r="C87" t="s">
        <v>285</v>
      </c>
      <c r="D87">
        <f>IF(H87 &gt; 2020, ((H87-2020)*4)+1610+J87,IF(H87 &gt; 1900, ((H87-1900)*10)+400+J87, ((H87-1730)*2)+J87))+VLOOKUP(L87,'ID Scheme'!$A$2:$B$7,2, FALSE)</f>
        <v>2131</v>
      </c>
      <c r="F87">
        <v>2131</v>
      </c>
      <c r="G87" t="s">
        <v>683</v>
      </c>
      <c r="H87">
        <v>2013</v>
      </c>
      <c r="I87">
        <v>5</v>
      </c>
      <c r="J87">
        <v>1</v>
      </c>
      <c r="K87" t="s">
        <v>523</v>
      </c>
      <c r="L87" t="s">
        <v>12</v>
      </c>
      <c r="M87" t="s">
        <v>501</v>
      </c>
      <c r="N87">
        <v>59</v>
      </c>
      <c r="O87">
        <v>-1</v>
      </c>
      <c r="P87">
        <v>18</v>
      </c>
      <c r="Q87">
        <v>5</v>
      </c>
      <c r="R87">
        <v>6</v>
      </c>
      <c r="S87">
        <v>175</v>
      </c>
      <c r="T87">
        <v>20</v>
      </c>
      <c r="U87">
        <v>59</v>
      </c>
      <c r="V87">
        <v>1</v>
      </c>
      <c r="W87" t="s">
        <v>289</v>
      </c>
      <c r="X87">
        <v>3</v>
      </c>
      <c r="Y87" s="2" t="s">
        <v>638</v>
      </c>
      <c r="Z87" s="2"/>
      <c r="AA87" s="2"/>
      <c r="AB87" s="2"/>
      <c r="AC87" s="2"/>
      <c r="AD87" s="2"/>
      <c r="AE87" s="2"/>
      <c r="AF87" s="2"/>
      <c r="AG87" s="2"/>
      <c r="AH87" s="2"/>
      <c r="AP87">
        <v>8</v>
      </c>
      <c r="AS87" s="2">
        <f>(SQRT(N87*U87)*POWER((MIN(P87,20)+SQRT(MAX(P87-20,0))),0.9)*Data!$B$1)*(1-(V87-1))</f>
        <v>59.656604337726122</v>
      </c>
      <c r="AT87" s="2"/>
      <c r="AU87" s="2">
        <f>((POWER((N87*N87*U87), 0.33)*LOG10(S87)*10*Data!$B$1)*V87)+AT87</f>
        <v>95.288698571508277</v>
      </c>
      <c r="AV87" s="2">
        <f t="shared" si="50"/>
        <v>47.58064516129032</v>
      </c>
      <c r="AW87" s="2">
        <f t="shared" si="31"/>
        <v>0</v>
      </c>
      <c r="AZ87" s="2">
        <v>1</v>
      </c>
      <c r="BA87" s="2">
        <v>1</v>
      </c>
      <c r="BB87" s="2">
        <f t="shared" si="51"/>
        <v>59</v>
      </c>
      <c r="BC87" s="2">
        <f t="shared" si="52"/>
        <v>59</v>
      </c>
      <c r="BD87" s="3">
        <v>10.199999999999999</v>
      </c>
      <c r="BE87" s="3">
        <v>2.4</v>
      </c>
      <c r="BF87" s="3">
        <v>2.7</v>
      </c>
      <c r="BG87" s="2" t="str">
        <f>CONCATENATE(
ROUND(BD87*VLOOKUP(L87,'ID Scheme'!$A$2:$E$7,3),0), "x",
ROUND(BE87*VLOOKUP(L87,'ID Scheme'!$A$2:$E$7,5),0), "x",
ROUND(BF87*VLOOKUP(L87,'ID Scheme'!$A$2:$E$7,4),0))</f>
        <v>95x35x26</v>
      </c>
    </row>
    <row r="88" spans="1:59" x14ac:dyDescent="0.25">
      <c r="A88" t="s">
        <v>489</v>
      </c>
      <c r="B88" t="s">
        <v>491</v>
      </c>
      <c r="C88" t="s">
        <v>285</v>
      </c>
      <c r="D88">
        <f>IF(H88 &gt; 2020, ((H88-2020)*4)+1610+J88,IF(H88 &gt; 1900, ((H88-1900)*10)+400+J88, ((H88-1730)*2)+J88))+VLOOKUP(L88,'ID Scheme'!$A$2:$B$7,2, FALSE)</f>
        <v>2141</v>
      </c>
      <c r="F88">
        <v>2141</v>
      </c>
      <c r="G88" t="s">
        <v>683</v>
      </c>
      <c r="H88">
        <v>2014</v>
      </c>
      <c r="I88">
        <v>10</v>
      </c>
      <c r="J88">
        <v>1</v>
      </c>
      <c r="K88" t="s">
        <v>523</v>
      </c>
      <c r="L88" t="s">
        <v>12</v>
      </c>
      <c r="M88" t="s">
        <v>501</v>
      </c>
      <c r="N88">
        <v>60</v>
      </c>
      <c r="O88">
        <v>-1</v>
      </c>
      <c r="P88">
        <v>20</v>
      </c>
      <c r="Q88">
        <v>7</v>
      </c>
      <c r="R88">
        <v>11</v>
      </c>
      <c r="S88">
        <v>240</v>
      </c>
      <c r="T88">
        <v>20</v>
      </c>
      <c r="U88">
        <v>90</v>
      </c>
      <c r="V88">
        <v>0.9</v>
      </c>
      <c r="W88" t="s">
        <v>299</v>
      </c>
      <c r="X88">
        <v>3</v>
      </c>
      <c r="Y88" s="2" t="s">
        <v>490</v>
      </c>
      <c r="Z88" s="2"/>
      <c r="AA88" s="2"/>
      <c r="AB88" s="2"/>
      <c r="AC88" s="2"/>
      <c r="AD88" s="2"/>
      <c r="AE88" s="2"/>
      <c r="AF88" s="2"/>
      <c r="AG88" s="2"/>
      <c r="AH88" s="2"/>
      <c r="AP88">
        <v>8</v>
      </c>
      <c r="AS88" s="2">
        <f>(SQRT(N88*U88)*POWER((MIN(P88,20)+SQRT(MAX(P88-20,0))),0.9)*Data!$B$1)*(1-(V88-1))</f>
        <v>89.86236093998113</v>
      </c>
      <c r="AT88" s="2"/>
      <c r="AU88" s="2">
        <f>((POWER((N88*N88*U88), 0.33)*LOG10(S88)*10*Data!$B$1)*V88)+AT88</f>
        <v>105.77891991708935</v>
      </c>
      <c r="AV88" s="2">
        <f t="shared" ref="AV88" si="53">N88/1.24</f>
        <v>48.387096774193552</v>
      </c>
      <c r="AW88" s="2">
        <f t="shared" si="31"/>
        <v>0</v>
      </c>
      <c r="AZ88" s="2">
        <v>1</v>
      </c>
      <c r="BA88" s="2">
        <v>1</v>
      </c>
      <c r="BB88" s="2">
        <f t="shared" ref="BB88" si="54">U88/BA88</f>
        <v>90</v>
      </c>
      <c r="BC88" s="2">
        <f t="shared" ref="BC88" si="55">(U88)/MAX(AZ88-1, 1)</f>
        <v>90</v>
      </c>
      <c r="BD88" s="3">
        <v>11.4</v>
      </c>
      <c r="BE88" s="3">
        <v>2.5499999999999998</v>
      </c>
      <c r="BF88" s="3">
        <v>4.2</v>
      </c>
      <c r="BG88" s="2" t="str">
        <f>CONCATENATE(
ROUND(BD88*VLOOKUP(L88,'ID Scheme'!$A$2:$E$7,3),0), "x",
ROUND(BE88*VLOOKUP(L88,'ID Scheme'!$A$2:$E$7,5),0), "x",
ROUND(BF88*VLOOKUP(L88,'ID Scheme'!$A$2:$E$7,4),0))</f>
        <v>106x37x41</v>
      </c>
    </row>
    <row r="89" spans="1:59" x14ac:dyDescent="0.25">
      <c r="A89" t="s">
        <v>666</v>
      </c>
      <c r="B89" t="s">
        <v>668</v>
      </c>
      <c r="C89" t="s">
        <v>285</v>
      </c>
      <c r="D89">
        <f>IF(H89 &gt; 2020, ((H89-2020)*4)+1610+J89,IF(H89 &gt; 1900, ((H89-1900)*10)+400+J89, ((H89-1730)*2)+J89))+VLOOKUP(L89,'ID Scheme'!$A$2:$B$7,2, FALSE)</f>
        <v>2181</v>
      </c>
      <c r="F89">
        <v>2181</v>
      </c>
      <c r="G89" t="s">
        <v>683</v>
      </c>
      <c r="H89">
        <v>2018</v>
      </c>
      <c r="I89">
        <v>5</v>
      </c>
      <c r="J89">
        <v>1</v>
      </c>
      <c r="K89" t="s">
        <v>523</v>
      </c>
      <c r="L89" t="s">
        <v>12</v>
      </c>
      <c r="M89" t="s">
        <v>501</v>
      </c>
      <c r="N89">
        <v>58</v>
      </c>
      <c r="O89">
        <v>-1</v>
      </c>
      <c r="P89">
        <v>18</v>
      </c>
      <c r="Q89">
        <v>7</v>
      </c>
      <c r="R89">
        <v>11</v>
      </c>
      <c r="S89">
        <v>230</v>
      </c>
      <c r="T89">
        <v>20</v>
      </c>
      <c r="U89">
        <v>96</v>
      </c>
      <c r="V89">
        <v>0.9</v>
      </c>
      <c r="W89" t="s">
        <v>299</v>
      </c>
      <c r="X89">
        <v>3</v>
      </c>
      <c r="Y89" s="2" t="s">
        <v>667</v>
      </c>
      <c r="Z89" s="2"/>
      <c r="AA89" s="2"/>
      <c r="AB89" s="2"/>
      <c r="AC89" s="2"/>
      <c r="AD89" s="2"/>
      <c r="AE89" s="2"/>
      <c r="AF89" s="2"/>
      <c r="AG89" s="2"/>
      <c r="AH89" s="2"/>
      <c r="AP89">
        <v>8</v>
      </c>
      <c r="AS89" s="2">
        <f>(SQRT(N89*U89)*POWER((MIN(P89,20)+SQRT(MAX(P89-20,0))),0.9)*Data!$B$1)*(1-(V89-1))</f>
        <v>82.994405131650922</v>
      </c>
      <c r="AT89" s="2"/>
      <c r="AU89" s="2">
        <f>((POWER((N89*N89*U89), 0.33)*LOG10(S89)*10*Data!$B$1)*V89)+AT89</f>
        <v>104.84448815432327</v>
      </c>
      <c r="AV89" s="2">
        <f t="shared" si="50"/>
        <v>46.774193548387096</v>
      </c>
      <c r="AW89" s="2">
        <f t="shared" ref="AW89:AW115" si="56">AI89/1.24</f>
        <v>0</v>
      </c>
      <c r="AZ89" s="2">
        <v>1</v>
      </c>
      <c r="BA89" s="2">
        <v>1</v>
      </c>
      <c r="BB89" s="2">
        <f t="shared" si="51"/>
        <v>96</v>
      </c>
      <c r="BC89" s="2">
        <f t="shared" si="52"/>
        <v>96</v>
      </c>
      <c r="BD89" s="3">
        <v>10.5</v>
      </c>
      <c r="BE89" s="3">
        <v>2.52</v>
      </c>
      <c r="BF89" s="3">
        <v>4.4000000000000004</v>
      </c>
      <c r="BG89" s="2" t="str">
        <f>CONCATENATE(
ROUND(BD89*VLOOKUP(L89,'ID Scheme'!$A$2:$E$7,3),0), "x",
ROUND(BE89*VLOOKUP(L89,'ID Scheme'!$A$2:$E$7,5),0), "x",
ROUND(BF89*VLOOKUP(L89,'ID Scheme'!$A$2:$E$7,4),0))</f>
        <v>98x36x43</v>
      </c>
    </row>
    <row r="90" spans="1:59" x14ac:dyDescent="0.25">
      <c r="A90" t="s">
        <v>604</v>
      </c>
      <c r="B90" t="s">
        <v>603</v>
      </c>
      <c r="C90" t="s">
        <v>285</v>
      </c>
      <c r="D90">
        <f>IF(H90 &gt; 2020, ((H90-2020)*4)+1610+J90,IF(H90 &gt; 1900, ((H90-1900)*10)+400+J90, ((H90-1730)*2)+J90))+VLOOKUP(L90,'ID Scheme'!$A$2:$B$7,2, FALSE)</f>
        <v>2201</v>
      </c>
      <c r="F90">
        <v>2201</v>
      </c>
      <c r="G90" t="s">
        <v>683</v>
      </c>
      <c r="H90">
        <v>2020</v>
      </c>
      <c r="I90">
        <v>1</v>
      </c>
      <c r="J90">
        <v>1</v>
      </c>
      <c r="K90" t="s">
        <v>523</v>
      </c>
      <c r="L90" t="s">
        <v>12</v>
      </c>
      <c r="M90" t="s">
        <v>501</v>
      </c>
      <c r="N90">
        <v>55</v>
      </c>
      <c r="O90">
        <v>-1</v>
      </c>
      <c r="P90">
        <v>20</v>
      </c>
      <c r="Q90">
        <v>7</v>
      </c>
      <c r="R90">
        <v>12</v>
      </c>
      <c r="S90">
        <v>300</v>
      </c>
      <c r="T90">
        <v>20</v>
      </c>
      <c r="U90">
        <v>90</v>
      </c>
      <c r="V90">
        <v>0.75</v>
      </c>
      <c r="W90" t="s">
        <v>605</v>
      </c>
      <c r="X90">
        <v>1</v>
      </c>
      <c r="Y90" s="2" t="s">
        <v>606</v>
      </c>
      <c r="Z90" s="2"/>
      <c r="AA90" s="2"/>
      <c r="AB90" s="2"/>
      <c r="AC90" s="2"/>
      <c r="AD90" s="2"/>
      <c r="AE90" s="2"/>
      <c r="AF90" s="2"/>
      <c r="AG90" s="2"/>
      <c r="AH90" s="2"/>
      <c r="AP90">
        <v>8</v>
      </c>
      <c r="AS90" s="2">
        <f>(SQRT(N90*U90)*POWER((MIN(P90,20)+SQRT(MAX(P90-20,0))),0.9)*Data!$B$1)*(1-(V90-1))</f>
        <v>97.768932194229819</v>
      </c>
      <c r="AT90" s="2"/>
      <c r="AU90" s="2">
        <f>((POWER((N90*N90*U90), 0.33)*LOG10(S90)*10*Data!$B$1)*V90)+AT90</f>
        <v>86.618208225799165</v>
      </c>
      <c r="AV90" s="2">
        <f t="shared" ref="AV90:AV91" si="57">N90/1.24</f>
        <v>44.354838709677416</v>
      </c>
      <c r="AW90" s="2">
        <f t="shared" ref="AW90:AW91" si="58">AI90/1.24</f>
        <v>0</v>
      </c>
      <c r="AZ90" s="2">
        <v>1</v>
      </c>
      <c r="BA90" s="2">
        <v>1</v>
      </c>
      <c r="BB90" s="2">
        <f t="shared" ref="BB90:BB91" si="59">U90/BA90</f>
        <v>90</v>
      </c>
      <c r="BC90" s="2">
        <f t="shared" ref="BC90:BC91" si="60">(U90)/MAX(AZ90-1, 1)</f>
        <v>90</v>
      </c>
      <c r="BD90" s="3">
        <v>11.4</v>
      </c>
      <c r="BE90" s="3">
        <v>2.5499999999999998</v>
      </c>
      <c r="BF90" s="3">
        <v>4.2</v>
      </c>
      <c r="BG90" s="2" t="str">
        <f>CONCATENATE(
ROUND(BD90*VLOOKUP(L90,'ID Scheme'!$A$2:$E$7,3),0), "x",
ROUND(BE90*VLOOKUP(L90,'ID Scheme'!$A$2:$E$7,5),0), "x",
ROUND(BF90*VLOOKUP(L90,'ID Scheme'!$A$2:$E$7,4),0))</f>
        <v>106x37x41</v>
      </c>
    </row>
    <row r="91" spans="1:59" x14ac:dyDescent="0.25">
      <c r="A91" t="s">
        <v>663</v>
      </c>
      <c r="B91" t="s">
        <v>664</v>
      </c>
      <c r="C91" t="s">
        <v>285</v>
      </c>
      <c r="D91">
        <f>IF(H91 &gt; 2020, ((H91-2020)*4)+1610+J91,IF(H91 &gt; 1900, ((H91-1900)*10)+400+J91, ((H91-1730)*2)+J91))+VLOOKUP(L91,'ID Scheme'!$A$2:$B$7,2, FALSE)</f>
        <v>2223</v>
      </c>
      <c r="F91">
        <v>2223</v>
      </c>
      <c r="G91" t="s">
        <v>683</v>
      </c>
      <c r="H91">
        <v>2023</v>
      </c>
      <c r="I91">
        <v>1</v>
      </c>
      <c r="J91">
        <v>1</v>
      </c>
      <c r="K91" t="s">
        <v>523</v>
      </c>
      <c r="L91" t="s">
        <v>12</v>
      </c>
      <c r="M91" t="s">
        <v>501</v>
      </c>
      <c r="N91">
        <v>45</v>
      </c>
      <c r="O91">
        <v>-1</v>
      </c>
      <c r="P91">
        <v>17</v>
      </c>
      <c r="Q91">
        <v>8</v>
      </c>
      <c r="R91">
        <v>9</v>
      </c>
      <c r="S91">
        <v>275</v>
      </c>
      <c r="T91">
        <v>20</v>
      </c>
      <c r="U91">
        <v>97</v>
      </c>
      <c r="V91">
        <v>0.75</v>
      </c>
      <c r="W91" t="s">
        <v>365</v>
      </c>
      <c r="X91">
        <v>1</v>
      </c>
      <c r="Y91" s="2" t="s">
        <v>665</v>
      </c>
      <c r="Z91" s="2"/>
      <c r="AA91" s="2"/>
      <c r="AB91" s="2"/>
      <c r="AC91" s="2"/>
      <c r="AD91" s="2"/>
      <c r="AE91" s="2"/>
      <c r="AF91" s="2"/>
      <c r="AG91" s="2"/>
      <c r="AH91" s="2"/>
      <c r="AP91">
        <v>8</v>
      </c>
      <c r="AS91" s="2">
        <f>(SQRT(N91*U91)*POWER((MIN(P91,20)+SQRT(MAX(P91-20,0))),0.9)*Data!$B$1)*(1-(V91-1))</f>
        <v>79.317210047723009</v>
      </c>
      <c r="AT91" s="2"/>
      <c r="AU91" s="2">
        <f>((POWER((N91*N91*U91), 0.33)*LOG10(S91)*10*Data!$B$1)*V91)+AT91</f>
        <v>76.585842585166972</v>
      </c>
      <c r="AV91" s="2">
        <f t="shared" si="57"/>
        <v>36.29032258064516</v>
      </c>
      <c r="AW91" s="2">
        <f t="shared" si="58"/>
        <v>0</v>
      </c>
      <c r="AZ91" s="2">
        <v>1</v>
      </c>
      <c r="BA91" s="2">
        <v>1</v>
      </c>
      <c r="BB91" s="2">
        <f t="shared" si="59"/>
        <v>97</v>
      </c>
      <c r="BC91" s="2">
        <f t="shared" si="60"/>
        <v>97</v>
      </c>
      <c r="BD91" s="3">
        <v>12.1</v>
      </c>
      <c r="BE91" s="3">
        <v>2.5</v>
      </c>
      <c r="BF91" s="3">
        <v>3.4</v>
      </c>
      <c r="BG91" s="2" t="str">
        <f>CONCATENATE(
ROUND(BD91*VLOOKUP(L91,'ID Scheme'!$A$2:$E$7,3),0), "x",
ROUND(BE91*VLOOKUP(L91,'ID Scheme'!$A$2:$E$7,5),0), "x",
ROUND(BF91*VLOOKUP(L91,'ID Scheme'!$A$2:$E$7,4),0))</f>
        <v>113x36x33</v>
      </c>
    </row>
    <row r="92" spans="1:59" x14ac:dyDescent="0.25">
      <c r="A92" t="s">
        <v>39</v>
      </c>
      <c r="B92" t="s">
        <v>227</v>
      </c>
      <c r="C92" t="s">
        <v>327</v>
      </c>
      <c r="D92">
        <f>IF(H92 &gt; 2020, ((H92-2020)*4)+1610+J92,IF(H92 &gt; 1900, ((H92-1900)*10)+400+J92, ((H92-1730)*2)+J92))+VLOOKUP(L92,'ID Scheme'!$A$2:$B$7,2, FALSE)</f>
        <v>2935</v>
      </c>
      <c r="F92">
        <v>2935</v>
      </c>
      <c r="G92" t="s">
        <v>683</v>
      </c>
      <c r="H92">
        <v>1897</v>
      </c>
      <c r="I92">
        <v>1</v>
      </c>
      <c r="J92">
        <v>1</v>
      </c>
      <c r="K92" t="s">
        <v>522</v>
      </c>
      <c r="L92" t="s">
        <v>13</v>
      </c>
      <c r="M92" t="s">
        <v>508</v>
      </c>
      <c r="N92">
        <v>20</v>
      </c>
      <c r="O92">
        <v>20</v>
      </c>
      <c r="P92">
        <v>15</v>
      </c>
      <c r="Q92">
        <v>5</v>
      </c>
      <c r="R92">
        <v>4</v>
      </c>
      <c r="S92">
        <v>20</v>
      </c>
      <c r="T92">
        <v>20</v>
      </c>
      <c r="U92">
        <v>13</v>
      </c>
      <c r="V92">
        <v>1</v>
      </c>
      <c r="W92" t="s">
        <v>288</v>
      </c>
      <c r="X92">
        <v>-3</v>
      </c>
      <c r="Y92" s="2" t="s">
        <v>329</v>
      </c>
      <c r="Z92" s="2"/>
      <c r="AA92" s="2"/>
      <c r="AB92" s="2"/>
      <c r="AC92" s="2"/>
      <c r="AD92" s="2" t="s">
        <v>331</v>
      </c>
      <c r="AE92" s="2" t="s">
        <v>331</v>
      </c>
      <c r="AF92" s="2"/>
      <c r="AG92" s="2"/>
      <c r="AH92" s="2"/>
      <c r="AP92">
        <v>6</v>
      </c>
      <c r="AS92" s="2">
        <f>(SQRT(N92*U92)*POWER((MIN(P92,20)+SQRT(MAX(P92-20,0))),0.9)*Data!$B$1)*(1-(V92-1))</f>
        <v>13.836621803521316</v>
      </c>
      <c r="AT92" s="2"/>
      <c r="AU92" s="2">
        <f>((POWER((N92*N92*U92), 0.33)*LOG10(S92)*10*Data!$B$1)*V92)+AT92</f>
        <v>16.429701619516372</v>
      </c>
      <c r="AV92" s="2">
        <f t="shared" si="50"/>
        <v>16.129032258064516</v>
      </c>
      <c r="AW92" s="2">
        <f t="shared" si="56"/>
        <v>0</v>
      </c>
      <c r="AZ92" s="2">
        <v>1</v>
      </c>
      <c r="BA92" s="2">
        <v>1</v>
      </c>
      <c r="BB92" s="2">
        <f t="shared" si="51"/>
        <v>13</v>
      </c>
      <c r="BC92" s="2">
        <f t="shared" si="52"/>
        <v>13</v>
      </c>
      <c r="BD92" s="3"/>
      <c r="BE92" s="3"/>
      <c r="BF92" s="3"/>
      <c r="BG92" s="2" t="str">
        <f>CONCATENATE(
ROUND(BD92*VLOOKUP(L92,'ID Scheme'!$A$2:$E$7,3),0), "x",
ROUND(BE92*VLOOKUP(L92,'ID Scheme'!$A$2:$E$7,5),0), "x",
ROUND(BF92*VLOOKUP(L92,'ID Scheme'!$A$2:$E$7,4),0))</f>
        <v>0x0x0</v>
      </c>
    </row>
    <row r="93" spans="1:59" x14ac:dyDescent="0.25">
      <c r="A93" t="s">
        <v>8</v>
      </c>
      <c r="B93" t="s">
        <v>196</v>
      </c>
      <c r="C93" t="s">
        <v>327</v>
      </c>
      <c r="D93">
        <f>IF(H93 &gt; 2020, ((H93-2020)*4)+1610+J93,IF(H93 &gt; 1900, ((H93-1900)*10)+400+J93, ((H93-1730)*2)+J93))+VLOOKUP(L93,'ID Scheme'!$A$2:$B$7,2, FALSE)</f>
        <v>3021</v>
      </c>
      <c r="F93">
        <v>3021</v>
      </c>
      <c r="G93" t="s">
        <v>683</v>
      </c>
      <c r="H93">
        <v>1902</v>
      </c>
      <c r="I93">
        <v>1</v>
      </c>
      <c r="J93">
        <v>1</v>
      </c>
      <c r="K93" t="s">
        <v>522</v>
      </c>
      <c r="L93" t="s">
        <v>13</v>
      </c>
      <c r="M93" t="s">
        <v>508</v>
      </c>
      <c r="N93">
        <v>19</v>
      </c>
      <c r="O93">
        <v>20</v>
      </c>
      <c r="P93">
        <v>15</v>
      </c>
      <c r="Q93">
        <v>5</v>
      </c>
      <c r="R93">
        <v>5</v>
      </c>
      <c r="S93">
        <v>35</v>
      </c>
      <c r="T93">
        <v>20</v>
      </c>
      <c r="U93">
        <v>16</v>
      </c>
      <c r="V93">
        <v>1</v>
      </c>
      <c r="W93" t="s">
        <v>288</v>
      </c>
      <c r="X93">
        <v>-3</v>
      </c>
      <c r="Y93" s="2" t="s">
        <v>332</v>
      </c>
      <c r="Z93" s="2"/>
      <c r="AA93" s="2"/>
      <c r="AB93" s="2"/>
      <c r="AC93" s="2"/>
      <c r="AD93" s="2" t="s">
        <v>331</v>
      </c>
      <c r="AE93" s="2" t="s">
        <v>331</v>
      </c>
      <c r="AF93" s="2"/>
      <c r="AG93" s="2"/>
      <c r="AH93" s="2"/>
      <c r="AP93">
        <v>8</v>
      </c>
      <c r="AS93" s="2">
        <f>(SQRT(N93*U93)*POWER((MIN(P93,20)+SQRT(MAX(P93-20,0))),0.9)*Data!$B$1)*(1-(V93-1))</f>
        <v>14.961674023450612</v>
      </c>
      <c r="AT93" s="2"/>
      <c r="AU93" s="2">
        <f>((POWER((N93*N93*U93), 0.33)*LOG10(S93)*10*Data!$B$1)*V93)+AT93</f>
        <v>20.186669341050663</v>
      </c>
      <c r="AV93" s="2">
        <f t="shared" si="50"/>
        <v>15.32258064516129</v>
      </c>
      <c r="AW93" s="2">
        <f t="shared" si="56"/>
        <v>0</v>
      </c>
      <c r="AZ93" s="2">
        <v>1</v>
      </c>
      <c r="BA93" s="2">
        <v>1</v>
      </c>
      <c r="BB93" s="2">
        <f t="shared" si="51"/>
        <v>16</v>
      </c>
      <c r="BC93" s="2">
        <f t="shared" si="52"/>
        <v>16</v>
      </c>
      <c r="BD93" s="3"/>
      <c r="BE93" s="3"/>
      <c r="BF93" s="3"/>
      <c r="BG93" s="2" t="str">
        <f>CONCATENATE(
ROUND(BD93*VLOOKUP(L93,'ID Scheme'!$A$2:$E$7,3),0), "x",
ROUND(BE93*VLOOKUP(L93,'ID Scheme'!$A$2:$E$7,5),0), "x",
ROUND(BF93*VLOOKUP(L93,'ID Scheme'!$A$2:$E$7,4),0))</f>
        <v>0x0x0</v>
      </c>
    </row>
    <row r="94" spans="1:59" x14ac:dyDescent="0.25">
      <c r="A94" t="s">
        <v>22</v>
      </c>
      <c r="B94" t="s">
        <v>228</v>
      </c>
      <c r="C94" t="s">
        <v>327</v>
      </c>
      <c r="D94">
        <f>IF(H94 &gt; 2020, ((H94-2020)*4)+1610+J94,IF(H94 &gt; 1900, ((H94-1900)*10)+400+J94, ((H94-1730)*2)+J94))+VLOOKUP(L94,'ID Scheme'!$A$2:$B$7,2, FALSE)</f>
        <v>3071</v>
      </c>
      <c r="F94">
        <v>3071</v>
      </c>
      <c r="G94" t="s">
        <v>683</v>
      </c>
      <c r="H94">
        <v>1907</v>
      </c>
      <c r="I94">
        <v>1</v>
      </c>
      <c r="J94">
        <v>1</v>
      </c>
      <c r="K94" t="s">
        <v>522</v>
      </c>
      <c r="L94" t="s">
        <v>13</v>
      </c>
      <c r="M94" t="s">
        <v>501</v>
      </c>
      <c r="N94">
        <v>22</v>
      </c>
      <c r="O94">
        <v>15</v>
      </c>
      <c r="P94">
        <v>15</v>
      </c>
      <c r="Q94">
        <v>5</v>
      </c>
      <c r="R94">
        <v>5.5</v>
      </c>
      <c r="S94">
        <v>35</v>
      </c>
      <c r="T94">
        <v>20</v>
      </c>
      <c r="U94">
        <v>18</v>
      </c>
      <c r="V94">
        <v>1</v>
      </c>
      <c r="W94" t="s">
        <v>289</v>
      </c>
      <c r="X94">
        <v>2</v>
      </c>
      <c r="Y94" s="2" t="s">
        <v>333</v>
      </c>
      <c r="Z94" s="2" t="s">
        <v>331</v>
      </c>
      <c r="AA94" s="2"/>
      <c r="AB94" s="2"/>
      <c r="AC94" s="2"/>
      <c r="AD94" s="2" t="s">
        <v>331</v>
      </c>
      <c r="AE94" s="2" t="s">
        <v>331</v>
      </c>
      <c r="AF94" s="2"/>
      <c r="AG94" s="2"/>
      <c r="AH94" s="2"/>
      <c r="AP94">
        <v>7</v>
      </c>
      <c r="AS94" s="2">
        <f>(SQRT(N94*U94)*POWER((MIN(P94,20)+SQRT(MAX(P94-20,0))),0.9)*Data!$B$1)*(1-(V94-1))</f>
        <v>17.076190437355692</v>
      </c>
      <c r="AT94" s="2"/>
      <c r="AU94" s="2">
        <f>((POWER((N94*N94*U94), 0.33)*LOG10(S94)*10*Data!$B$1)*V94)+AT94</f>
        <v>23.11886954917755</v>
      </c>
      <c r="AV94" s="2">
        <f t="shared" si="50"/>
        <v>17.741935483870968</v>
      </c>
      <c r="AW94" s="2">
        <f t="shared" si="56"/>
        <v>0</v>
      </c>
      <c r="AZ94" s="2">
        <v>1</v>
      </c>
      <c r="BA94" s="2">
        <v>1</v>
      </c>
      <c r="BB94" s="2">
        <f t="shared" si="51"/>
        <v>18</v>
      </c>
      <c r="BC94" s="2">
        <f t="shared" si="52"/>
        <v>18</v>
      </c>
      <c r="BD94" s="3"/>
      <c r="BE94" s="3"/>
      <c r="BF94" s="3"/>
      <c r="BG94" s="2" t="str">
        <f>CONCATENATE(
ROUND(BD94*VLOOKUP(L94,'ID Scheme'!$A$2:$E$7,3),0), "x",
ROUND(BE94*VLOOKUP(L94,'ID Scheme'!$A$2:$E$7,5),0), "x",
ROUND(BF94*VLOOKUP(L94,'ID Scheme'!$A$2:$E$7,4),0))</f>
        <v>0x0x0</v>
      </c>
    </row>
    <row r="95" spans="1:59" x14ac:dyDescent="0.25">
      <c r="A95" t="s">
        <v>234</v>
      </c>
      <c r="B95" t="s">
        <v>233</v>
      </c>
      <c r="C95" t="s">
        <v>327</v>
      </c>
      <c r="D95">
        <f>IF(H95 &gt; 2020, ((H95-2020)*4)+1610+J95,IF(H95 &gt; 1900, ((H95-1900)*10)+400+J95, ((H95-1730)*2)+J95))+VLOOKUP(L95,'ID Scheme'!$A$2:$B$7,2, FALSE)</f>
        <v>3131</v>
      </c>
      <c r="F95">
        <v>3131</v>
      </c>
      <c r="G95" t="s">
        <v>683</v>
      </c>
      <c r="H95">
        <v>1913</v>
      </c>
      <c r="I95">
        <v>1</v>
      </c>
      <c r="J95">
        <v>1</v>
      </c>
      <c r="K95" t="s">
        <v>522</v>
      </c>
      <c r="L95" t="s">
        <v>13</v>
      </c>
      <c r="M95" t="s">
        <v>508</v>
      </c>
      <c r="N95">
        <v>24</v>
      </c>
      <c r="O95">
        <v>20</v>
      </c>
      <c r="P95">
        <v>18</v>
      </c>
      <c r="Q95">
        <v>5</v>
      </c>
      <c r="R95">
        <v>4.5</v>
      </c>
      <c r="S95">
        <v>30</v>
      </c>
      <c r="T95">
        <v>20</v>
      </c>
      <c r="U95">
        <v>18</v>
      </c>
      <c r="V95">
        <v>1</v>
      </c>
      <c r="W95" t="s">
        <v>289</v>
      </c>
      <c r="X95">
        <v>2</v>
      </c>
      <c r="Y95" s="2" t="s">
        <v>478</v>
      </c>
      <c r="Z95" s="2" t="s">
        <v>331</v>
      </c>
      <c r="AA95" s="2" t="s">
        <v>331</v>
      </c>
      <c r="AB95" s="2"/>
      <c r="AC95" s="2"/>
      <c r="AD95" s="2" t="s">
        <v>331</v>
      </c>
      <c r="AE95" s="2" t="s">
        <v>331</v>
      </c>
      <c r="AF95" s="2"/>
      <c r="AG95" s="2"/>
      <c r="AH95" s="2"/>
      <c r="AP95">
        <v>7</v>
      </c>
      <c r="AS95" s="2">
        <f>(SQRT(N95*U95)*POWER((MIN(P95,20)+SQRT(MAX(P95-20,0))),0.9)*Data!$B$1)*(1-(V95-1))</f>
        <v>21.01591926507977</v>
      </c>
      <c r="AT95" s="2"/>
      <c r="AU95" s="2">
        <f>((POWER((N95*N95*U95), 0.33)*LOG10(S95)*10*Data!$B$1)*V95)+AT95</f>
        <v>23.42376794797384</v>
      </c>
      <c r="AV95" s="2">
        <f t="shared" si="50"/>
        <v>19.35483870967742</v>
      </c>
      <c r="AW95" s="2">
        <f t="shared" si="56"/>
        <v>0</v>
      </c>
      <c r="AZ95" s="2">
        <v>1</v>
      </c>
      <c r="BA95" s="2">
        <v>1</v>
      </c>
      <c r="BB95" s="2">
        <f t="shared" si="51"/>
        <v>18</v>
      </c>
      <c r="BC95" s="2">
        <f t="shared" si="52"/>
        <v>18</v>
      </c>
      <c r="BD95" s="3"/>
      <c r="BE95" s="3"/>
      <c r="BF95" s="3"/>
      <c r="BG95" s="2" t="str">
        <f>CONCATENATE(
ROUND(BD95*VLOOKUP(L95,'ID Scheme'!$A$2:$E$7,3),0), "x",
ROUND(BE95*VLOOKUP(L95,'ID Scheme'!$A$2:$E$7,5),0), "x",
ROUND(BF95*VLOOKUP(L95,'ID Scheme'!$A$2:$E$7,4),0))</f>
        <v>0x0x0</v>
      </c>
    </row>
    <row r="96" spans="1:59" x14ac:dyDescent="0.25">
      <c r="A96" t="s">
        <v>597</v>
      </c>
      <c r="B96" t="s">
        <v>598</v>
      </c>
      <c r="C96" t="s">
        <v>327</v>
      </c>
      <c r="D96">
        <f>IF(H96 &gt; 2020, ((H96-2020)*4)+1610+J96,IF(H96 &gt; 1900, ((H96-1900)*10)+400+J96, ((H96-1730)*2)+J96))+VLOOKUP(L96,'ID Scheme'!$A$2:$B$7,2, FALSE)</f>
        <v>3231</v>
      </c>
      <c r="F96">
        <v>3231</v>
      </c>
      <c r="G96" t="s">
        <v>683</v>
      </c>
      <c r="H96">
        <v>1923</v>
      </c>
      <c r="I96">
        <v>1</v>
      </c>
      <c r="J96">
        <v>1</v>
      </c>
      <c r="K96" t="s">
        <v>522</v>
      </c>
      <c r="L96" t="s">
        <v>13</v>
      </c>
      <c r="M96" t="s">
        <v>501</v>
      </c>
      <c r="N96">
        <v>28</v>
      </c>
      <c r="O96">
        <v>21</v>
      </c>
      <c r="P96">
        <v>19</v>
      </c>
      <c r="Q96">
        <v>5</v>
      </c>
      <c r="R96">
        <v>4.5</v>
      </c>
      <c r="S96">
        <v>40</v>
      </c>
      <c r="T96">
        <v>20</v>
      </c>
      <c r="U96">
        <v>18</v>
      </c>
      <c r="V96">
        <v>1</v>
      </c>
      <c r="W96" t="s">
        <v>289</v>
      </c>
      <c r="X96">
        <v>2</v>
      </c>
      <c r="Y96" s="2" t="s">
        <v>599</v>
      </c>
      <c r="Z96" s="2" t="s">
        <v>331</v>
      </c>
      <c r="AA96" s="2" t="s">
        <v>331</v>
      </c>
      <c r="AB96" s="2"/>
      <c r="AC96" s="2"/>
      <c r="AD96" s="2" t="s">
        <v>331</v>
      </c>
      <c r="AE96" s="2" t="s">
        <v>331</v>
      </c>
      <c r="AF96" s="2"/>
      <c r="AG96" s="2"/>
      <c r="AH96" s="2"/>
      <c r="AP96">
        <v>7</v>
      </c>
      <c r="AS96" s="2">
        <f>(SQRT(N96*U96)*POWER((MIN(P96,20)+SQRT(MAX(P96-20,0))),0.9)*Data!$B$1)*(1-(V96-1))</f>
        <v>23.83168624016955</v>
      </c>
      <c r="AT96" s="2"/>
      <c r="AU96" s="2">
        <f>((POWER((N96*N96*U96), 0.33)*LOG10(S96)*10*Data!$B$1)*V96)+AT96</f>
        <v>28.125759935399518</v>
      </c>
      <c r="AV96" s="2">
        <f t="shared" si="50"/>
        <v>22.580645161290324</v>
      </c>
      <c r="AW96" s="2">
        <f t="shared" ref="AW96" si="61">AI96/1.24</f>
        <v>0</v>
      </c>
      <c r="AZ96" s="2">
        <v>1</v>
      </c>
      <c r="BA96" s="2">
        <v>1</v>
      </c>
      <c r="BB96" s="2">
        <f t="shared" si="51"/>
        <v>18</v>
      </c>
      <c r="BC96" s="2">
        <f t="shared" si="52"/>
        <v>18</v>
      </c>
      <c r="BD96" s="3"/>
      <c r="BE96" s="3"/>
      <c r="BF96" s="3"/>
      <c r="BG96" s="2" t="str">
        <f>CONCATENATE(
ROUND(BD96*VLOOKUP(L96,'ID Scheme'!$A$2:$E$7,3),0), "x",
ROUND(BE96*VLOOKUP(L96,'ID Scheme'!$A$2:$E$7,5),0), "x",
ROUND(BF96*VLOOKUP(L96,'ID Scheme'!$A$2:$E$7,4),0))</f>
        <v>0x0x0</v>
      </c>
    </row>
    <row r="97" spans="1:60" x14ac:dyDescent="0.25">
      <c r="A97" t="s">
        <v>60</v>
      </c>
      <c r="B97" t="s">
        <v>218</v>
      </c>
      <c r="C97" t="s">
        <v>327</v>
      </c>
      <c r="D97">
        <f>IF(H97 &gt; 2020, ((H97-2020)*4)+1610+J97,IF(H97 &gt; 1900, ((H97-1900)*10)+400+J97, ((H97-1730)*2)+J97))+VLOOKUP(L97,'ID Scheme'!$A$2:$B$7,2, FALSE)</f>
        <v>3281</v>
      </c>
      <c r="F97">
        <v>3281</v>
      </c>
      <c r="G97" t="s">
        <v>683</v>
      </c>
      <c r="H97">
        <v>1928</v>
      </c>
      <c r="I97">
        <v>1</v>
      </c>
      <c r="J97">
        <v>1</v>
      </c>
      <c r="K97" t="s">
        <v>522</v>
      </c>
      <c r="L97" t="s">
        <v>13</v>
      </c>
      <c r="M97" t="s">
        <v>501</v>
      </c>
      <c r="N97">
        <v>37</v>
      </c>
      <c r="O97">
        <v>20</v>
      </c>
      <c r="P97">
        <v>16</v>
      </c>
      <c r="Q97">
        <v>5</v>
      </c>
      <c r="R97">
        <v>6</v>
      </c>
      <c r="S97">
        <v>100</v>
      </c>
      <c r="T97">
        <v>20</v>
      </c>
      <c r="U97">
        <v>15</v>
      </c>
      <c r="V97">
        <v>1.05</v>
      </c>
      <c r="W97" t="s">
        <v>288</v>
      </c>
      <c r="X97">
        <v>-3</v>
      </c>
      <c r="Y97" s="2" t="s">
        <v>334</v>
      </c>
      <c r="Z97" s="2" t="s">
        <v>331</v>
      </c>
      <c r="AA97" s="2"/>
      <c r="AB97" s="2"/>
      <c r="AC97" s="2"/>
      <c r="AD97" s="2" t="s">
        <v>331</v>
      </c>
      <c r="AE97" s="2"/>
      <c r="AF97" s="2"/>
      <c r="AG97" s="2"/>
      <c r="AH97" s="2"/>
      <c r="AP97">
        <v>8</v>
      </c>
      <c r="AS97" s="2">
        <f>(SQRT(N97*U97)*POWER((MIN(P97,20)+SQRT(MAX(P97-20,0))),0.9)*Data!$B$1)*(1-(V97-1))</f>
        <v>20.353511393559973</v>
      </c>
      <c r="AT97" s="2"/>
      <c r="AU97" s="2">
        <f>((POWER((N97*N97*U97), 0.33)*LOG10(S97)*10*Data!$B$1)*V97)+AT97</f>
        <v>41.725717318942067</v>
      </c>
      <c r="AV97" s="2">
        <f t="shared" si="50"/>
        <v>29.838709677419356</v>
      </c>
      <c r="AW97" s="2">
        <f t="shared" si="56"/>
        <v>0</v>
      </c>
      <c r="AZ97" s="2">
        <v>1</v>
      </c>
      <c r="BA97" s="2">
        <v>1</v>
      </c>
      <c r="BB97" s="2">
        <f t="shared" si="51"/>
        <v>15</v>
      </c>
      <c r="BC97" s="2">
        <f t="shared" si="52"/>
        <v>15</v>
      </c>
      <c r="BD97" s="3"/>
      <c r="BE97" s="3"/>
      <c r="BF97" s="3"/>
      <c r="BG97" s="2" t="str">
        <f>CONCATENATE(
ROUND(BD97*VLOOKUP(L97,'ID Scheme'!$A$2:$E$7,3),0), "x",
ROUND(BE97*VLOOKUP(L97,'ID Scheme'!$A$2:$E$7,5),0), "x",
ROUND(BF97*VLOOKUP(L97,'ID Scheme'!$A$2:$E$7,4),0))</f>
        <v>0x0x0</v>
      </c>
    </row>
    <row r="98" spans="1:60" x14ac:dyDescent="0.25">
      <c r="A98" t="s">
        <v>61</v>
      </c>
      <c r="B98" t="s">
        <v>189</v>
      </c>
      <c r="C98" t="s">
        <v>327</v>
      </c>
      <c r="D98">
        <f>IF(H98 &gt; 2020, ((H98-2020)*4)+1610+J98,IF(H98 &gt; 1900, ((H98-1900)*10)+400+J98, ((H98-1730)*2)+J98))+VLOOKUP(L98,'ID Scheme'!$A$2:$B$7,2, FALSE)</f>
        <v>3351</v>
      </c>
      <c r="F98">
        <v>3351</v>
      </c>
      <c r="G98" t="s">
        <v>683</v>
      </c>
      <c r="H98">
        <v>1935</v>
      </c>
      <c r="I98">
        <v>1</v>
      </c>
      <c r="J98">
        <v>1</v>
      </c>
      <c r="K98" t="s">
        <v>522</v>
      </c>
      <c r="L98" t="s">
        <v>13</v>
      </c>
      <c r="M98" t="s">
        <v>501</v>
      </c>
      <c r="N98">
        <v>29</v>
      </c>
      <c r="O98">
        <v>25</v>
      </c>
      <c r="P98">
        <v>15</v>
      </c>
      <c r="Q98">
        <v>5</v>
      </c>
      <c r="R98">
        <v>7</v>
      </c>
      <c r="S98">
        <v>110</v>
      </c>
      <c r="T98">
        <v>20</v>
      </c>
      <c r="U98">
        <v>24</v>
      </c>
      <c r="V98">
        <v>1</v>
      </c>
      <c r="W98" t="s">
        <v>289</v>
      </c>
      <c r="X98">
        <v>3</v>
      </c>
      <c r="Y98" s="2" t="s">
        <v>335</v>
      </c>
      <c r="Z98" s="2" t="s">
        <v>331</v>
      </c>
      <c r="AA98" s="2"/>
      <c r="AB98" s="2"/>
      <c r="AC98" s="2"/>
      <c r="AD98" s="2"/>
      <c r="AE98" s="2"/>
      <c r="AF98" s="2"/>
      <c r="AG98" s="2"/>
      <c r="AH98" s="2"/>
      <c r="AP98">
        <v>8</v>
      </c>
      <c r="AS98" s="2">
        <f>(SQRT(N98*U98)*POWER((MIN(P98,20)+SQRT(MAX(P98-20,0))),0.9)*Data!$B$1)*(1-(V98-1))</f>
        <v>22.638519219874436</v>
      </c>
      <c r="AT98" s="2"/>
      <c r="AU98" s="2">
        <f>((POWER((N98*N98*U98), 0.33)*LOG10(S98)*10*Data!$B$1)*V98)+AT98</f>
        <v>40.331112889521961</v>
      </c>
      <c r="AV98" s="2">
        <f t="shared" si="50"/>
        <v>23.387096774193548</v>
      </c>
      <c r="AW98" s="2">
        <f t="shared" si="56"/>
        <v>0</v>
      </c>
      <c r="AZ98" s="2">
        <v>1</v>
      </c>
      <c r="BA98" s="2">
        <v>1</v>
      </c>
      <c r="BB98" s="2">
        <f t="shared" si="51"/>
        <v>24</v>
      </c>
      <c r="BC98" s="2">
        <f t="shared" si="52"/>
        <v>24</v>
      </c>
      <c r="BD98" s="3"/>
      <c r="BE98" s="3"/>
      <c r="BF98" s="3"/>
      <c r="BG98" s="2" t="str">
        <f>CONCATENATE(
ROUND(BD98*VLOOKUP(L98,'ID Scheme'!$A$2:$E$7,3),0), "x",
ROUND(BE98*VLOOKUP(L98,'ID Scheme'!$A$2:$E$7,5),0), "x",
ROUND(BF98*VLOOKUP(L98,'ID Scheme'!$A$2:$E$7,4),0))</f>
        <v>0x0x0</v>
      </c>
    </row>
    <row r="99" spans="1:60" x14ac:dyDescent="0.25">
      <c r="A99" t="s">
        <v>0</v>
      </c>
      <c r="B99" t="s">
        <v>206</v>
      </c>
      <c r="C99" t="s">
        <v>327</v>
      </c>
      <c r="D99">
        <f>IF(H99 &gt; 2020, ((H99-2020)*4)+1610+J99,IF(H99 &gt; 1900, ((H99-1900)*10)+400+J99, ((H99-1730)*2)+J99))+VLOOKUP(L99,'ID Scheme'!$A$2:$B$7,2, FALSE)</f>
        <v>3361</v>
      </c>
      <c r="F99">
        <v>3361</v>
      </c>
      <c r="G99" t="s">
        <v>683</v>
      </c>
      <c r="H99">
        <v>1936</v>
      </c>
      <c r="I99">
        <v>1</v>
      </c>
      <c r="J99">
        <v>1</v>
      </c>
      <c r="K99" t="s">
        <v>522</v>
      </c>
      <c r="L99" t="s">
        <v>13</v>
      </c>
      <c r="M99" t="s">
        <v>501</v>
      </c>
      <c r="N99">
        <v>37</v>
      </c>
      <c r="O99">
        <v>20</v>
      </c>
      <c r="P99">
        <v>15</v>
      </c>
      <c r="Q99">
        <v>5</v>
      </c>
      <c r="R99">
        <v>5.5</v>
      </c>
      <c r="S99">
        <v>70</v>
      </c>
      <c r="T99">
        <v>20</v>
      </c>
      <c r="U99">
        <v>20</v>
      </c>
      <c r="V99">
        <v>1</v>
      </c>
      <c r="W99" t="s">
        <v>289</v>
      </c>
      <c r="X99">
        <v>2</v>
      </c>
      <c r="Y99" s="2" t="s">
        <v>336</v>
      </c>
      <c r="Z99" s="2" t="s">
        <v>331</v>
      </c>
      <c r="AA99" s="2"/>
      <c r="AB99" s="2"/>
      <c r="AC99" s="2"/>
      <c r="AD99" s="2" t="s">
        <v>331</v>
      </c>
      <c r="AE99" s="2" t="s">
        <v>331</v>
      </c>
      <c r="AF99" s="2"/>
      <c r="AG99" s="2"/>
      <c r="AH99" s="2"/>
      <c r="AP99">
        <v>7</v>
      </c>
      <c r="AS99" s="2">
        <f>(SQRT(N99*U99)*POWER((MIN(P99,20)+SQRT(MAX(P99-20,0))),0.9)*Data!$B$1)*(1-(V99-1))</f>
        <v>23.343139015970831</v>
      </c>
      <c r="AT99" s="2"/>
      <c r="AU99" s="2">
        <f>((POWER((N99*N99*U99), 0.33)*LOG10(S99)*10*Data!$B$1)*V99)+AT99</f>
        <v>40.311944493951287</v>
      </c>
      <c r="AV99" s="2">
        <f t="shared" si="50"/>
        <v>29.838709677419356</v>
      </c>
      <c r="AW99" s="2">
        <f t="shared" si="56"/>
        <v>0</v>
      </c>
      <c r="AZ99" s="2">
        <v>1</v>
      </c>
      <c r="BA99" s="2">
        <v>1</v>
      </c>
      <c r="BB99" s="2">
        <f t="shared" si="51"/>
        <v>20</v>
      </c>
      <c r="BC99" s="2">
        <f t="shared" si="52"/>
        <v>20</v>
      </c>
      <c r="BD99" s="3"/>
      <c r="BE99" s="3"/>
      <c r="BF99" s="3"/>
      <c r="BG99" s="2" t="str">
        <f>CONCATENATE(
ROUND(BD99*VLOOKUP(L99,'ID Scheme'!$A$2:$E$7,3),0), "x",
ROUND(BE99*VLOOKUP(L99,'ID Scheme'!$A$2:$E$7,5),0), "x",
ROUND(BF99*VLOOKUP(L99,'ID Scheme'!$A$2:$E$7,4),0))</f>
        <v>0x0x0</v>
      </c>
    </row>
    <row r="100" spans="1:60" x14ac:dyDescent="0.25">
      <c r="A100" t="s">
        <v>600</v>
      </c>
      <c r="B100" t="s">
        <v>601</v>
      </c>
      <c r="C100" t="s">
        <v>327</v>
      </c>
      <c r="D100">
        <f>IF(H100 &gt; 2020, ((H100-2020)*4)+1610+J100,IF(H100 &gt; 1900, ((H100-1900)*10)+400+J100, ((H100-1730)*2)+J100))+VLOOKUP(L100,'ID Scheme'!$A$2:$B$7,2, FALSE)</f>
        <v>3491</v>
      </c>
      <c r="F100">
        <v>3491</v>
      </c>
      <c r="G100" t="s">
        <v>683</v>
      </c>
      <c r="H100">
        <v>1949</v>
      </c>
      <c r="I100">
        <v>7</v>
      </c>
      <c r="J100">
        <v>1</v>
      </c>
      <c r="K100" t="s">
        <v>522</v>
      </c>
      <c r="L100" t="s">
        <v>13</v>
      </c>
      <c r="M100" t="s">
        <v>501</v>
      </c>
      <c r="N100">
        <v>46</v>
      </c>
      <c r="O100">
        <v>18</v>
      </c>
      <c r="P100">
        <v>15</v>
      </c>
      <c r="Q100">
        <v>5</v>
      </c>
      <c r="R100">
        <v>6</v>
      </c>
      <c r="S100">
        <v>90</v>
      </c>
      <c r="T100">
        <v>20</v>
      </c>
      <c r="U100">
        <v>19</v>
      </c>
      <c r="V100">
        <v>1</v>
      </c>
      <c r="W100" t="s">
        <v>289</v>
      </c>
      <c r="X100">
        <v>2</v>
      </c>
      <c r="Y100" s="2" t="s">
        <v>602</v>
      </c>
      <c r="Z100" s="2" t="s">
        <v>331</v>
      </c>
      <c r="AA100" s="2" t="s">
        <v>331</v>
      </c>
      <c r="AB100" s="2"/>
      <c r="AC100" s="2"/>
      <c r="AD100" s="2"/>
      <c r="AE100" s="2"/>
      <c r="AF100" s="2"/>
      <c r="AG100" s="2"/>
      <c r="AH100" s="2"/>
      <c r="AP100">
        <v>8</v>
      </c>
      <c r="AS100" s="2">
        <f>(SQRT(N100*U100)*POWER((MIN(P100,20)+SQRT(MAX(P100-20,0))),0.9)*Data!$B$1)*(1-(V100-1))</f>
        <v>25.368752581748886</v>
      </c>
      <c r="AT100" s="2"/>
      <c r="AU100" s="2">
        <f>((POWER((N100*N100*U100), 0.33)*LOG10(S100)*10*Data!$B$1)*V100)+AT100</f>
        <v>48.467272071279751</v>
      </c>
      <c r="AV100" s="2">
        <f t="shared" si="50"/>
        <v>37.096774193548384</v>
      </c>
      <c r="AW100" s="2">
        <f t="shared" ref="AW100" si="62">AI100/1.24</f>
        <v>0</v>
      </c>
      <c r="AZ100" s="2">
        <v>1</v>
      </c>
      <c r="BA100" s="2">
        <v>1</v>
      </c>
      <c r="BB100" s="2">
        <f t="shared" si="51"/>
        <v>19</v>
      </c>
      <c r="BC100" s="2">
        <f t="shared" si="52"/>
        <v>19</v>
      </c>
      <c r="BD100" s="3"/>
      <c r="BE100" s="3"/>
      <c r="BF100" s="3"/>
      <c r="BG100" s="2" t="str">
        <f>CONCATENATE(
ROUND(BD100*VLOOKUP(L100,'ID Scheme'!$A$2:$E$7,3),0), "x",
ROUND(BE100*VLOOKUP(L100,'ID Scheme'!$A$2:$E$7,5),0), "x",
ROUND(BF100*VLOOKUP(L100,'ID Scheme'!$A$2:$E$7,4),0))</f>
        <v>0x0x0</v>
      </c>
    </row>
    <row r="101" spans="1:60" x14ac:dyDescent="0.25">
      <c r="A101" t="s">
        <v>1</v>
      </c>
      <c r="B101" t="s">
        <v>208</v>
      </c>
      <c r="C101" t="s">
        <v>327</v>
      </c>
      <c r="D101">
        <f>IF(H101 &gt; 2020, ((H101-2020)*4)+1610+J101,IF(H101 &gt; 1900, ((H101-1900)*10)+400+J101, ((H101-1730)*2)+J101))+VLOOKUP(L101,'ID Scheme'!$A$2:$B$7,2, FALSE)</f>
        <v>3521</v>
      </c>
      <c r="F101">
        <v>3521</v>
      </c>
      <c r="G101" t="s">
        <v>683</v>
      </c>
      <c r="H101">
        <v>1952</v>
      </c>
      <c r="I101">
        <v>1</v>
      </c>
      <c r="J101">
        <v>1</v>
      </c>
      <c r="K101" t="s">
        <v>522</v>
      </c>
      <c r="L101" t="s">
        <v>13</v>
      </c>
      <c r="M101" t="s">
        <v>501</v>
      </c>
      <c r="N101">
        <v>38</v>
      </c>
      <c r="O101">
        <v>25</v>
      </c>
      <c r="P101">
        <v>15</v>
      </c>
      <c r="Q101">
        <v>5</v>
      </c>
      <c r="R101">
        <v>7.5</v>
      </c>
      <c r="S101">
        <v>100</v>
      </c>
      <c r="T101">
        <v>20</v>
      </c>
      <c r="U101">
        <v>25</v>
      </c>
      <c r="V101">
        <v>1</v>
      </c>
      <c r="W101" t="s">
        <v>289</v>
      </c>
      <c r="X101">
        <v>3</v>
      </c>
      <c r="Y101" s="2" t="s">
        <v>337</v>
      </c>
      <c r="Z101" s="2" t="s">
        <v>331</v>
      </c>
      <c r="AA101" s="2"/>
      <c r="AB101" s="2"/>
      <c r="AC101" s="2"/>
      <c r="AD101" s="2"/>
      <c r="AE101" s="2"/>
      <c r="AF101" s="2"/>
      <c r="AG101" s="2"/>
      <c r="AH101" s="2"/>
      <c r="AP101">
        <v>8</v>
      </c>
      <c r="AS101" s="2">
        <f>(SQRT(N101*U101)*POWER((MIN(P101,20)+SQRT(MAX(P101-20,0))),0.9)*Data!$B$1)*(1-(V101-1))</f>
        <v>26.448752899711359</v>
      </c>
      <c r="AT101" s="2"/>
      <c r="AU101" s="2">
        <f>((POWER((N101*N101*U101), 0.33)*LOG10(S101)*10*Data!$B$1)*V101)+AT101</f>
        <v>47.870574076263431</v>
      </c>
      <c r="AV101" s="2">
        <f t="shared" si="50"/>
        <v>30.64516129032258</v>
      </c>
      <c r="AW101" s="2">
        <f t="shared" si="56"/>
        <v>0</v>
      </c>
      <c r="AZ101" s="2">
        <v>1</v>
      </c>
      <c r="BA101" s="2">
        <v>1</v>
      </c>
      <c r="BB101" s="2">
        <f t="shared" si="51"/>
        <v>25</v>
      </c>
      <c r="BC101" s="2">
        <f t="shared" si="52"/>
        <v>25</v>
      </c>
      <c r="BD101" s="3"/>
      <c r="BE101" s="3"/>
      <c r="BF101" s="3"/>
      <c r="BG101" s="2" t="str">
        <f>CONCATENATE(
ROUND(BD101*VLOOKUP(L101,'ID Scheme'!$A$2:$E$7,3),0), "x",
ROUND(BE101*VLOOKUP(L101,'ID Scheme'!$A$2:$E$7,5),0), "x",
ROUND(BF101*VLOOKUP(L101,'ID Scheme'!$A$2:$E$7,4),0))</f>
        <v>0x0x0</v>
      </c>
    </row>
    <row r="102" spans="1:60" x14ac:dyDescent="0.25">
      <c r="A102" t="s">
        <v>4</v>
      </c>
      <c r="B102" t="s">
        <v>198</v>
      </c>
      <c r="C102" t="s">
        <v>327</v>
      </c>
      <c r="D102">
        <f>IF(H102 &gt; 2020, ((H102-2020)*4)+1610+J102,IF(H102 &gt; 1900, ((H102-1900)*10)+400+J102, ((H102-1730)*2)+J102))+VLOOKUP(L102,'ID Scheme'!$A$2:$B$7,2, FALSE)</f>
        <v>3571</v>
      </c>
      <c r="F102">
        <v>3571</v>
      </c>
      <c r="G102" t="s">
        <v>683</v>
      </c>
      <c r="H102">
        <v>1957</v>
      </c>
      <c r="I102">
        <v>1</v>
      </c>
      <c r="J102">
        <v>1</v>
      </c>
      <c r="K102" t="s">
        <v>522</v>
      </c>
      <c r="L102" t="s">
        <v>13</v>
      </c>
      <c r="M102" t="s">
        <v>501</v>
      </c>
      <c r="N102">
        <v>44</v>
      </c>
      <c r="O102">
        <v>20</v>
      </c>
      <c r="P102">
        <v>15</v>
      </c>
      <c r="Q102">
        <v>5</v>
      </c>
      <c r="R102">
        <v>6.5</v>
      </c>
      <c r="S102">
        <v>110</v>
      </c>
      <c r="T102">
        <v>20</v>
      </c>
      <c r="U102">
        <v>21</v>
      </c>
      <c r="V102">
        <v>1</v>
      </c>
      <c r="W102" t="s">
        <v>289</v>
      </c>
      <c r="X102">
        <v>2</v>
      </c>
      <c r="Y102" s="2" t="s">
        <v>338</v>
      </c>
      <c r="Z102" s="2" t="s">
        <v>331</v>
      </c>
      <c r="AA102" s="2" t="s">
        <v>331</v>
      </c>
      <c r="AB102" s="2"/>
      <c r="AC102" s="2"/>
      <c r="AD102" s="2"/>
      <c r="AE102" s="2"/>
      <c r="AF102" s="2"/>
      <c r="AG102" s="2"/>
      <c r="AH102" s="2"/>
      <c r="AP102">
        <v>8</v>
      </c>
      <c r="AS102" s="2">
        <f>(SQRT(N102*U102)*POWER((MIN(P102,20)+SQRT(MAX(P102-20,0))),0.9)*Data!$B$1)*(1-(V102-1))</f>
        <v>26.084311753554509</v>
      </c>
      <c r="AT102" s="2"/>
      <c r="AU102" s="2">
        <f>((POWER((N102*N102*U102), 0.33)*LOG10(S102)*10*Data!$B$1)*V102)+AT102</f>
        <v>50.815821559497905</v>
      </c>
      <c r="AV102" s="2">
        <f t="shared" si="50"/>
        <v>35.483870967741936</v>
      </c>
      <c r="AW102" s="2">
        <f t="shared" si="56"/>
        <v>0</v>
      </c>
      <c r="AZ102" s="2">
        <v>1</v>
      </c>
      <c r="BA102" s="2">
        <v>1</v>
      </c>
      <c r="BB102" s="2">
        <f t="shared" si="51"/>
        <v>21</v>
      </c>
      <c r="BC102" s="2">
        <f t="shared" si="52"/>
        <v>21</v>
      </c>
      <c r="BD102" s="3"/>
      <c r="BE102" s="3"/>
      <c r="BF102" s="3"/>
      <c r="BG102" s="2" t="str">
        <f>CONCATENATE(
ROUND(BD102*VLOOKUP(L102,'ID Scheme'!$A$2:$E$7,3),0), "x",
ROUND(BE102*VLOOKUP(L102,'ID Scheme'!$A$2:$E$7,5),0), "x",
ROUND(BF102*VLOOKUP(L102,'ID Scheme'!$A$2:$E$7,4),0))</f>
        <v>0x0x0</v>
      </c>
    </row>
    <row r="103" spans="1:60" x14ac:dyDescent="0.25">
      <c r="A103" t="s">
        <v>74</v>
      </c>
      <c r="B103" t="s">
        <v>191</v>
      </c>
      <c r="C103" t="s">
        <v>327</v>
      </c>
      <c r="D103">
        <f>IF(H103 &gt; 2020, ((H103-2020)*4)+1610+J103,IF(H103 &gt; 1900, ((H103-1900)*10)+400+J103, ((H103-1730)*2)+J103))+VLOOKUP(L103,'ID Scheme'!$A$2:$B$7,2, FALSE)</f>
        <v>3591</v>
      </c>
      <c r="F103">
        <v>3591</v>
      </c>
      <c r="G103" t="s">
        <v>683</v>
      </c>
      <c r="H103">
        <v>1959</v>
      </c>
      <c r="I103">
        <v>1</v>
      </c>
      <c r="J103">
        <v>1</v>
      </c>
      <c r="K103" t="s">
        <v>522</v>
      </c>
      <c r="L103" t="s">
        <v>13</v>
      </c>
      <c r="M103" t="s">
        <v>501</v>
      </c>
      <c r="N103">
        <v>58</v>
      </c>
      <c r="O103">
        <v>30</v>
      </c>
      <c r="P103">
        <v>20</v>
      </c>
      <c r="Q103">
        <v>5</v>
      </c>
      <c r="R103">
        <v>3</v>
      </c>
      <c r="S103">
        <v>72</v>
      </c>
      <c r="T103">
        <v>20</v>
      </c>
      <c r="U103">
        <v>16</v>
      </c>
      <c r="V103">
        <v>1</v>
      </c>
      <c r="W103" t="s">
        <v>289</v>
      </c>
      <c r="X103">
        <v>0</v>
      </c>
      <c r="Y103" s="2" t="s">
        <v>339</v>
      </c>
      <c r="Z103" s="2" t="s">
        <v>331</v>
      </c>
      <c r="AA103" s="2" t="s">
        <v>331</v>
      </c>
      <c r="AB103" s="2"/>
      <c r="AC103" s="2"/>
      <c r="AD103" s="2"/>
      <c r="AE103" s="2"/>
      <c r="AF103" s="2"/>
      <c r="AG103" s="2"/>
      <c r="AH103" s="2"/>
      <c r="AP103">
        <v>6</v>
      </c>
      <c r="AS103" s="2">
        <f>(SQRT(N103*U103)*POWER((MIN(P103,20)+SQRT(MAX(P103-20,0))),0.9)*Data!$B$1)*(1-(V103-1))</f>
        <v>33.865870832027731</v>
      </c>
      <c r="AT103" s="2"/>
      <c r="AU103" s="2">
        <f>((POWER((N103*N103*U103), 0.33)*LOG10(S103)*10*Data!$B$1)*V103)+AT103</f>
        <v>50.719269605559212</v>
      </c>
      <c r="AV103" s="2">
        <f t="shared" si="50"/>
        <v>46.774193548387096</v>
      </c>
      <c r="AW103" s="2">
        <f t="shared" si="56"/>
        <v>0</v>
      </c>
      <c r="AZ103" s="2">
        <v>1</v>
      </c>
      <c r="BA103" s="2">
        <v>1</v>
      </c>
      <c r="BB103" s="2">
        <f t="shared" si="51"/>
        <v>16</v>
      </c>
      <c r="BC103" s="2">
        <f t="shared" si="52"/>
        <v>16</v>
      </c>
      <c r="BD103" s="3">
        <v>6.2</v>
      </c>
      <c r="BE103" s="3">
        <v>2.2000000000000002</v>
      </c>
      <c r="BF103" s="3">
        <v>2.6</v>
      </c>
      <c r="BG103" s="2" t="str">
        <f>CONCATENATE(
ROUND(BD103*VLOOKUP(L103,'ID Scheme'!$A$2:$E$7,3),0), "x",
ROUND(BE103*VLOOKUP(L103,'ID Scheme'!$A$2:$E$7,5),0), "x",
ROUND(BF103*VLOOKUP(L103,'ID Scheme'!$A$2:$E$7,4),0))</f>
        <v>58x32x25</v>
      </c>
      <c r="BH103" t="s">
        <v>81</v>
      </c>
    </row>
    <row r="104" spans="1:60" x14ac:dyDescent="0.25">
      <c r="A104" t="s">
        <v>495</v>
      </c>
      <c r="B104" t="s">
        <v>496</v>
      </c>
      <c r="C104" t="s">
        <v>497</v>
      </c>
      <c r="D104">
        <f>IF(H104 &gt; 2020, ((H104-2020)*4)+1610+J104,IF(H104 &gt; 1900, ((H104-1900)*10)+400+J104, ((H104-1730)*2)+J104))+VLOOKUP(L104,'ID Scheme'!$A$2:$B$7,2, FALSE)</f>
        <v>3581</v>
      </c>
      <c r="F104">
        <v>3581</v>
      </c>
      <c r="G104" t="s">
        <v>683</v>
      </c>
      <c r="H104">
        <v>1958</v>
      </c>
      <c r="I104">
        <v>2</v>
      </c>
      <c r="J104">
        <v>1</v>
      </c>
      <c r="K104" t="s">
        <v>522</v>
      </c>
      <c r="L104" t="s">
        <v>13</v>
      </c>
      <c r="M104" t="s">
        <v>501</v>
      </c>
      <c r="N104">
        <v>52</v>
      </c>
      <c r="O104">
        <v>10</v>
      </c>
      <c r="P104">
        <v>15</v>
      </c>
      <c r="Q104">
        <v>5</v>
      </c>
      <c r="R104">
        <v>8</v>
      </c>
      <c r="S104">
        <v>200</v>
      </c>
      <c r="T104">
        <v>20</v>
      </c>
      <c r="U104">
        <v>22</v>
      </c>
      <c r="V104">
        <v>1</v>
      </c>
      <c r="W104" t="s">
        <v>289</v>
      </c>
      <c r="X104">
        <v>3</v>
      </c>
      <c r="Y104" s="2" t="s">
        <v>498</v>
      </c>
      <c r="Z104" s="2"/>
      <c r="AA104" s="2"/>
      <c r="AB104" s="2"/>
      <c r="AC104" s="2"/>
      <c r="AD104" s="2"/>
      <c r="AE104" s="2"/>
      <c r="AF104" s="2"/>
      <c r="AG104" s="2"/>
      <c r="AH104" s="2"/>
      <c r="AP104">
        <v>8</v>
      </c>
      <c r="AS104" s="2">
        <f>(SQRT(N104*U104)*POWER((MIN(P104,20)+SQRT(MAX(P104-20,0))),0.9)*Data!$B$1)*(1-(V104-1))</f>
        <v>29.023942752634394</v>
      </c>
      <c r="AT104" s="2"/>
      <c r="AU104" s="2">
        <f>((POWER((N104*N104*U104), 0.33)*LOG10(S104)*10*Data!$B$1)*V104)+AT104</f>
        <v>64.944927291155707</v>
      </c>
      <c r="AV104" s="2">
        <f t="shared" si="50"/>
        <v>41.935483870967744</v>
      </c>
      <c r="AW104" s="2">
        <f t="shared" si="56"/>
        <v>0</v>
      </c>
      <c r="AZ104" s="2">
        <v>1</v>
      </c>
      <c r="BA104" s="2">
        <v>1</v>
      </c>
      <c r="BB104" s="2">
        <f t="shared" si="51"/>
        <v>22</v>
      </c>
      <c r="BC104" s="2">
        <f t="shared" si="52"/>
        <v>22</v>
      </c>
      <c r="BD104" s="3"/>
      <c r="BE104" s="3"/>
      <c r="BF104" s="3"/>
      <c r="BG104" s="2" t="str">
        <f>CONCATENATE(
ROUND(BD104*VLOOKUP(L104,'ID Scheme'!$A$2:$E$7,3),0), "x",
ROUND(BE104*VLOOKUP(L104,'ID Scheme'!$A$2:$E$7,5),0), "x",
ROUND(BF104*VLOOKUP(L104,'ID Scheme'!$A$2:$E$7,4),0))</f>
        <v>0x0x0</v>
      </c>
    </row>
    <row r="105" spans="1:60" x14ac:dyDescent="0.25">
      <c r="A105" t="s">
        <v>3</v>
      </c>
      <c r="B105" t="s">
        <v>199</v>
      </c>
      <c r="C105" t="s">
        <v>327</v>
      </c>
      <c r="D105">
        <f>IF(H105 &gt; 2020, ((H105-2020)*4)+1610+J105,IF(H105 &gt; 1900, ((H105-1900)*10)+400+J105, ((H105-1730)*2)+J105))+VLOOKUP(L105,'ID Scheme'!$A$2:$B$7,2, FALSE)</f>
        <v>3631</v>
      </c>
      <c r="F105">
        <v>3631</v>
      </c>
      <c r="G105" t="s">
        <v>683</v>
      </c>
      <c r="H105">
        <v>1963</v>
      </c>
      <c r="I105">
        <v>1</v>
      </c>
      <c r="J105">
        <v>1</v>
      </c>
      <c r="K105" t="s">
        <v>522</v>
      </c>
      <c r="L105" t="s">
        <v>13</v>
      </c>
      <c r="M105" t="s">
        <v>501</v>
      </c>
      <c r="N105">
        <v>48</v>
      </c>
      <c r="O105">
        <v>20</v>
      </c>
      <c r="P105">
        <v>16</v>
      </c>
      <c r="Q105">
        <v>5</v>
      </c>
      <c r="R105">
        <v>7</v>
      </c>
      <c r="S105">
        <v>120</v>
      </c>
      <c r="T105">
        <v>20</v>
      </c>
      <c r="U105">
        <v>24</v>
      </c>
      <c r="V105">
        <v>1</v>
      </c>
      <c r="W105" t="s">
        <v>289</v>
      </c>
      <c r="X105">
        <v>3</v>
      </c>
      <c r="Y105" s="2" t="s">
        <v>340</v>
      </c>
      <c r="Z105" s="2" t="s">
        <v>331</v>
      </c>
      <c r="AA105" s="2" t="s">
        <v>331</v>
      </c>
      <c r="AB105" s="2"/>
      <c r="AC105" s="2"/>
      <c r="AD105" s="2"/>
      <c r="AE105" s="2"/>
      <c r="AF105" s="2"/>
      <c r="AG105" s="2"/>
      <c r="AH105" s="2"/>
      <c r="AP105">
        <v>8</v>
      </c>
      <c r="AS105" s="2">
        <f>(SQRT(N105*U105)*POWER((MIN(P105,20)+SQRT(MAX(P105-20,0))),0.9)*Data!$B$1)*(1-(V105-1))</f>
        <v>30.867075721045236</v>
      </c>
      <c r="AT105" s="2"/>
      <c r="AU105" s="2">
        <f>((POWER((N105*N105*U105), 0.33)*LOG10(S105)*10*Data!$B$1)*V105)+AT105</f>
        <v>57.285213898505866</v>
      </c>
      <c r="AV105" s="2">
        <f t="shared" si="50"/>
        <v>38.70967741935484</v>
      </c>
      <c r="AW105" s="2">
        <f t="shared" si="56"/>
        <v>0</v>
      </c>
      <c r="AZ105" s="2">
        <v>1</v>
      </c>
      <c r="BA105" s="2">
        <v>1</v>
      </c>
      <c r="BB105" s="2">
        <f t="shared" si="51"/>
        <v>24</v>
      </c>
      <c r="BC105" s="2">
        <f t="shared" si="52"/>
        <v>24</v>
      </c>
      <c r="BD105" s="3"/>
      <c r="BE105" s="3"/>
      <c r="BF105" s="3"/>
      <c r="BG105" s="2" t="str">
        <f>CONCATENATE(
ROUND(BD105*VLOOKUP(L105,'ID Scheme'!$A$2:$E$7,3),0), "x",
ROUND(BE105*VLOOKUP(L105,'ID Scheme'!$A$2:$E$7,5),0), "x",
ROUND(BF105*VLOOKUP(L105,'ID Scheme'!$A$2:$E$7,4),0))</f>
        <v>0x0x0</v>
      </c>
    </row>
    <row r="106" spans="1:60" x14ac:dyDescent="0.25">
      <c r="A106" t="s">
        <v>20</v>
      </c>
      <c r="B106" t="s">
        <v>226</v>
      </c>
      <c r="C106" t="s">
        <v>327</v>
      </c>
      <c r="D106">
        <f>IF(H106 &gt; 2020, ((H106-2020)*4)+1610+J106,IF(H106 &gt; 1900, ((H106-1900)*10)+400+J106, ((H106-1730)*2)+J106))+VLOOKUP(L106,'ID Scheme'!$A$2:$B$7,2, FALSE)</f>
        <v>3642</v>
      </c>
      <c r="F106">
        <v>3642</v>
      </c>
      <c r="G106" t="s">
        <v>683</v>
      </c>
      <c r="H106">
        <v>1964</v>
      </c>
      <c r="I106">
        <v>1</v>
      </c>
      <c r="J106">
        <v>2</v>
      </c>
      <c r="K106" t="s">
        <v>522</v>
      </c>
      <c r="L106" t="s">
        <v>13</v>
      </c>
      <c r="M106" t="s">
        <v>501</v>
      </c>
      <c r="N106">
        <v>54</v>
      </c>
      <c r="O106">
        <v>20</v>
      </c>
      <c r="P106">
        <v>15</v>
      </c>
      <c r="Q106">
        <v>5</v>
      </c>
      <c r="R106">
        <v>7.5</v>
      </c>
      <c r="S106">
        <v>170</v>
      </c>
      <c r="T106">
        <v>20</v>
      </c>
      <c r="U106">
        <v>22</v>
      </c>
      <c r="V106">
        <v>1</v>
      </c>
      <c r="W106" t="s">
        <v>289</v>
      </c>
      <c r="X106">
        <v>3</v>
      </c>
      <c r="Y106" s="2" t="s">
        <v>341</v>
      </c>
      <c r="Z106" s="2" t="s">
        <v>331</v>
      </c>
      <c r="AA106" s="2"/>
      <c r="AB106" s="2"/>
      <c r="AC106" s="2"/>
      <c r="AD106" s="2"/>
      <c r="AE106" s="2"/>
      <c r="AF106" s="2"/>
      <c r="AG106" s="2"/>
      <c r="AH106" s="2"/>
      <c r="AP106">
        <v>8</v>
      </c>
      <c r="AS106" s="2">
        <f>(SQRT(N106*U106)*POWER((MIN(P106,20)+SQRT(MAX(P106-20,0))),0.9)*Data!$B$1)*(1-(V106-1))</f>
        <v>29.576829437221864</v>
      </c>
      <c r="AT106" s="2"/>
      <c r="AU106" s="2">
        <f>((POWER((N106*N106*U106), 0.33)*LOG10(S106)*10*Data!$B$1)*V106)+AT106</f>
        <v>64.540587091557995</v>
      </c>
      <c r="AV106" s="2">
        <f t="shared" si="50"/>
        <v>43.548387096774192</v>
      </c>
      <c r="AW106" s="2">
        <f t="shared" si="56"/>
        <v>0</v>
      </c>
      <c r="AZ106" s="2">
        <v>1</v>
      </c>
      <c r="BA106" s="2">
        <v>1</v>
      </c>
      <c r="BB106" s="2">
        <f t="shared" si="51"/>
        <v>22</v>
      </c>
      <c r="BC106" s="2">
        <f t="shared" si="52"/>
        <v>22</v>
      </c>
      <c r="BD106" s="3"/>
      <c r="BE106" s="3"/>
      <c r="BF106" s="3"/>
      <c r="BG106" s="2" t="str">
        <f>CONCATENATE(
ROUND(BD106*VLOOKUP(L106,'ID Scheme'!$A$2:$E$7,3),0), "x",
ROUND(BE106*VLOOKUP(L106,'ID Scheme'!$A$2:$E$7,5),0), "x",
ROUND(BF106*VLOOKUP(L106,'ID Scheme'!$A$2:$E$7,4),0))</f>
        <v>0x0x0</v>
      </c>
      <c r="BH106" t="s">
        <v>21</v>
      </c>
    </row>
    <row r="107" spans="1:60" x14ac:dyDescent="0.25">
      <c r="A107" t="s">
        <v>75</v>
      </c>
      <c r="B107" t="s">
        <v>224</v>
      </c>
      <c r="C107" t="s">
        <v>327</v>
      </c>
      <c r="D107">
        <f>IF(H107 &gt; 2020, ((H107-2020)*4)+1610+J107,IF(H107 &gt; 1900, ((H107-1900)*10)+400+J107, ((H107-1730)*2)+J107))+VLOOKUP(L107,'ID Scheme'!$A$2:$B$7,2, FALSE)</f>
        <v>3652</v>
      </c>
      <c r="F107">
        <v>3652</v>
      </c>
      <c r="G107" t="s">
        <v>683</v>
      </c>
      <c r="H107">
        <v>1965</v>
      </c>
      <c r="I107">
        <v>1</v>
      </c>
      <c r="J107">
        <v>2</v>
      </c>
      <c r="K107" t="s">
        <v>522</v>
      </c>
      <c r="L107" t="s">
        <v>13</v>
      </c>
      <c r="M107" t="s">
        <v>501</v>
      </c>
      <c r="N107">
        <v>60</v>
      </c>
      <c r="O107">
        <v>20</v>
      </c>
      <c r="P107">
        <v>17</v>
      </c>
      <c r="Q107">
        <v>5</v>
      </c>
      <c r="R107">
        <v>3</v>
      </c>
      <c r="S107">
        <v>82</v>
      </c>
      <c r="T107">
        <v>20</v>
      </c>
      <c r="U107">
        <v>16</v>
      </c>
      <c r="V107">
        <v>1</v>
      </c>
      <c r="W107" t="s">
        <v>289</v>
      </c>
      <c r="X107">
        <v>0</v>
      </c>
      <c r="Y107" s="2" t="s">
        <v>328</v>
      </c>
      <c r="Z107" s="2" t="s">
        <v>331</v>
      </c>
      <c r="AA107" s="2"/>
      <c r="AB107" s="2"/>
      <c r="AC107" s="2"/>
      <c r="AD107" s="2"/>
      <c r="AE107" s="2"/>
      <c r="AF107" s="2"/>
      <c r="AG107" s="2"/>
      <c r="AH107" s="2"/>
      <c r="AI107">
        <v>56</v>
      </c>
      <c r="AP107">
        <v>6</v>
      </c>
      <c r="AS107" s="2">
        <f>(SQRT(N107*U107)*POWER((MIN(P107,20)+SQRT(MAX(P107-20,0))),0.9)*Data!$B$1)*(1-(V107-1))</f>
        <v>29.757806068644722</v>
      </c>
      <c r="AT107" s="2"/>
      <c r="AU107" s="2">
        <f>((POWER((N107*N107*U107), 0.33)*LOG10(S107)*10*Data!$B$1)*V107)+AT107</f>
        <v>53.444174907561425</v>
      </c>
      <c r="AV107" s="2">
        <f t="shared" si="50"/>
        <v>48.387096774193552</v>
      </c>
      <c r="AW107" s="2">
        <f t="shared" si="56"/>
        <v>45.161290322580648</v>
      </c>
      <c r="AZ107" s="2">
        <v>1</v>
      </c>
      <c r="BA107" s="2">
        <v>1</v>
      </c>
      <c r="BB107" s="2">
        <f t="shared" si="51"/>
        <v>16</v>
      </c>
      <c r="BC107" s="2">
        <f t="shared" si="52"/>
        <v>16</v>
      </c>
      <c r="BD107" s="3">
        <v>6.2</v>
      </c>
      <c r="BE107" s="3">
        <v>2.2000000000000002</v>
      </c>
      <c r="BF107" s="3">
        <v>2.6</v>
      </c>
      <c r="BG107" s="2" t="str">
        <f>CONCATENATE(
ROUND(BD107*VLOOKUP(L107,'ID Scheme'!$A$2:$E$7,3),0), "x",
ROUND(BE107*VLOOKUP(L107,'ID Scheme'!$A$2:$E$7,5),0), "x",
ROUND(BF107*VLOOKUP(L107,'ID Scheme'!$A$2:$E$7,4),0))</f>
        <v>58x32x25</v>
      </c>
      <c r="BH107" t="s">
        <v>80</v>
      </c>
    </row>
    <row r="108" spans="1:60" x14ac:dyDescent="0.25">
      <c r="A108" t="s">
        <v>83</v>
      </c>
      <c r="B108" t="s">
        <v>216</v>
      </c>
      <c r="C108" t="s">
        <v>327</v>
      </c>
      <c r="D108">
        <f>IF(H108 &gt; 2020, ((H108-2020)*4)+1610+J108,IF(H108 &gt; 1900, ((H108-1900)*10)+400+J108, ((H108-1730)*2)+J108))+VLOOKUP(L108,'ID Scheme'!$A$2:$B$7,2, FALSE)</f>
        <v>3671</v>
      </c>
      <c r="F108">
        <v>3671</v>
      </c>
      <c r="G108" t="s">
        <v>683</v>
      </c>
      <c r="H108">
        <v>1967</v>
      </c>
      <c r="I108">
        <v>1</v>
      </c>
      <c r="J108">
        <v>1</v>
      </c>
      <c r="K108" t="s">
        <v>522</v>
      </c>
      <c r="L108" t="s">
        <v>13</v>
      </c>
      <c r="M108" t="s">
        <v>501</v>
      </c>
      <c r="N108">
        <v>56</v>
      </c>
      <c r="O108">
        <v>15</v>
      </c>
      <c r="P108">
        <v>22</v>
      </c>
      <c r="Q108">
        <v>5</v>
      </c>
      <c r="R108">
        <v>5</v>
      </c>
      <c r="S108">
        <v>170</v>
      </c>
      <c r="T108">
        <v>20</v>
      </c>
      <c r="U108">
        <v>22</v>
      </c>
      <c r="V108">
        <v>1</v>
      </c>
      <c r="W108" t="s">
        <v>289</v>
      </c>
      <c r="X108">
        <v>3</v>
      </c>
      <c r="Y108" s="2" t="s">
        <v>344</v>
      </c>
      <c r="Z108" s="2" t="s">
        <v>331</v>
      </c>
      <c r="AA108" s="2" t="s">
        <v>331</v>
      </c>
      <c r="AB108" s="2"/>
      <c r="AC108" s="2"/>
      <c r="AD108" s="2"/>
      <c r="AE108" s="2"/>
      <c r="AF108" s="2"/>
      <c r="AG108" s="2"/>
      <c r="AH108" s="2"/>
      <c r="AP108">
        <v>8</v>
      </c>
      <c r="AS108" s="2">
        <f>(SQRT(N108*U108)*POWER((MIN(P108,20)+SQRT(MAX(P108-20,0))),0.9)*Data!$B$1)*(1-(V108-1))</f>
        <v>41.495264182549853</v>
      </c>
      <c r="AT108" s="2"/>
      <c r="AU108" s="2">
        <f>((POWER((N108*N108*U108), 0.33)*LOG10(S108)*10*Data!$B$1)*V108)+AT108</f>
        <v>66.108473335639829</v>
      </c>
      <c r="AV108" s="2">
        <f t="shared" si="50"/>
        <v>45.161290322580648</v>
      </c>
      <c r="AW108" s="2">
        <f t="shared" si="56"/>
        <v>0</v>
      </c>
      <c r="AZ108" s="2">
        <v>1</v>
      </c>
      <c r="BA108" s="2">
        <v>1</v>
      </c>
      <c r="BB108" s="2">
        <f t="shared" si="51"/>
        <v>22</v>
      </c>
      <c r="BC108" s="2">
        <f t="shared" si="52"/>
        <v>22</v>
      </c>
      <c r="BD108" s="3">
        <v>8.5</v>
      </c>
      <c r="BE108" s="3">
        <v>2.5</v>
      </c>
      <c r="BF108" s="3">
        <v>2.8</v>
      </c>
      <c r="BG108" s="2" t="str">
        <f>CONCATENATE(
ROUND(BD108*VLOOKUP(L108,'ID Scheme'!$A$2:$E$7,3),0), "x",
ROUND(BE108*VLOOKUP(L108,'ID Scheme'!$A$2:$E$7,5),0), "x",
ROUND(BF108*VLOOKUP(L108,'ID Scheme'!$A$2:$E$7,4),0))</f>
        <v>79x36x27</v>
      </c>
      <c r="BH108" t="s">
        <v>21</v>
      </c>
    </row>
    <row r="109" spans="1:60" x14ac:dyDescent="0.25">
      <c r="A109" t="s">
        <v>613</v>
      </c>
      <c r="B109" t="s">
        <v>612</v>
      </c>
      <c r="C109" t="s">
        <v>327</v>
      </c>
      <c r="D109">
        <f>IF(H109 &gt; 2020, ((H109-2020)*4)+1610+J109,IF(H109 &gt; 1900, ((H109-1900)*10)+400+J109, ((H109-1730)*2)+J109))+VLOOKUP(L109,'ID Scheme'!$A$2:$B$7,2, FALSE)</f>
        <v>3701</v>
      </c>
      <c r="F109">
        <v>3701</v>
      </c>
      <c r="G109" t="s">
        <v>683</v>
      </c>
      <c r="H109">
        <v>1970</v>
      </c>
      <c r="I109">
        <v>1</v>
      </c>
      <c r="J109">
        <v>1</v>
      </c>
      <c r="K109" t="s">
        <v>522</v>
      </c>
      <c r="L109" t="s">
        <v>13</v>
      </c>
      <c r="M109" t="s">
        <v>501</v>
      </c>
      <c r="N109">
        <v>55</v>
      </c>
      <c r="O109">
        <v>21</v>
      </c>
      <c r="P109">
        <v>19</v>
      </c>
      <c r="Q109">
        <v>5</v>
      </c>
      <c r="R109">
        <v>8</v>
      </c>
      <c r="S109">
        <v>220</v>
      </c>
      <c r="T109">
        <v>20</v>
      </c>
      <c r="U109">
        <v>26</v>
      </c>
      <c r="V109">
        <v>1</v>
      </c>
      <c r="W109" t="s">
        <v>289</v>
      </c>
      <c r="X109">
        <v>3</v>
      </c>
      <c r="Y109" s="2" t="s">
        <v>614</v>
      </c>
      <c r="Z109" s="2" t="s">
        <v>331</v>
      </c>
      <c r="AA109" s="2" t="s">
        <v>331</v>
      </c>
      <c r="AB109" s="2"/>
      <c r="AC109" s="2"/>
      <c r="AD109" s="2"/>
      <c r="AE109" s="2"/>
      <c r="AF109" s="2"/>
      <c r="AG109" s="2"/>
      <c r="AH109" s="2"/>
      <c r="AP109">
        <v>8</v>
      </c>
      <c r="AS109" s="2">
        <f>(SQRT(N109*U109)*POWER((MIN(P109,20)+SQRT(MAX(P109-20,0))),0.9)*Data!$B$1)*(1-(V109-1))</f>
        <v>40.14278718004045</v>
      </c>
      <c r="AT109" s="2"/>
      <c r="AU109" s="2">
        <f>((POWER((N109*N109*U109), 0.33)*LOG10(S109)*10*Data!$B$1)*V109)+AT109</f>
        <v>72.494842022665296</v>
      </c>
      <c r="AV109" s="2">
        <f t="shared" si="50"/>
        <v>44.354838709677416</v>
      </c>
      <c r="AW109" s="2">
        <f t="shared" si="56"/>
        <v>0</v>
      </c>
      <c r="AZ109" s="2">
        <v>1</v>
      </c>
      <c r="BA109" s="2">
        <v>1</v>
      </c>
      <c r="BB109" s="2">
        <f t="shared" si="51"/>
        <v>26</v>
      </c>
      <c r="BC109" s="2">
        <f t="shared" si="52"/>
        <v>26</v>
      </c>
      <c r="BD109" s="3"/>
      <c r="BE109" s="3"/>
      <c r="BF109" s="3"/>
      <c r="BG109" s="2" t="str">
        <f>CONCATENATE(
ROUND(BD109*VLOOKUP(L109,'ID Scheme'!$A$2:$E$7,3),0), "x",
ROUND(BE109*VLOOKUP(L109,'ID Scheme'!$A$2:$E$7,5),0), "x",
ROUND(BF109*VLOOKUP(L109,'ID Scheme'!$A$2:$E$7,4),0))</f>
        <v>0x0x0</v>
      </c>
    </row>
    <row r="110" spans="1:60" x14ac:dyDescent="0.25">
      <c r="A110" t="s">
        <v>607</v>
      </c>
      <c r="B110" t="s">
        <v>608</v>
      </c>
      <c r="C110" t="s">
        <v>327</v>
      </c>
      <c r="D110">
        <f>IF(H110 &gt; 2020, ((H110-2020)*4)+1610+J110,IF(H110 &gt; 1900, ((H110-1900)*10)+400+J110, ((H110-1730)*2)+J110))+VLOOKUP(L110,'ID Scheme'!$A$2:$B$7,2, FALSE)</f>
        <v>3751</v>
      </c>
      <c r="F110">
        <v>3751</v>
      </c>
      <c r="G110" t="s">
        <v>683</v>
      </c>
      <c r="H110">
        <v>1975</v>
      </c>
      <c r="I110">
        <v>1</v>
      </c>
      <c r="J110">
        <v>1</v>
      </c>
      <c r="K110" t="s">
        <v>522</v>
      </c>
      <c r="L110" t="s">
        <v>13</v>
      </c>
      <c r="M110" t="s">
        <v>501</v>
      </c>
      <c r="N110">
        <v>58</v>
      </c>
      <c r="O110">
        <v>22</v>
      </c>
      <c r="P110">
        <v>17</v>
      </c>
      <c r="Q110">
        <v>5</v>
      </c>
      <c r="R110">
        <v>8</v>
      </c>
      <c r="S110">
        <v>240</v>
      </c>
      <c r="T110">
        <v>20</v>
      </c>
      <c r="U110">
        <v>26</v>
      </c>
      <c r="V110">
        <v>1</v>
      </c>
      <c r="W110" t="s">
        <v>289</v>
      </c>
      <c r="X110">
        <v>3</v>
      </c>
      <c r="Y110" s="2" t="s">
        <v>609</v>
      </c>
      <c r="Z110" s="2" t="s">
        <v>331</v>
      </c>
      <c r="AA110" s="2" t="s">
        <v>331</v>
      </c>
      <c r="AB110" s="2"/>
      <c r="AC110" s="2"/>
      <c r="AD110" s="2"/>
      <c r="AE110" s="2"/>
      <c r="AF110" s="2"/>
      <c r="AG110" s="2"/>
      <c r="AH110" s="2"/>
      <c r="AP110">
        <v>8</v>
      </c>
      <c r="AS110" s="2">
        <f>(SQRT(N110*U110)*POWER((MIN(P110,20)+SQRT(MAX(P110-20,0))),0.9)*Data!$B$1)*(1-(V110-1))</f>
        <v>37.296318367299385</v>
      </c>
      <c r="AT110" s="2"/>
      <c r="AU110" s="2">
        <f>((POWER((N110*N110*U110), 0.33)*LOG10(S110)*10*Data!$B$1)*V110)+AT110</f>
        <v>76.292254000000923</v>
      </c>
      <c r="AV110" s="2">
        <f t="shared" ref="AV110" si="63">N110/1.24</f>
        <v>46.774193548387096</v>
      </c>
      <c r="AW110" s="2">
        <f t="shared" ref="AW110" si="64">AI110/1.24</f>
        <v>0</v>
      </c>
      <c r="AZ110" s="2">
        <v>1</v>
      </c>
      <c r="BA110" s="2">
        <v>1</v>
      </c>
      <c r="BB110" s="2">
        <f t="shared" ref="BB110" si="65">U110/BA110</f>
        <v>26</v>
      </c>
      <c r="BC110" s="2">
        <f t="shared" ref="BC110" si="66">(U110)/MAX(AZ110-1, 1)</f>
        <v>26</v>
      </c>
      <c r="BD110" s="3"/>
      <c r="BE110" s="3"/>
      <c r="BF110" s="3"/>
      <c r="BG110" s="2" t="str">
        <f>CONCATENATE(
ROUND(BD110*VLOOKUP(L110,'ID Scheme'!$A$2:$E$7,3),0), "x",
ROUND(BE110*VLOOKUP(L110,'ID Scheme'!$A$2:$E$7,5),0), "x",
ROUND(BF110*VLOOKUP(L110,'ID Scheme'!$A$2:$E$7,4),0))</f>
        <v>0x0x0</v>
      </c>
    </row>
    <row r="111" spans="1:60" x14ac:dyDescent="0.25">
      <c r="A111" t="s">
        <v>73</v>
      </c>
      <c r="B111" t="s">
        <v>200</v>
      </c>
      <c r="C111" t="s">
        <v>327</v>
      </c>
      <c r="D111">
        <f>IF(H111 &gt; 2020, ((H111-2020)*4)+1610+J111,IF(H111 &gt; 1900, ((H111-1900)*10)+400+J111, ((H111-1730)*2)+J111))+VLOOKUP(L111,'ID Scheme'!$A$2:$B$7,2, FALSE)</f>
        <v>3811</v>
      </c>
      <c r="F111">
        <v>3811</v>
      </c>
      <c r="G111" t="s">
        <v>683</v>
      </c>
      <c r="H111">
        <v>1981</v>
      </c>
      <c r="I111">
        <v>1</v>
      </c>
      <c r="J111">
        <v>1</v>
      </c>
      <c r="K111" t="s">
        <v>522</v>
      </c>
      <c r="L111" t="s">
        <v>13</v>
      </c>
      <c r="M111" t="s">
        <v>501</v>
      </c>
      <c r="N111">
        <v>68</v>
      </c>
      <c r="O111">
        <v>16</v>
      </c>
      <c r="P111">
        <v>18</v>
      </c>
      <c r="Q111">
        <v>5</v>
      </c>
      <c r="R111">
        <v>3</v>
      </c>
      <c r="S111">
        <v>90</v>
      </c>
      <c r="T111">
        <v>20</v>
      </c>
      <c r="U111">
        <v>18</v>
      </c>
      <c r="V111">
        <v>1</v>
      </c>
      <c r="W111" t="s">
        <v>289</v>
      </c>
      <c r="X111">
        <v>0</v>
      </c>
      <c r="Y111" s="2" t="s">
        <v>477</v>
      </c>
      <c r="Z111" s="2" t="s">
        <v>331</v>
      </c>
      <c r="AA111" s="2" t="s">
        <v>331</v>
      </c>
      <c r="AB111" s="2"/>
      <c r="AC111" s="2"/>
      <c r="AD111" s="2"/>
      <c r="AE111" s="2"/>
      <c r="AF111" s="2"/>
      <c r="AG111" s="2"/>
      <c r="AH111" s="2"/>
      <c r="AI111">
        <v>56</v>
      </c>
      <c r="AP111">
        <v>6</v>
      </c>
      <c r="AS111" s="2">
        <f>(SQRT(N111*U111)*POWER((MIN(P111,20)+SQRT(MAX(P111-20,0))),0.9)*Data!$B$1)*(1-(V111-1))</f>
        <v>35.375063400315305</v>
      </c>
      <c r="AT111" s="2"/>
      <c r="AU111" s="2">
        <f>((POWER((N111*N111*U111), 0.33)*LOG10(S111)*10*Data!$B$1)*V111)+AT111</f>
        <v>61.621962939651276</v>
      </c>
      <c r="AV111" s="2">
        <f t="shared" si="50"/>
        <v>54.838709677419352</v>
      </c>
      <c r="AW111" s="2">
        <f t="shared" si="56"/>
        <v>45.161290322580648</v>
      </c>
      <c r="AZ111" s="2">
        <v>1</v>
      </c>
      <c r="BA111" s="2">
        <v>1</v>
      </c>
      <c r="BB111" s="2">
        <f t="shared" si="51"/>
        <v>18</v>
      </c>
      <c r="BC111" s="2">
        <f t="shared" si="52"/>
        <v>18</v>
      </c>
      <c r="BD111" s="3">
        <v>6.2</v>
      </c>
      <c r="BE111" s="3">
        <v>2.2000000000000002</v>
      </c>
      <c r="BF111" s="3">
        <v>2.6</v>
      </c>
      <c r="BG111" s="2" t="str">
        <f>CONCATENATE(
ROUND(BD111*VLOOKUP(L111,'ID Scheme'!$A$2:$E$7,3),0), "x",
ROUND(BE111*VLOOKUP(L111,'ID Scheme'!$A$2:$E$7,5),0), "x",
ROUND(BF111*VLOOKUP(L111,'ID Scheme'!$A$2:$E$7,4),0))</f>
        <v>58x32x25</v>
      </c>
      <c r="BH111" t="s">
        <v>79</v>
      </c>
    </row>
    <row r="112" spans="1:60" x14ac:dyDescent="0.25">
      <c r="A112" t="s">
        <v>30</v>
      </c>
      <c r="B112" t="s">
        <v>194</v>
      </c>
      <c r="C112" t="s">
        <v>327</v>
      </c>
      <c r="D112">
        <f>IF(H112 &gt; 2020, ((H112-2020)*4)+1610+J112,IF(H112 &gt; 1900, ((H112-1900)*10)+400+J112, ((H112-1730)*2)+J112))+VLOOKUP(L112,'ID Scheme'!$A$2:$B$7,2, FALSE)</f>
        <v>3821</v>
      </c>
      <c r="F112">
        <v>3821</v>
      </c>
      <c r="G112" t="s">
        <v>683</v>
      </c>
      <c r="H112">
        <v>1982</v>
      </c>
      <c r="I112">
        <v>1</v>
      </c>
      <c r="J112">
        <v>1</v>
      </c>
      <c r="K112" t="s">
        <v>522</v>
      </c>
      <c r="L112" t="s">
        <v>13</v>
      </c>
      <c r="M112" t="s">
        <v>501</v>
      </c>
      <c r="N112">
        <v>60</v>
      </c>
      <c r="O112">
        <v>20</v>
      </c>
      <c r="P112">
        <v>20</v>
      </c>
      <c r="Q112">
        <v>5</v>
      </c>
      <c r="R112">
        <v>9</v>
      </c>
      <c r="S112">
        <v>315</v>
      </c>
      <c r="T112">
        <v>20</v>
      </c>
      <c r="U112">
        <v>28</v>
      </c>
      <c r="V112">
        <v>1</v>
      </c>
      <c r="W112" t="s">
        <v>299</v>
      </c>
      <c r="X112">
        <v>3</v>
      </c>
      <c r="Y112" s="2" t="s">
        <v>472</v>
      </c>
      <c r="Z112" s="2" t="s">
        <v>331</v>
      </c>
      <c r="AA112" s="2" t="s">
        <v>331</v>
      </c>
      <c r="AB112" s="2"/>
      <c r="AC112" s="2"/>
      <c r="AD112" s="2"/>
      <c r="AE112" s="2"/>
      <c r="AF112" s="2"/>
      <c r="AG112" s="2"/>
      <c r="AH112" s="2"/>
      <c r="AI112">
        <v>56</v>
      </c>
      <c r="AP112">
        <v>8</v>
      </c>
      <c r="AS112" s="2">
        <f>(SQRT(N112*U112)*POWER((MIN(P112,20)+SQRT(MAX(P112-20,0))),0.9)*Data!$B$1)*(1-(V112-1))</f>
        <v>45.566209265732887</v>
      </c>
      <c r="AT112" s="2"/>
      <c r="AU112" s="2">
        <f>((POWER((N112*N112*U112), 0.33)*LOG10(S112)*10*Data!$B$1)*V112)+AT112</f>
        <v>83.916944346608517</v>
      </c>
      <c r="AV112" s="2">
        <f t="shared" si="50"/>
        <v>48.387096774193552</v>
      </c>
      <c r="AW112" s="2">
        <f t="shared" si="56"/>
        <v>45.161290322580648</v>
      </c>
      <c r="AZ112" s="2">
        <v>1</v>
      </c>
      <c r="BA112" s="2">
        <v>1</v>
      </c>
      <c r="BB112" s="2">
        <f t="shared" si="51"/>
        <v>28</v>
      </c>
      <c r="BC112" s="2">
        <f t="shared" si="52"/>
        <v>28</v>
      </c>
      <c r="BD112" s="3"/>
      <c r="BE112" s="3"/>
      <c r="BF112" s="3"/>
      <c r="BG112" s="2" t="str">
        <f>CONCATENATE(
ROUND(BD112*VLOOKUP(L112,'ID Scheme'!$A$2:$E$7,3),0), "x",
ROUND(BE112*VLOOKUP(L112,'ID Scheme'!$A$2:$E$7,5),0), "x",
ROUND(BF112*VLOOKUP(L112,'ID Scheme'!$A$2:$E$7,4),0))</f>
        <v>0x0x0</v>
      </c>
    </row>
    <row r="113" spans="1:60" x14ac:dyDescent="0.25">
      <c r="A113" t="s">
        <v>88</v>
      </c>
      <c r="B113" t="s">
        <v>212</v>
      </c>
      <c r="C113" t="s">
        <v>327</v>
      </c>
      <c r="D113">
        <f>IF(H113 &gt; 2020, ((H113-2020)*4)+1610+J113,IF(H113 &gt; 1900, ((H113-1900)*10)+400+J113, ((H113-1730)*2)+J113))+VLOOKUP(L113,'ID Scheme'!$A$2:$B$7,2, FALSE)</f>
        <v>3831</v>
      </c>
      <c r="F113">
        <v>3831</v>
      </c>
      <c r="G113" t="s">
        <v>683</v>
      </c>
      <c r="H113">
        <v>1983</v>
      </c>
      <c r="I113">
        <v>1</v>
      </c>
      <c r="J113">
        <v>1</v>
      </c>
      <c r="K113" t="s">
        <v>522</v>
      </c>
      <c r="L113" t="s">
        <v>13</v>
      </c>
      <c r="M113" t="s">
        <v>501</v>
      </c>
      <c r="N113">
        <v>64</v>
      </c>
      <c r="O113">
        <v>18</v>
      </c>
      <c r="P113">
        <v>19</v>
      </c>
      <c r="Q113">
        <v>5</v>
      </c>
      <c r="R113">
        <v>9</v>
      </c>
      <c r="S113">
        <v>136</v>
      </c>
      <c r="T113">
        <v>20</v>
      </c>
      <c r="U113">
        <v>22</v>
      </c>
      <c r="V113">
        <v>1</v>
      </c>
      <c r="W113" t="s">
        <v>289</v>
      </c>
      <c r="X113">
        <v>0</v>
      </c>
      <c r="Y113" s="2" t="s">
        <v>471</v>
      </c>
      <c r="Z113" s="2" t="s">
        <v>331</v>
      </c>
      <c r="AA113" s="2" t="s">
        <v>331</v>
      </c>
      <c r="AB113" s="2"/>
      <c r="AC113" s="2"/>
      <c r="AD113" s="2"/>
      <c r="AE113" s="2"/>
      <c r="AF113" s="2"/>
      <c r="AG113" s="2"/>
      <c r="AH113" s="2"/>
      <c r="AI113">
        <v>56</v>
      </c>
      <c r="AP113">
        <v>7</v>
      </c>
      <c r="AS113" s="2">
        <f>(SQRT(N113*U113)*POWER((MIN(P113,20)+SQRT(MAX(P113-20,0))),0.9)*Data!$B$1)*(1-(V113-1))</f>
        <v>39.832799628379171</v>
      </c>
      <c r="AT113" s="2"/>
      <c r="AU113" s="2">
        <f>((POWER((N113*N113*U113), 0.33)*LOG10(S113)*10*Data!$B$1)*V113)+AT113</f>
        <v>69.06215060093264</v>
      </c>
      <c r="AV113" s="2">
        <f t="shared" si="50"/>
        <v>51.612903225806456</v>
      </c>
      <c r="AW113" s="2">
        <f t="shared" si="56"/>
        <v>45.161290322580648</v>
      </c>
      <c r="AZ113" s="2">
        <v>1</v>
      </c>
      <c r="BA113" s="2">
        <v>1</v>
      </c>
      <c r="BB113" s="2">
        <f t="shared" si="51"/>
        <v>22</v>
      </c>
      <c r="BC113" s="2">
        <f t="shared" si="52"/>
        <v>22</v>
      </c>
      <c r="BD113" s="3">
        <v>7.7</v>
      </c>
      <c r="BE113" s="3">
        <v>2.2000000000000002</v>
      </c>
      <c r="BF113" s="3">
        <v>2.6</v>
      </c>
      <c r="BG113" s="2" t="str">
        <f>CONCATENATE(
ROUND(BD113*VLOOKUP(L113,'ID Scheme'!$A$2:$E$7,3),0), "x",
ROUND(BE113*VLOOKUP(L113,'ID Scheme'!$A$2:$E$7,5),0), "x",
ROUND(BF113*VLOOKUP(L113,'ID Scheme'!$A$2:$E$7,4),0))</f>
        <v>72x32x25</v>
      </c>
      <c r="BH113" t="s">
        <v>89</v>
      </c>
    </row>
    <row r="114" spans="1:60" ht="14.25" customHeight="1" x14ac:dyDescent="0.25">
      <c r="A114" t="s">
        <v>31</v>
      </c>
      <c r="B114" t="s">
        <v>195</v>
      </c>
      <c r="C114" t="s">
        <v>327</v>
      </c>
      <c r="D114">
        <f>IF(H114 &gt; 2020, ((H114-2020)*4)+1610+J114,IF(H114 &gt; 1900, ((H114-1900)*10)+400+J114, ((H114-1730)*2)+J114))+VLOOKUP(L114,'ID Scheme'!$A$2:$B$7,2, FALSE)</f>
        <v>3861</v>
      </c>
      <c r="F114">
        <v>3861</v>
      </c>
      <c r="G114" t="s">
        <v>683</v>
      </c>
      <c r="H114">
        <v>1986</v>
      </c>
      <c r="I114">
        <v>1</v>
      </c>
      <c r="J114">
        <v>1</v>
      </c>
      <c r="K114" t="s">
        <v>522</v>
      </c>
      <c r="L114" t="s">
        <v>13</v>
      </c>
      <c r="M114" t="s">
        <v>501</v>
      </c>
      <c r="N114">
        <v>62</v>
      </c>
      <c r="O114">
        <v>20</v>
      </c>
      <c r="P114">
        <v>20</v>
      </c>
      <c r="Q114">
        <v>5</v>
      </c>
      <c r="R114">
        <v>9</v>
      </c>
      <c r="S114">
        <v>315</v>
      </c>
      <c r="T114">
        <v>20</v>
      </c>
      <c r="U114">
        <v>30</v>
      </c>
      <c r="V114">
        <v>1</v>
      </c>
      <c r="W114" t="s">
        <v>299</v>
      </c>
      <c r="X114">
        <v>3</v>
      </c>
      <c r="Y114" s="2" t="s">
        <v>470</v>
      </c>
      <c r="Z114" s="2" t="s">
        <v>331</v>
      </c>
      <c r="AA114" s="2" t="s">
        <v>331</v>
      </c>
      <c r="AB114" s="2"/>
      <c r="AC114" s="2"/>
      <c r="AD114" s="2"/>
      <c r="AE114" s="2"/>
      <c r="AF114" s="2"/>
      <c r="AG114" s="2"/>
      <c r="AH114" s="2"/>
      <c r="AI114">
        <v>56</v>
      </c>
      <c r="AP114">
        <v>8</v>
      </c>
      <c r="AS114" s="2">
        <f>(SQRT(N114*U114)*POWER((MIN(P114,20)+SQRT(MAX(P114-20,0))),0.9)*Data!$B$1)*(1-(V114-1))</f>
        <v>47.945155509895372</v>
      </c>
      <c r="AT114" s="2"/>
      <c r="AU114" s="2">
        <f>((POWER((N114*N114*U114), 0.33)*LOG10(S114)*10*Data!$B$1)*V114)+AT114</f>
        <v>87.727593286354292</v>
      </c>
      <c r="AV114" s="2">
        <f t="shared" si="50"/>
        <v>50</v>
      </c>
      <c r="AW114" s="2">
        <f t="shared" si="56"/>
        <v>45.161290322580648</v>
      </c>
      <c r="AZ114" s="2">
        <v>1</v>
      </c>
      <c r="BA114" s="2">
        <v>1</v>
      </c>
      <c r="BB114" s="2">
        <f t="shared" si="51"/>
        <v>30</v>
      </c>
      <c r="BC114" s="2">
        <f t="shared" si="52"/>
        <v>30</v>
      </c>
      <c r="BD114" s="3"/>
      <c r="BE114" s="3"/>
      <c r="BF114" s="3"/>
      <c r="BG114" s="2" t="str">
        <f>CONCATENATE(
ROUND(BD114*VLOOKUP(L114,'ID Scheme'!$A$2:$E$7,3),0), "x",
ROUND(BE114*VLOOKUP(L114,'ID Scheme'!$A$2:$E$7,5),0), "x",
ROUND(BF114*VLOOKUP(L114,'ID Scheme'!$A$2:$E$7,4),0))</f>
        <v>0x0x0</v>
      </c>
    </row>
    <row r="115" spans="1:60" x14ac:dyDescent="0.25">
      <c r="A115" t="s">
        <v>76</v>
      </c>
      <c r="B115" t="s">
        <v>204</v>
      </c>
      <c r="C115" t="s">
        <v>327</v>
      </c>
      <c r="D115">
        <f>IF(H115 &gt; 2020, ((H115-2020)*4)+1610+J115,IF(H115 &gt; 1900, ((H115-1900)*10)+400+J115, ((H115-1730)*2)+J115))+VLOOKUP(L115,'ID Scheme'!$A$2:$B$7,2, FALSE)</f>
        <v>3931</v>
      </c>
      <c r="F115">
        <v>3931</v>
      </c>
      <c r="G115" t="s">
        <v>683</v>
      </c>
      <c r="H115">
        <v>1993</v>
      </c>
      <c r="I115">
        <v>1</v>
      </c>
      <c r="J115">
        <v>1</v>
      </c>
      <c r="K115" t="s">
        <v>522</v>
      </c>
      <c r="L115" t="s">
        <v>13</v>
      </c>
      <c r="M115" t="s">
        <v>501</v>
      </c>
      <c r="N115">
        <v>72</v>
      </c>
      <c r="O115">
        <v>-1</v>
      </c>
      <c r="P115">
        <v>18</v>
      </c>
      <c r="Q115">
        <v>5</v>
      </c>
      <c r="R115">
        <v>3</v>
      </c>
      <c r="S115">
        <v>105</v>
      </c>
      <c r="T115">
        <v>20</v>
      </c>
      <c r="U115">
        <v>18</v>
      </c>
      <c r="V115">
        <v>1</v>
      </c>
      <c r="W115" t="s">
        <v>289</v>
      </c>
      <c r="X115">
        <v>0</v>
      </c>
      <c r="Y115" s="2" t="s">
        <v>469</v>
      </c>
      <c r="Z115" s="2" t="s">
        <v>331</v>
      </c>
      <c r="AA115" s="2" t="s">
        <v>331</v>
      </c>
      <c r="AB115" s="2"/>
      <c r="AC115" s="2"/>
      <c r="AD115" s="2"/>
      <c r="AE115" s="2"/>
      <c r="AF115" s="2"/>
      <c r="AG115" s="2"/>
      <c r="AH115" s="2"/>
      <c r="AI115">
        <v>56</v>
      </c>
      <c r="AP115">
        <v>7</v>
      </c>
      <c r="AS115" s="2">
        <f>(SQRT(N115*U115)*POWER((MIN(P115,20)+SQRT(MAX(P115-20,0))),0.9)*Data!$B$1)*(1-(V115-1))</f>
        <v>36.400639934883735</v>
      </c>
      <c r="AT115" s="2"/>
      <c r="AU115" s="2">
        <f>((POWER((N115*N115*U115), 0.33)*LOG10(S115)*10*Data!$B$1)*V115)+AT115</f>
        <v>66.183179614250491</v>
      </c>
      <c r="AV115" s="2">
        <f t="shared" si="50"/>
        <v>58.064516129032256</v>
      </c>
      <c r="AW115" s="2">
        <f t="shared" si="56"/>
        <v>45.161290322580648</v>
      </c>
      <c r="AZ115" s="2">
        <v>1</v>
      </c>
      <c r="BA115" s="2">
        <v>1</v>
      </c>
      <c r="BB115" s="2">
        <f t="shared" si="51"/>
        <v>18</v>
      </c>
      <c r="BC115" s="2">
        <f t="shared" si="52"/>
        <v>18</v>
      </c>
      <c r="BD115" s="3">
        <v>6.2</v>
      </c>
      <c r="BE115" s="3">
        <v>2.2000000000000002</v>
      </c>
      <c r="BF115" s="3">
        <v>2.6</v>
      </c>
      <c r="BG115" s="2" t="str">
        <f>CONCATENATE(
ROUND(BD115*VLOOKUP(L115,'ID Scheme'!$A$2:$E$7,3),0), "x",
ROUND(BE115*VLOOKUP(L115,'ID Scheme'!$A$2:$E$7,5),0), "x",
ROUND(BF115*VLOOKUP(L115,'ID Scheme'!$A$2:$E$7,4),0))</f>
        <v>58x32x25</v>
      </c>
      <c r="BH115" t="s">
        <v>82</v>
      </c>
    </row>
    <row r="116" spans="1:60" ht="14.25" customHeight="1" x14ac:dyDescent="0.25">
      <c r="A116" t="s">
        <v>617</v>
      </c>
      <c r="B116" t="s">
        <v>618</v>
      </c>
      <c r="C116" t="s">
        <v>327</v>
      </c>
      <c r="D116">
        <f>IF(H116 &gt; 2020, ((H116-2020)*4)+1610+J116,IF(H116 &gt; 1900, ((H116-1900)*10)+400+J116, ((H116-1730)*2)+J116))+VLOOKUP(L116,'ID Scheme'!$A$2:$B$7,2, FALSE)</f>
        <v>3932</v>
      </c>
      <c r="F116">
        <v>3932</v>
      </c>
      <c r="G116" t="s">
        <v>683</v>
      </c>
      <c r="H116">
        <v>1993</v>
      </c>
      <c r="I116">
        <v>3</v>
      </c>
      <c r="J116">
        <v>2</v>
      </c>
      <c r="K116" t="s">
        <v>522</v>
      </c>
      <c r="L116" t="s">
        <v>13</v>
      </c>
      <c r="M116" t="s">
        <v>501</v>
      </c>
      <c r="N116">
        <v>65</v>
      </c>
      <c r="O116">
        <v>22</v>
      </c>
      <c r="P116">
        <v>19</v>
      </c>
      <c r="Q116">
        <v>5</v>
      </c>
      <c r="R116">
        <v>9</v>
      </c>
      <c r="S116">
        <v>420</v>
      </c>
      <c r="T116">
        <v>20</v>
      </c>
      <c r="U116">
        <v>30</v>
      </c>
      <c r="V116">
        <v>1</v>
      </c>
      <c r="W116" t="s">
        <v>295</v>
      </c>
      <c r="X116">
        <v>3</v>
      </c>
      <c r="Y116" s="2" t="s">
        <v>619</v>
      </c>
      <c r="Z116" s="2" t="s">
        <v>331</v>
      </c>
      <c r="AA116" s="2" t="s">
        <v>331</v>
      </c>
      <c r="AB116" s="2"/>
      <c r="AC116" s="2"/>
      <c r="AD116" s="2"/>
      <c r="AE116" s="2"/>
      <c r="AF116" s="2"/>
      <c r="AG116" s="2"/>
      <c r="AH116" s="2"/>
      <c r="AI116">
        <v>56</v>
      </c>
      <c r="AP116">
        <v>8</v>
      </c>
      <c r="AS116" s="2">
        <f>(SQRT(N116*U116)*POWER((MIN(P116,20)+SQRT(MAX(P116-20,0))),0.9)*Data!$B$1)*(1-(V116-1))</f>
        <v>46.876676153043313</v>
      </c>
      <c r="AT116" s="2"/>
      <c r="AU116" s="2">
        <f>((POWER((N116*N116*U116), 0.33)*LOG10(S116)*10*Data!$B$1)*V116)+AT116</f>
        <v>95.032828795885933</v>
      </c>
      <c r="AV116" s="2">
        <f t="shared" ref="AV116" si="67">N116/1.24</f>
        <v>52.41935483870968</v>
      </c>
      <c r="AW116" s="2">
        <f t="shared" ref="AW116" si="68">AI116/1.24</f>
        <v>45.161290322580648</v>
      </c>
      <c r="AZ116" s="2">
        <v>1</v>
      </c>
      <c r="BA116" s="2">
        <v>1</v>
      </c>
      <c r="BB116" s="2">
        <f t="shared" ref="BB116" si="69">U116/BA116</f>
        <v>30</v>
      </c>
      <c r="BC116" s="2">
        <f t="shared" ref="BC116" si="70">(U116)/MAX(AZ116-1, 1)</f>
        <v>30</v>
      </c>
      <c r="BD116" s="3"/>
      <c r="BE116" s="3"/>
      <c r="BF116" s="3"/>
      <c r="BG116" s="2" t="str">
        <f>CONCATENATE(
ROUND(BD116*VLOOKUP(L116,'ID Scheme'!$A$2:$E$7,3),0), "x",
ROUND(BE116*VLOOKUP(L116,'ID Scheme'!$A$2:$E$7,5),0), "x",
ROUND(BF116*VLOOKUP(L116,'ID Scheme'!$A$2:$E$7,4),0))</f>
        <v>0x0x0</v>
      </c>
    </row>
    <row r="117" spans="1:60" x14ac:dyDescent="0.25">
      <c r="A117" t="s">
        <v>15</v>
      </c>
      <c r="B117" t="s">
        <v>197</v>
      </c>
      <c r="C117" t="s">
        <v>327</v>
      </c>
      <c r="D117">
        <f>IF(H117 &gt; 2020, ((H117-2020)*4)+1610+J117,IF(H117 &gt; 1900, ((H117-1900)*10)+400+J117, ((H117-1730)*2)+J117))+VLOOKUP(L117,'ID Scheme'!$A$2:$B$7,2, FALSE)</f>
        <v>3971</v>
      </c>
      <c r="F117">
        <v>3971</v>
      </c>
      <c r="G117" t="s">
        <v>683</v>
      </c>
      <c r="H117">
        <v>1997</v>
      </c>
      <c r="I117">
        <v>1</v>
      </c>
      <c r="J117">
        <v>1</v>
      </c>
      <c r="K117" t="s">
        <v>522</v>
      </c>
      <c r="L117" t="s">
        <v>13</v>
      </c>
      <c r="M117" t="s">
        <v>501</v>
      </c>
      <c r="N117">
        <v>70</v>
      </c>
      <c r="O117">
        <v>-1</v>
      </c>
      <c r="P117">
        <v>15</v>
      </c>
      <c r="Q117">
        <v>5</v>
      </c>
      <c r="R117">
        <v>9</v>
      </c>
      <c r="S117">
        <v>405</v>
      </c>
      <c r="T117">
        <v>20</v>
      </c>
      <c r="U117">
        <v>32</v>
      </c>
      <c r="V117">
        <v>1</v>
      </c>
      <c r="W117" t="s">
        <v>299</v>
      </c>
      <c r="X117">
        <v>3</v>
      </c>
      <c r="Y117" s="2" t="s">
        <v>466</v>
      </c>
      <c r="Z117" s="2" t="s">
        <v>331</v>
      </c>
      <c r="AA117" s="2" t="s">
        <v>331</v>
      </c>
      <c r="AB117" s="2"/>
      <c r="AC117" s="2"/>
      <c r="AD117" s="2"/>
      <c r="AE117" s="2"/>
      <c r="AF117" s="2"/>
      <c r="AG117" s="2"/>
      <c r="AH117" s="2"/>
      <c r="AI117">
        <v>56</v>
      </c>
      <c r="AP117">
        <v>8</v>
      </c>
      <c r="AS117" s="2">
        <f>(SQRT(N117*U117)*POWER((MIN(P117,20)+SQRT(MAX(P117-20,0))),0.9)*Data!$B$1)*(1-(V117-1))</f>
        <v>40.613218318644378</v>
      </c>
      <c r="AT117" s="2"/>
      <c r="AU117" s="2">
        <f>((POWER((N117*N117*U117), 0.33)*LOG10(S117)*10*Data!$B$1)*V117)+AT117</f>
        <v>101.33099065775636</v>
      </c>
      <c r="AV117" s="2">
        <f t="shared" si="50"/>
        <v>56.451612903225808</v>
      </c>
      <c r="AW117" s="2">
        <f t="shared" ref="AW117:AW151" si="71">AI117/1.24</f>
        <v>45.161290322580648</v>
      </c>
      <c r="AZ117" s="2">
        <v>1</v>
      </c>
      <c r="BA117" s="2">
        <v>1</v>
      </c>
      <c r="BB117" s="2">
        <f t="shared" si="51"/>
        <v>32</v>
      </c>
      <c r="BC117" s="2">
        <f t="shared" si="52"/>
        <v>32</v>
      </c>
      <c r="BD117" s="3"/>
      <c r="BE117" s="3"/>
      <c r="BF117" s="3"/>
      <c r="BG117" s="2" t="str">
        <f>CONCATENATE(
ROUND(BD117*VLOOKUP(L117,'ID Scheme'!$A$2:$E$7,3),0), "x",
ROUND(BE117*VLOOKUP(L117,'ID Scheme'!$A$2:$E$7,5),0), "x",
ROUND(BF117*VLOOKUP(L117,'ID Scheme'!$A$2:$E$7,4),0))</f>
        <v>0x0x0</v>
      </c>
    </row>
    <row r="118" spans="1:60" ht="14.25" customHeight="1" x14ac:dyDescent="0.25">
      <c r="A118" t="s">
        <v>620</v>
      </c>
      <c r="B118" t="s">
        <v>621</v>
      </c>
      <c r="C118" t="s">
        <v>327</v>
      </c>
      <c r="D118">
        <f>IF(H118 &gt; 2020, ((H118-2020)*4)+1610+J118,IF(H118 &gt; 1900, ((H118-1900)*10)+400+J118, ((H118-1730)*2)+J118))+VLOOKUP(L118,'ID Scheme'!$A$2:$B$7,2, FALSE)</f>
        <v>3981</v>
      </c>
      <c r="F118">
        <v>3981</v>
      </c>
      <c r="G118" t="s">
        <v>683</v>
      </c>
      <c r="H118">
        <v>1998</v>
      </c>
      <c r="I118">
        <v>5</v>
      </c>
      <c r="J118">
        <v>1</v>
      </c>
      <c r="K118" t="s">
        <v>522</v>
      </c>
      <c r="L118" t="s">
        <v>13</v>
      </c>
      <c r="M118" t="s">
        <v>501</v>
      </c>
      <c r="N118">
        <v>72</v>
      </c>
      <c r="O118">
        <v>-1</v>
      </c>
      <c r="P118">
        <v>14</v>
      </c>
      <c r="Q118">
        <v>5</v>
      </c>
      <c r="R118">
        <v>9</v>
      </c>
      <c r="S118">
        <v>460</v>
      </c>
      <c r="T118">
        <v>20</v>
      </c>
      <c r="U118">
        <v>30</v>
      </c>
      <c r="V118">
        <v>1</v>
      </c>
      <c r="W118" t="s">
        <v>289</v>
      </c>
      <c r="X118">
        <v>3</v>
      </c>
      <c r="Y118" s="2" t="s">
        <v>622</v>
      </c>
      <c r="Z118" s="2" t="s">
        <v>331</v>
      </c>
      <c r="AA118" s="2" t="s">
        <v>331</v>
      </c>
      <c r="AB118" s="2"/>
      <c r="AC118" s="2"/>
      <c r="AD118" s="2"/>
      <c r="AE118" s="2"/>
      <c r="AF118" s="2"/>
      <c r="AG118" s="2"/>
      <c r="AH118" s="2"/>
      <c r="AI118">
        <v>56</v>
      </c>
      <c r="AP118">
        <v>8</v>
      </c>
      <c r="AS118" s="2">
        <f>(SQRT(N118*U118)*POWER((MIN(P118,20)+SQRT(MAX(P118-20,0))),0.9)*Data!$B$1)*(1-(V118-1))</f>
        <v>37.480326983572404</v>
      </c>
      <c r="AT118" s="2"/>
      <c r="AU118" s="2">
        <f>((POWER((N118*N118*U118), 0.33)*LOG10(S118)*10*Data!$B$1)*V118)+AT118</f>
        <v>103.20064123902668</v>
      </c>
      <c r="AV118" s="2">
        <f t="shared" si="50"/>
        <v>58.064516129032256</v>
      </c>
      <c r="AW118" s="2">
        <f t="shared" si="71"/>
        <v>45.161290322580648</v>
      </c>
      <c r="AZ118" s="2">
        <v>1</v>
      </c>
      <c r="BA118" s="2">
        <v>1</v>
      </c>
      <c r="BB118" s="2">
        <f t="shared" si="51"/>
        <v>30</v>
      </c>
      <c r="BC118" s="2">
        <f t="shared" si="52"/>
        <v>30</v>
      </c>
      <c r="BD118" s="3"/>
      <c r="BE118" s="3"/>
      <c r="BF118" s="3"/>
      <c r="BG118" s="2" t="str">
        <f>CONCATENATE(
ROUND(BD118*VLOOKUP(L118,'ID Scheme'!$A$2:$E$7,3),0), "x",
ROUND(BE118*VLOOKUP(L118,'ID Scheme'!$A$2:$E$7,5),0), "x",
ROUND(BF118*VLOOKUP(L118,'ID Scheme'!$A$2:$E$7,4),0))</f>
        <v>0x0x0</v>
      </c>
    </row>
    <row r="119" spans="1:60" x14ac:dyDescent="0.25">
      <c r="A119" t="s">
        <v>90</v>
      </c>
      <c r="B119" t="s">
        <v>192</v>
      </c>
      <c r="C119" t="s">
        <v>327</v>
      </c>
      <c r="D119">
        <f>IF(H119 &gt; 2020, ((H119-2020)*4)+1610+J119,IF(H119 &gt; 1900, ((H119-1900)*10)+400+J119, ((H119-1730)*2)+J119))+VLOOKUP(L119,'ID Scheme'!$A$2:$B$7,2, FALSE)</f>
        <v>4012</v>
      </c>
      <c r="F119">
        <v>4012</v>
      </c>
      <c r="G119" t="s">
        <v>683</v>
      </c>
      <c r="H119">
        <v>2001</v>
      </c>
      <c r="I119">
        <v>1</v>
      </c>
      <c r="J119">
        <v>2</v>
      </c>
      <c r="K119" t="s">
        <v>522</v>
      </c>
      <c r="L119" t="s">
        <v>13</v>
      </c>
      <c r="M119" t="s">
        <v>501</v>
      </c>
      <c r="N119">
        <v>75</v>
      </c>
      <c r="O119">
        <v>-1</v>
      </c>
      <c r="P119">
        <v>18</v>
      </c>
      <c r="Q119">
        <v>5</v>
      </c>
      <c r="R119">
        <v>9</v>
      </c>
      <c r="S119">
        <v>207</v>
      </c>
      <c r="T119">
        <v>20</v>
      </c>
      <c r="U119">
        <v>24</v>
      </c>
      <c r="V119">
        <v>1</v>
      </c>
      <c r="W119" t="s">
        <v>289</v>
      </c>
      <c r="X119">
        <v>0</v>
      </c>
      <c r="Y119" s="2" t="s">
        <v>464</v>
      </c>
      <c r="Z119" s="2" t="s">
        <v>331</v>
      </c>
      <c r="AA119" s="2" t="s">
        <v>331</v>
      </c>
      <c r="AB119" s="2"/>
      <c r="AC119" s="2"/>
      <c r="AD119" s="2"/>
      <c r="AE119" s="2"/>
      <c r="AF119" s="2"/>
      <c r="AG119" s="2"/>
      <c r="AH119" s="2"/>
      <c r="AI119">
        <v>56</v>
      </c>
      <c r="AP119">
        <v>7</v>
      </c>
      <c r="AS119" s="2">
        <f>(SQRT(N119*U119)*POWER((MIN(P119,20)+SQRT(MAX(P119-20,0))),0.9)*Data!$B$1)*(1-(V119-1))</f>
        <v>42.898565562476904</v>
      </c>
      <c r="AT119" s="2"/>
      <c r="AU119" s="2">
        <f>((POWER((N119*N119*U119), 0.33)*LOG10(S119)*10*Data!$B$1)*V119)+AT119</f>
        <v>85.665193700262009</v>
      </c>
      <c r="AV119" s="2">
        <f t="shared" si="50"/>
        <v>60.483870967741936</v>
      </c>
      <c r="AW119" s="2">
        <f t="shared" si="71"/>
        <v>45.161290322580648</v>
      </c>
      <c r="AZ119" s="2">
        <v>1</v>
      </c>
      <c r="BA119" s="2">
        <v>1</v>
      </c>
      <c r="BB119" s="2">
        <f t="shared" si="51"/>
        <v>24</v>
      </c>
      <c r="BC119" s="2">
        <f t="shared" si="52"/>
        <v>24</v>
      </c>
      <c r="BD119" s="3">
        <v>8.5</v>
      </c>
      <c r="BE119" s="3">
        <v>2.2000000000000002</v>
      </c>
      <c r="BF119" s="3">
        <v>2.6</v>
      </c>
      <c r="BG119" s="2" t="str">
        <f>CONCATENATE(
ROUND(BD119*VLOOKUP(L119,'ID Scheme'!$A$2:$E$7,3),0), "x",
ROUND(BE119*VLOOKUP(L119,'ID Scheme'!$A$2:$E$7,5),0), "x",
ROUND(BF119*VLOOKUP(L119,'ID Scheme'!$A$2:$E$7,4),0))</f>
        <v>79x32x25</v>
      </c>
      <c r="BH119" t="s">
        <v>91</v>
      </c>
    </row>
    <row r="120" spans="1:60" x14ac:dyDescent="0.25">
      <c r="A120" t="s">
        <v>77</v>
      </c>
      <c r="B120" t="s">
        <v>214</v>
      </c>
      <c r="C120" t="s">
        <v>327</v>
      </c>
      <c r="D120">
        <f>IF(H120 &gt; 2020, ((H120-2020)*4)+1610+J120,IF(H120 &gt; 1900, ((H120-1900)*10)+400+J120, ((H120-1730)*2)+J120))+VLOOKUP(L120,'ID Scheme'!$A$2:$B$7,2, FALSE)</f>
        <v>4051</v>
      </c>
      <c r="F120">
        <v>4051</v>
      </c>
      <c r="G120" t="s">
        <v>683</v>
      </c>
      <c r="H120">
        <v>2005</v>
      </c>
      <c r="I120">
        <v>1</v>
      </c>
      <c r="J120">
        <v>1</v>
      </c>
      <c r="K120" t="s">
        <v>522</v>
      </c>
      <c r="L120" t="s">
        <v>13</v>
      </c>
      <c r="M120" t="s">
        <v>501</v>
      </c>
      <c r="N120">
        <v>80</v>
      </c>
      <c r="O120">
        <v>-1</v>
      </c>
      <c r="P120">
        <v>19</v>
      </c>
      <c r="Q120">
        <v>5</v>
      </c>
      <c r="R120">
        <v>3</v>
      </c>
      <c r="S120">
        <v>175</v>
      </c>
      <c r="T120">
        <v>20</v>
      </c>
      <c r="U120">
        <v>18</v>
      </c>
      <c r="V120">
        <v>1</v>
      </c>
      <c r="W120" t="s">
        <v>289</v>
      </c>
      <c r="X120">
        <v>0</v>
      </c>
      <c r="Y120" s="2" t="s">
        <v>462</v>
      </c>
      <c r="Z120" s="2" t="s">
        <v>331</v>
      </c>
      <c r="AA120" s="2" t="s">
        <v>331</v>
      </c>
      <c r="AB120" s="2"/>
      <c r="AC120" s="2"/>
      <c r="AD120" s="2"/>
      <c r="AE120" s="2"/>
      <c r="AF120" s="2"/>
      <c r="AG120" s="2"/>
      <c r="AH120" s="2"/>
      <c r="AP120">
        <v>6</v>
      </c>
      <c r="AS120" s="2">
        <f>(SQRT(N120*U120)*POWER((MIN(P120,20)+SQRT(MAX(P120-20,0))),0.9)*Data!$B$1)*(1-(V120-1))</f>
        <v>40.282902046468678</v>
      </c>
      <c r="AT120" s="2"/>
      <c r="AU120" s="2">
        <f>((POWER((N120*N120*U120), 0.33)*LOG10(S120)*10*Data!$B$1)*V120)+AT120</f>
        <v>78.736702415748411</v>
      </c>
      <c r="AV120" s="2">
        <f t="shared" si="50"/>
        <v>64.516129032258064</v>
      </c>
      <c r="AW120" s="2">
        <f t="shared" si="71"/>
        <v>0</v>
      </c>
      <c r="AZ120" s="2">
        <v>1</v>
      </c>
      <c r="BA120" s="2">
        <v>1</v>
      </c>
      <c r="BB120" s="2">
        <f t="shared" si="51"/>
        <v>18</v>
      </c>
      <c r="BC120" s="2">
        <f t="shared" si="52"/>
        <v>18</v>
      </c>
      <c r="BD120" s="3">
        <v>6.2</v>
      </c>
      <c r="BE120" s="3">
        <v>2.2000000000000002</v>
      </c>
      <c r="BF120" s="3">
        <v>2.6</v>
      </c>
      <c r="BG120" s="2" t="str">
        <f>CONCATENATE(
ROUND(BD120*VLOOKUP(L120,'ID Scheme'!$A$2:$E$7,3),0), "x",
ROUND(BE120*VLOOKUP(L120,'ID Scheme'!$A$2:$E$7,5),0), "x",
ROUND(BF120*VLOOKUP(L120,'ID Scheme'!$A$2:$E$7,4),0))</f>
        <v>58x32x25</v>
      </c>
      <c r="BH120" t="s">
        <v>78</v>
      </c>
    </row>
    <row r="121" spans="1:60" x14ac:dyDescent="0.25">
      <c r="A121" t="s">
        <v>639</v>
      </c>
      <c r="B121" t="s">
        <v>640</v>
      </c>
      <c r="C121" t="s">
        <v>327</v>
      </c>
      <c r="D121">
        <f>IF(H121 &gt; 2020, ((H121-2020)*4)+1610+J121,IF(H121 &gt; 1900, ((H121-1900)*10)+400+J121, ((H121-1730)*2)+J121))+VLOOKUP(L121,'ID Scheme'!$A$2:$B$7,2, FALSE)</f>
        <v>4071</v>
      </c>
      <c r="F121">
        <v>4071</v>
      </c>
      <c r="G121" t="s">
        <v>683</v>
      </c>
      <c r="H121">
        <v>2007</v>
      </c>
      <c r="I121">
        <v>1</v>
      </c>
      <c r="J121">
        <v>1</v>
      </c>
      <c r="K121" t="s">
        <v>522</v>
      </c>
      <c r="L121" t="s">
        <v>13</v>
      </c>
      <c r="M121" t="s">
        <v>501</v>
      </c>
      <c r="N121">
        <v>74</v>
      </c>
      <c r="O121">
        <v>-1</v>
      </c>
      <c r="P121">
        <v>16</v>
      </c>
      <c r="Q121">
        <v>5</v>
      </c>
      <c r="R121">
        <v>9</v>
      </c>
      <c r="S121">
        <v>440</v>
      </c>
      <c r="T121">
        <v>20</v>
      </c>
      <c r="U121">
        <v>32</v>
      </c>
      <c r="V121">
        <v>1</v>
      </c>
      <c r="W121" t="s">
        <v>295</v>
      </c>
      <c r="X121">
        <v>3</v>
      </c>
      <c r="Y121" s="2" t="s">
        <v>641</v>
      </c>
      <c r="Z121" s="2" t="s">
        <v>331</v>
      </c>
      <c r="AA121" s="2" t="s">
        <v>331</v>
      </c>
      <c r="AB121" s="2"/>
      <c r="AC121" s="2"/>
      <c r="AD121" s="2"/>
      <c r="AE121" s="2"/>
      <c r="AF121" s="2"/>
      <c r="AG121" s="2"/>
      <c r="AH121" s="2"/>
      <c r="AI121">
        <v>56</v>
      </c>
      <c r="AP121">
        <v>8</v>
      </c>
      <c r="AS121" s="2">
        <f>(SQRT(N121*U121)*POWER((MIN(P121,20)+SQRT(MAX(P121-20,0))),0.9)*Data!$B$1)*(1-(V121-1))</f>
        <v>44.254770899144248</v>
      </c>
      <c r="AT121" s="2"/>
      <c r="AU121" s="2">
        <f>((POWER((N121*N121*U121), 0.33)*LOG10(S121)*10*Data!$B$1)*V121)+AT121</f>
        <v>106.56761130788216</v>
      </c>
      <c r="AV121" s="2">
        <f t="shared" ref="AV121:AV122" si="72">N121/1.24</f>
        <v>59.677419354838712</v>
      </c>
      <c r="AW121" s="2">
        <f t="shared" ref="AW121:AW122" si="73">AI121/1.24</f>
        <v>45.161290322580648</v>
      </c>
      <c r="AZ121" s="2">
        <v>1</v>
      </c>
      <c r="BA121" s="2">
        <v>1</v>
      </c>
      <c r="BB121" s="2">
        <f t="shared" ref="BB121:BB122" si="74">U121/BA121</f>
        <v>32</v>
      </c>
      <c r="BC121" s="2">
        <f t="shared" ref="BC121:BC122" si="75">(U121)/MAX(AZ121-1, 1)</f>
        <v>32</v>
      </c>
      <c r="BD121" s="3"/>
      <c r="BE121" s="3"/>
      <c r="BF121" s="3"/>
      <c r="BG121" s="2" t="str">
        <f>CONCATENATE(
ROUND(BD121*VLOOKUP(L121,'ID Scheme'!$A$2:$E$7,3),0), "x",
ROUND(BE121*VLOOKUP(L121,'ID Scheme'!$A$2:$E$7,5),0), "x",
ROUND(BF121*VLOOKUP(L121,'ID Scheme'!$A$2:$E$7,4),0))</f>
        <v>0x0x0</v>
      </c>
    </row>
    <row r="122" spans="1:60" x14ac:dyDescent="0.25">
      <c r="A122" t="s">
        <v>678</v>
      </c>
      <c r="B122" t="s">
        <v>679</v>
      </c>
      <c r="C122" t="s">
        <v>327</v>
      </c>
      <c r="D122">
        <f>IF(H122 &gt; 2020, ((H122-2020)*4)+1610+J122,IF(H122 &gt; 1900, ((H122-1900)*10)+400+J122, ((H122-1730)*2)+J122))+VLOOKUP(L122,'ID Scheme'!$A$2:$B$7,2, FALSE)</f>
        <v>4219</v>
      </c>
      <c r="F122">
        <v>4219</v>
      </c>
      <c r="G122" t="s">
        <v>683</v>
      </c>
      <c r="H122">
        <v>2022</v>
      </c>
      <c r="I122">
        <v>6</v>
      </c>
      <c r="J122">
        <v>1</v>
      </c>
      <c r="K122" t="s">
        <v>522</v>
      </c>
      <c r="L122" t="s">
        <v>13</v>
      </c>
      <c r="M122" t="s">
        <v>501</v>
      </c>
      <c r="N122">
        <v>60</v>
      </c>
      <c r="O122">
        <v>-1</v>
      </c>
      <c r="P122">
        <v>17</v>
      </c>
      <c r="Q122">
        <v>5</v>
      </c>
      <c r="R122">
        <v>8</v>
      </c>
      <c r="S122">
        <v>250</v>
      </c>
      <c r="T122">
        <v>20</v>
      </c>
      <c r="U122">
        <v>22</v>
      </c>
      <c r="V122">
        <v>1</v>
      </c>
      <c r="W122" t="s">
        <v>365</v>
      </c>
      <c r="X122">
        <v>0</v>
      </c>
      <c r="Y122" s="2" t="s">
        <v>680</v>
      </c>
      <c r="Z122" s="2" t="s">
        <v>331</v>
      </c>
      <c r="AA122" s="2" t="s">
        <v>331</v>
      </c>
      <c r="AB122" s="2"/>
      <c r="AC122" s="2"/>
      <c r="AD122" s="2"/>
      <c r="AE122" s="2"/>
      <c r="AF122" s="2"/>
      <c r="AG122" s="2"/>
      <c r="AH122" s="2"/>
      <c r="AI122">
        <v>56</v>
      </c>
      <c r="AP122">
        <v>7</v>
      </c>
      <c r="AS122" s="2">
        <f>(SQRT(N122*U122)*POWER((MIN(P122,20)+SQRT(MAX(P122-20,0))),0.9)*Data!$B$1)*(1-(V122-1))</f>
        <v>34.894120640535121</v>
      </c>
      <c r="AT122" s="2"/>
      <c r="AU122" s="2">
        <f>((POWER((N122*N122*U122), 0.33)*LOG10(S122)*10*Data!$B$1)*V122)+AT122</f>
        <v>74.383890085288741</v>
      </c>
      <c r="AV122" s="2">
        <f t="shared" si="72"/>
        <v>48.387096774193552</v>
      </c>
      <c r="AW122" s="2">
        <f t="shared" si="73"/>
        <v>45.161290322580648</v>
      </c>
      <c r="AZ122" s="2">
        <v>1</v>
      </c>
      <c r="BA122" s="2">
        <v>1</v>
      </c>
      <c r="BB122" s="2">
        <f t="shared" si="74"/>
        <v>22</v>
      </c>
      <c r="BC122" s="2">
        <f t="shared" si="75"/>
        <v>22</v>
      </c>
      <c r="BD122" s="3"/>
      <c r="BE122" s="3"/>
      <c r="BF122" s="3"/>
      <c r="BG122" s="2" t="str">
        <f>CONCATENATE(
ROUND(BD122*VLOOKUP(L122,'ID Scheme'!$A$2:$E$7,3),0), "x",
ROUND(BE122*VLOOKUP(L122,'ID Scheme'!$A$2:$E$7,5),0), "x",
ROUND(BF122*VLOOKUP(L122,'ID Scheme'!$A$2:$E$7,4),0))</f>
        <v>0x0x0</v>
      </c>
    </row>
    <row r="123" spans="1:60" x14ac:dyDescent="0.25">
      <c r="A123" t="s">
        <v>57</v>
      </c>
      <c r="B123" t="s">
        <v>262</v>
      </c>
      <c r="C123" t="s">
        <v>360</v>
      </c>
      <c r="D123">
        <f>IF(H123 &gt; 2020, ((H123-2020)*4)+1610+J123,IF(H123 &gt; 1900, ((H123-1900)*10)+400+J123, ((H123-1730)*2)+J123))+VLOOKUP(L123,'ID Scheme'!$A$2:$B$7,2, FALSE)</f>
        <v>5121</v>
      </c>
      <c r="F123">
        <v>5121</v>
      </c>
      <c r="G123" t="s">
        <v>683</v>
      </c>
      <c r="H123">
        <v>1912</v>
      </c>
      <c r="I123">
        <v>1</v>
      </c>
      <c r="J123">
        <v>1</v>
      </c>
      <c r="K123" t="s">
        <v>522</v>
      </c>
      <c r="L123" t="s">
        <v>14</v>
      </c>
      <c r="M123" t="s">
        <v>508</v>
      </c>
      <c r="N123">
        <v>40</v>
      </c>
      <c r="O123">
        <v>28</v>
      </c>
      <c r="P123">
        <v>12</v>
      </c>
      <c r="Q123">
        <v>5</v>
      </c>
      <c r="R123">
        <v>1</v>
      </c>
      <c r="S123">
        <v>20</v>
      </c>
      <c r="T123">
        <v>20</v>
      </c>
      <c r="U123">
        <v>4</v>
      </c>
      <c r="V123">
        <v>1</v>
      </c>
      <c r="W123" t="s">
        <v>356</v>
      </c>
      <c r="X123">
        <v>-3</v>
      </c>
      <c r="Y123" s="2" t="s">
        <v>460</v>
      </c>
      <c r="Z123" s="2"/>
      <c r="AA123" s="2"/>
      <c r="AB123" s="2"/>
      <c r="AC123" s="2"/>
      <c r="AD123" s="2"/>
      <c r="AE123" s="2"/>
      <c r="AF123" s="2"/>
      <c r="AG123" s="2"/>
      <c r="AH123" s="2"/>
      <c r="AP123">
        <v>4</v>
      </c>
      <c r="AS123" s="2">
        <f>(SQRT(N123*U123)*POWER((MIN(P123,20)+SQRT(MAX(P123-20,0))),0.9)*Data!$B$1)*(1-(V123-1))</f>
        <v>8.8794154486294588</v>
      </c>
      <c r="AT123" s="2"/>
      <c r="AU123" s="2">
        <f>((POWER((N123*N123*U123), 0.33)*LOG10(S123)*10*Data!$B$1)*V123)+AT123</f>
        <v>17.594947052790868</v>
      </c>
      <c r="AV123" s="2">
        <f t="shared" ref="AV123:AV156" si="76">N123/1.24</f>
        <v>32.258064516129032</v>
      </c>
      <c r="AW123" s="2">
        <f t="shared" si="71"/>
        <v>0</v>
      </c>
      <c r="AZ123" s="2">
        <v>1</v>
      </c>
      <c r="BA123" s="2">
        <v>1</v>
      </c>
      <c r="BB123" s="2">
        <f t="shared" ref="BB123:BB156" si="77">U123/BA123</f>
        <v>4</v>
      </c>
      <c r="BC123" s="2">
        <f t="shared" ref="BC123:BC156" si="78">(U123)/MAX(AZ123-1, 1)</f>
        <v>4</v>
      </c>
      <c r="BD123" s="3"/>
      <c r="BE123" s="3"/>
      <c r="BF123" s="3"/>
      <c r="BG123" s="2" t="str">
        <f>CONCATENATE(
ROUND(BD123*VLOOKUP(L123,'ID Scheme'!$A$2:$E$7,3),0), "x",
ROUND(BE123*VLOOKUP(L123,'ID Scheme'!$A$2:$E$7,5),0), "x",
ROUND(BF123*VLOOKUP(L123,'ID Scheme'!$A$2:$E$7,4),0))</f>
        <v>0x0x0</v>
      </c>
    </row>
    <row r="124" spans="1:60" x14ac:dyDescent="0.25">
      <c r="A124" t="s">
        <v>63</v>
      </c>
      <c r="B124" t="s">
        <v>257</v>
      </c>
      <c r="C124" t="s">
        <v>360</v>
      </c>
      <c r="D124">
        <f>IF(H124 &gt; 2020, ((H124-2020)*4)+1610+J124,IF(H124 &gt; 1900, ((H124-1900)*10)+400+J124, ((H124-1730)*2)+J124))+VLOOKUP(L124,'ID Scheme'!$A$2:$B$7,2, FALSE)</f>
        <v>5381</v>
      </c>
      <c r="F124">
        <v>5381</v>
      </c>
      <c r="G124" t="s">
        <v>683</v>
      </c>
      <c r="H124">
        <v>1938</v>
      </c>
      <c r="I124">
        <v>6</v>
      </c>
      <c r="J124">
        <v>1</v>
      </c>
      <c r="K124" t="s">
        <v>522</v>
      </c>
      <c r="L124" t="s">
        <v>14</v>
      </c>
      <c r="M124" t="s">
        <v>501</v>
      </c>
      <c r="N124">
        <v>45</v>
      </c>
      <c r="O124">
        <v>20</v>
      </c>
      <c r="P124">
        <v>14</v>
      </c>
      <c r="Q124">
        <v>5</v>
      </c>
      <c r="R124">
        <v>1</v>
      </c>
      <c r="S124">
        <v>32</v>
      </c>
      <c r="T124">
        <v>20</v>
      </c>
      <c r="U124">
        <v>5</v>
      </c>
      <c r="V124">
        <v>1</v>
      </c>
      <c r="W124" t="s">
        <v>356</v>
      </c>
      <c r="X124">
        <v>-3</v>
      </c>
      <c r="Y124" s="2" t="s">
        <v>459</v>
      </c>
      <c r="Z124" s="2"/>
      <c r="AA124" s="2"/>
      <c r="AB124" s="2"/>
      <c r="AC124" s="2"/>
      <c r="AD124" s="2"/>
      <c r="AE124" s="2"/>
      <c r="AF124" s="2"/>
      <c r="AG124" s="2"/>
      <c r="AH124" s="2"/>
      <c r="AP124">
        <v>4</v>
      </c>
      <c r="AS124" s="2">
        <f>(SQRT(N124*U124)*POWER((MIN(P124,20)+SQRT(MAX(P124-20,0))),0.9)*Data!$B$1)*(1-(V124-1))</f>
        <v>12.0967235181487</v>
      </c>
      <c r="AT124" s="2"/>
      <c r="AU124" s="2">
        <f>((POWER((N124*N124*U124), 0.33)*LOG10(S124)*10*Data!$B$1)*V124)+AT124</f>
        <v>23.682164888763008</v>
      </c>
      <c r="AV124" s="2">
        <f t="shared" si="76"/>
        <v>36.29032258064516</v>
      </c>
      <c r="AW124" s="2">
        <f t="shared" si="71"/>
        <v>0</v>
      </c>
      <c r="AZ124" s="2">
        <v>1</v>
      </c>
      <c r="BA124" s="2">
        <v>1</v>
      </c>
      <c r="BB124" s="2">
        <f t="shared" si="77"/>
        <v>5</v>
      </c>
      <c r="BC124" s="2">
        <f t="shared" si="78"/>
        <v>5</v>
      </c>
      <c r="BD124" s="3"/>
      <c r="BE124" s="3"/>
      <c r="BF124" s="3"/>
      <c r="BG124" s="2" t="str">
        <f>CONCATENATE(
ROUND(BD124*VLOOKUP(L124,'ID Scheme'!$A$2:$E$7,3),0), "x",
ROUND(BE124*VLOOKUP(L124,'ID Scheme'!$A$2:$E$7,5),0), "x",
ROUND(BF124*VLOOKUP(L124,'ID Scheme'!$A$2:$E$7,4),0))</f>
        <v>0x0x0</v>
      </c>
    </row>
    <row r="125" spans="1:60" x14ac:dyDescent="0.25">
      <c r="A125" t="s">
        <v>651</v>
      </c>
      <c r="B125" t="s">
        <v>650</v>
      </c>
      <c r="C125" t="s">
        <v>648</v>
      </c>
      <c r="D125">
        <f>IF(H125 &gt; 2020, ((H125-2020)*4)+1610+J125,IF(H125 &gt; 1900, ((H125-1900)*10)+400+J125, ((H125-1730)*2)+J125))+VLOOKUP(L125,'ID Scheme'!$A$2:$B$7,2, FALSE)</f>
        <v>5551</v>
      </c>
      <c r="F125">
        <v>5551</v>
      </c>
      <c r="G125" t="s">
        <v>683</v>
      </c>
      <c r="H125">
        <v>1955</v>
      </c>
      <c r="I125">
        <v>1</v>
      </c>
      <c r="J125">
        <v>1</v>
      </c>
      <c r="K125" t="s">
        <v>522</v>
      </c>
      <c r="L125" t="s">
        <v>14</v>
      </c>
      <c r="M125" t="s">
        <v>501</v>
      </c>
      <c r="N125">
        <v>20</v>
      </c>
      <c r="O125">
        <v>40</v>
      </c>
      <c r="P125">
        <v>22</v>
      </c>
      <c r="Q125">
        <v>5</v>
      </c>
      <c r="R125">
        <v>2</v>
      </c>
      <c r="S125">
        <v>20</v>
      </c>
      <c r="T125">
        <v>20</v>
      </c>
      <c r="U125">
        <v>10</v>
      </c>
      <c r="V125">
        <v>1</v>
      </c>
      <c r="W125" t="s">
        <v>365</v>
      </c>
      <c r="X125">
        <v>-3</v>
      </c>
      <c r="Y125" s="2" t="s">
        <v>649</v>
      </c>
      <c r="Z125" s="2"/>
      <c r="AA125" s="2"/>
      <c r="AB125" s="2"/>
      <c r="AC125" s="2"/>
      <c r="AD125" s="2"/>
      <c r="AE125" s="2"/>
      <c r="AF125" s="2"/>
      <c r="AG125" s="2"/>
      <c r="AH125" s="2"/>
      <c r="AP125">
        <v>5</v>
      </c>
      <c r="AS125" s="2">
        <f>(SQRT(N125*U125)*POWER((MIN(P125,20)+SQRT(MAX(P125-20,0))),0.9)*Data!$B$1)*(1-(V125-1))</f>
        <v>16.718918388299262</v>
      </c>
      <c r="AT125" s="2"/>
      <c r="AU125" s="2">
        <f>((POWER((N125*N125*U125), 0.33)*LOG10(S125)*10*Data!$B$1)*V125)+AT125</f>
        <v>15.067054875315222</v>
      </c>
      <c r="AV125" s="2">
        <f t="shared" ref="AV125" si="79">N125/1.24</f>
        <v>16.129032258064516</v>
      </c>
      <c r="AW125" s="2">
        <f t="shared" ref="AW125" si="80">AI125/1.24</f>
        <v>0</v>
      </c>
      <c r="AZ125" s="2">
        <v>1</v>
      </c>
      <c r="BA125" s="2">
        <v>1</v>
      </c>
      <c r="BB125" s="2">
        <f t="shared" ref="BB125" si="81">U125/BA125</f>
        <v>10</v>
      </c>
      <c r="BC125" s="2">
        <f t="shared" ref="BC125" si="82">(U125)/MAX(AZ125-1, 1)</f>
        <v>10</v>
      </c>
      <c r="BD125" s="3"/>
      <c r="BE125" s="3"/>
      <c r="BF125" s="3"/>
      <c r="BG125" s="2" t="str">
        <f>CONCATENATE(
ROUND(BD125*VLOOKUP(L125,'ID Scheme'!$A$2:$E$7,3),0), "x",
ROUND(BE125*VLOOKUP(L125,'ID Scheme'!$A$2:$E$7,5),0), "x",
ROUND(BF125*VLOOKUP(L125,'ID Scheme'!$A$2:$E$7,4),0))</f>
        <v>0x0x0</v>
      </c>
    </row>
    <row r="126" spans="1:60" x14ac:dyDescent="0.25">
      <c r="A126" t="s">
        <v>264</v>
      </c>
      <c r="B126" t="s">
        <v>263</v>
      </c>
      <c r="C126" t="s">
        <v>360</v>
      </c>
      <c r="D126">
        <f>IF(H126 &gt; 2020, ((H126-2020)*4)+1610+J126,IF(H126 &gt; 1900, ((H126-1900)*10)+400+J126, ((H126-1730)*2)+J126))+VLOOKUP(L126,'ID Scheme'!$A$2:$B$7,2, FALSE)</f>
        <v>5571</v>
      </c>
      <c r="F126">
        <v>5571</v>
      </c>
      <c r="G126" t="s">
        <v>683</v>
      </c>
      <c r="H126">
        <v>1957</v>
      </c>
      <c r="I126">
        <v>1</v>
      </c>
      <c r="J126">
        <v>1</v>
      </c>
      <c r="K126" t="s">
        <v>522</v>
      </c>
      <c r="L126" t="s">
        <v>14</v>
      </c>
      <c r="M126" t="s">
        <v>501</v>
      </c>
      <c r="N126">
        <v>60</v>
      </c>
      <c r="O126">
        <v>16</v>
      </c>
      <c r="P126">
        <v>12</v>
      </c>
      <c r="Q126">
        <v>5</v>
      </c>
      <c r="R126">
        <v>1</v>
      </c>
      <c r="S126">
        <v>53</v>
      </c>
      <c r="T126">
        <v>20</v>
      </c>
      <c r="U126">
        <v>6</v>
      </c>
      <c r="V126">
        <v>1</v>
      </c>
      <c r="W126" t="s">
        <v>356</v>
      </c>
      <c r="X126">
        <v>-3</v>
      </c>
      <c r="Y126" s="2" t="s">
        <v>458</v>
      </c>
      <c r="Z126" s="2"/>
      <c r="AA126" s="2"/>
      <c r="AB126" s="2"/>
      <c r="AC126" s="2"/>
      <c r="AD126" s="2"/>
      <c r="AE126" s="2"/>
      <c r="AF126" s="2"/>
      <c r="AG126" s="2"/>
      <c r="AH126" s="2"/>
      <c r="AP126">
        <v>5</v>
      </c>
      <c r="AS126" s="2">
        <f>(SQRT(N126*U126)*POWER((MIN(P126,20)+SQRT(MAX(P126-20,0))),0.9)*Data!$B$1)*(1-(V126-1))</f>
        <v>13.319123172944188</v>
      </c>
      <c r="AT126" s="2"/>
      <c r="AU126" s="2">
        <f>((POWER((N126*N126*U126), 0.33)*LOG10(S126)*10*Data!$B$1)*V126)+AT126</f>
        <v>34.83675961560575</v>
      </c>
      <c r="AV126" s="2">
        <f t="shared" si="76"/>
        <v>48.387096774193552</v>
      </c>
      <c r="AW126" s="2">
        <f t="shared" si="71"/>
        <v>0</v>
      </c>
      <c r="AZ126" s="2">
        <v>1</v>
      </c>
      <c r="BA126" s="2">
        <v>1</v>
      </c>
      <c r="BB126" s="2">
        <f t="shared" si="77"/>
        <v>6</v>
      </c>
      <c r="BC126" s="2">
        <f t="shared" si="78"/>
        <v>6</v>
      </c>
      <c r="BD126" s="3"/>
      <c r="BE126" s="3"/>
      <c r="BF126" s="3"/>
      <c r="BG126" s="2" t="str">
        <f>CONCATENATE(
ROUND(BD126*VLOOKUP(L126,'ID Scheme'!$A$2:$E$7,3),0), "x",
ROUND(BE126*VLOOKUP(L126,'ID Scheme'!$A$2:$E$7,5),0), "x",
ROUND(BF126*VLOOKUP(L126,'ID Scheme'!$A$2:$E$7,4),0))</f>
        <v>0x0x0</v>
      </c>
    </row>
    <row r="127" spans="1:60" x14ac:dyDescent="0.25">
      <c r="A127" t="s">
        <v>62</v>
      </c>
      <c r="B127" t="s">
        <v>261</v>
      </c>
      <c r="C127" t="s">
        <v>360</v>
      </c>
      <c r="D127">
        <f>IF(H127 &gt; 2020, ((H127-2020)*4)+1610+J127,IF(H127 &gt; 1900, ((H127-1900)*10)+400+J127, ((H127-1730)*2)+J127))+VLOOKUP(L127,'ID Scheme'!$A$2:$B$7,2, FALSE)</f>
        <v>5601</v>
      </c>
      <c r="F127">
        <v>5601</v>
      </c>
      <c r="G127" t="s">
        <v>683</v>
      </c>
      <c r="H127">
        <v>1960</v>
      </c>
      <c r="I127">
        <v>1</v>
      </c>
      <c r="J127">
        <v>1</v>
      </c>
      <c r="K127" t="s">
        <v>522</v>
      </c>
      <c r="L127" t="s">
        <v>14</v>
      </c>
      <c r="M127" t="s">
        <v>501</v>
      </c>
      <c r="N127">
        <v>60</v>
      </c>
      <c r="O127">
        <v>22</v>
      </c>
      <c r="P127">
        <v>15</v>
      </c>
      <c r="Q127">
        <v>5</v>
      </c>
      <c r="R127">
        <v>1</v>
      </c>
      <c r="S127">
        <v>58</v>
      </c>
      <c r="T127">
        <v>20</v>
      </c>
      <c r="U127">
        <v>8</v>
      </c>
      <c r="V127">
        <v>1.1000000000000001</v>
      </c>
      <c r="W127" t="s">
        <v>356</v>
      </c>
      <c r="X127">
        <v>-3</v>
      </c>
      <c r="Y127" s="2" t="s">
        <v>480</v>
      </c>
      <c r="Z127" s="2"/>
      <c r="AA127" s="2"/>
      <c r="AB127" s="2"/>
      <c r="AC127" s="2"/>
      <c r="AD127" s="2"/>
      <c r="AE127" s="2"/>
      <c r="AF127" s="2"/>
      <c r="AG127" s="2"/>
      <c r="AH127" s="2"/>
      <c r="AP127">
        <v>5</v>
      </c>
      <c r="AS127" s="2">
        <f>(SQRT(N127*U127)*POWER((MIN(P127,20)+SQRT(MAX(P127-20,0))),0.9)*Data!$B$1)*(1-(V127-1))</f>
        <v>16.920240226133288</v>
      </c>
      <c r="AT127" s="2"/>
      <c r="AU127" s="2">
        <f>((POWER((N127*N127*U127), 0.33)*LOG10(S127)*10*Data!$B$1)*V127)+AT127</f>
        <v>43.093443625686163</v>
      </c>
      <c r="AV127" s="2">
        <f t="shared" si="76"/>
        <v>48.387096774193552</v>
      </c>
      <c r="AW127" s="2">
        <f t="shared" si="71"/>
        <v>0</v>
      </c>
      <c r="AZ127" s="2">
        <v>1</v>
      </c>
      <c r="BA127" s="2">
        <v>1</v>
      </c>
      <c r="BB127" s="2">
        <f t="shared" si="77"/>
        <v>8</v>
      </c>
      <c r="BC127" s="2">
        <f t="shared" si="78"/>
        <v>8</v>
      </c>
      <c r="BD127" s="3"/>
      <c r="BE127" s="3"/>
      <c r="BF127" s="3"/>
      <c r="BG127" s="2" t="str">
        <f>CONCATENATE(
ROUND(BD127*VLOOKUP(L127,'ID Scheme'!$A$2:$E$7,3),0), "x",
ROUND(BE127*VLOOKUP(L127,'ID Scheme'!$A$2:$E$7,5),0), "x",
ROUND(BF127*VLOOKUP(L127,'ID Scheme'!$A$2:$E$7,4),0))</f>
        <v>0x0x0</v>
      </c>
    </row>
    <row r="128" spans="1:60" x14ac:dyDescent="0.25">
      <c r="A128" t="s">
        <v>37</v>
      </c>
      <c r="B128" t="s">
        <v>266</v>
      </c>
      <c r="C128" t="s">
        <v>360</v>
      </c>
      <c r="D128">
        <f>IF(H128 &gt; 2020, ((H128-2020)*4)+1610+J128,IF(H128 &gt; 1900, ((H128-1900)*10)+400+J128, ((H128-1730)*2)+J128))+VLOOKUP(L128,'ID Scheme'!$A$2:$B$7,2, FALSE)</f>
        <v>5651</v>
      </c>
      <c r="F128">
        <v>5651</v>
      </c>
      <c r="G128" t="s">
        <v>683</v>
      </c>
      <c r="H128">
        <v>1965</v>
      </c>
      <c r="I128">
        <v>12</v>
      </c>
      <c r="J128">
        <v>1</v>
      </c>
      <c r="K128" t="s">
        <v>522</v>
      </c>
      <c r="L128" t="s">
        <v>14</v>
      </c>
      <c r="M128" t="s">
        <v>501</v>
      </c>
      <c r="N128">
        <v>65</v>
      </c>
      <c r="O128">
        <v>18</v>
      </c>
      <c r="P128">
        <v>14</v>
      </c>
      <c r="Q128">
        <v>5</v>
      </c>
      <c r="R128">
        <v>1.5</v>
      </c>
      <c r="S128">
        <v>90</v>
      </c>
      <c r="T128">
        <v>20</v>
      </c>
      <c r="U128">
        <v>8</v>
      </c>
      <c r="V128">
        <v>1</v>
      </c>
      <c r="W128" t="s">
        <v>356</v>
      </c>
      <c r="X128">
        <v>-3</v>
      </c>
      <c r="Y128" s="2" t="s">
        <v>457</v>
      </c>
      <c r="Z128" s="2"/>
      <c r="AA128" s="2"/>
      <c r="AB128" s="2"/>
      <c r="AC128" s="2"/>
      <c r="AD128" s="2"/>
      <c r="AE128" s="2"/>
      <c r="AF128" s="2"/>
      <c r="AG128" s="2"/>
      <c r="AH128" s="2"/>
      <c r="AP128">
        <v>6</v>
      </c>
      <c r="AS128" s="2">
        <f>(SQRT(N128*U128)*POWER((MIN(P128,20)+SQRT(MAX(P128-20,0))),0.9)*Data!$B$1)*(1-(V128-1))</f>
        <v>18.389849172815911</v>
      </c>
      <c r="AT128" s="2"/>
      <c r="AU128" s="2">
        <f>((POWER((N128*N128*U128), 0.33)*LOG10(S128)*10*Data!$B$1)*V128)+AT128</f>
        <v>45.77013890849053</v>
      </c>
      <c r="AV128" s="2">
        <f t="shared" si="76"/>
        <v>52.41935483870968</v>
      </c>
      <c r="AW128" s="2">
        <f t="shared" si="71"/>
        <v>0</v>
      </c>
      <c r="AZ128" s="2">
        <v>1</v>
      </c>
      <c r="BA128" s="2">
        <v>1</v>
      </c>
      <c r="BB128" s="2">
        <f t="shared" si="77"/>
        <v>8</v>
      </c>
      <c r="BC128" s="2">
        <f t="shared" si="78"/>
        <v>8</v>
      </c>
      <c r="BD128" s="3"/>
      <c r="BE128" s="3"/>
      <c r="BF128" s="3"/>
      <c r="BG128" s="2" t="str">
        <f>CONCATENATE(
ROUND(BD128*VLOOKUP(L128,'ID Scheme'!$A$2:$E$7,3),0), "x",
ROUND(BE128*VLOOKUP(L128,'ID Scheme'!$A$2:$E$7,5),0), "x",
ROUND(BF128*VLOOKUP(L128,'ID Scheme'!$A$2:$E$7,4),0))</f>
        <v>0x0x0</v>
      </c>
    </row>
    <row r="129" spans="1:60" x14ac:dyDescent="0.25">
      <c r="A129" t="s">
        <v>655</v>
      </c>
      <c r="B129" t="s">
        <v>656</v>
      </c>
      <c r="C129" t="s">
        <v>360</v>
      </c>
      <c r="D129">
        <f>IF(H129 &gt; 2020, ((H129-2020)*4)+1610+J129,IF(H129 &gt; 1900, ((H129-1900)*10)+400+J129, ((H129-1730)*2)+J129))+VLOOKUP(L129,'ID Scheme'!$A$2:$B$7,2, FALSE)</f>
        <v>5691</v>
      </c>
      <c r="F129">
        <v>5691</v>
      </c>
      <c r="G129" t="s">
        <v>683</v>
      </c>
      <c r="H129">
        <v>1969</v>
      </c>
      <c r="I129">
        <v>6</v>
      </c>
      <c r="J129">
        <v>1</v>
      </c>
      <c r="K129" t="s">
        <v>522</v>
      </c>
      <c r="L129" t="s">
        <v>14</v>
      </c>
      <c r="M129" t="s">
        <v>501</v>
      </c>
      <c r="N129">
        <v>73</v>
      </c>
      <c r="O129">
        <v>18</v>
      </c>
      <c r="P129">
        <v>15</v>
      </c>
      <c r="Q129">
        <v>5</v>
      </c>
      <c r="R129">
        <v>1.5</v>
      </c>
      <c r="S129">
        <v>70</v>
      </c>
      <c r="T129">
        <v>20</v>
      </c>
      <c r="U129">
        <v>9</v>
      </c>
      <c r="V129">
        <v>1</v>
      </c>
      <c r="W129" t="s">
        <v>289</v>
      </c>
      <c r="X129">
        <v>-3</v>
      </c>
      <c r="Y129" s="2" t="s">
        <v>657</v>
      </c>
      <c r="Z129" s="2"/>
      <c r="AA129" s="2"/>
      <c r="AB129" s="2"/>
      <c r="AC129" s="2"/>
      <c r="AD129" s="2"/>
      <c r="AE129" s="2"/>
      <c r="AF129" s="2"/>
      <c r="AG129" s="2"/>
      <c r="AH129" s="2"/>
      <c r="AP129">
        <v>6</v>
      </c>
      <c r="AS129" s="2">
        <f>(SQRT(N129*U129)*POWER((MIN(P129,20)+SQRT(MAX(P129-20,0))),0.9)*Data!$B$1)*(1-(V129-1))</f>
        <v>21.995107115642153</v>
      </c>
      <c r="AT129" s="2"/>
      <c r="AU129" s="2">
        <f>((POWER((N129*N129*U129), 0.33)*LOG10(S129)*10*Data!$B$1)*V129)+AT129</f>
        <v>48.503583583185062</v>
      </c>
      <c r="AV129" s="2">
        <f t="shared" ref="AV129" si="83">N129/1.24</f>
        <v>58.870967741935488</v>
      </c>
      <c r="AW129" s="2">
        <f t="shared" ref="AW129" si="84">AI129/1.24</f>
        <v>0</v>
      </c>
      <c r="AZ129" s="2">
        <v>1</v>
      </c>
      <c r="BA129" s="2">
        <v>1</v>
      </c>
      <c r="BB129" s="2">
        <f t="shared" ref="BB129" si="85">U129/BA129</f>
        <v>9</v>
      </c>
      <c r="BC129" s="2">
        <f t="shared" ref="BC129" si="86">(U129)/MAX(AZ129-1, 1)</f>
        <v>9</v>
      </c>
      <c r="BD129" s="3"/>
      <c r="BE129" s="3"/>
      <c r="BF129" s="3"/>
      <c r="BG129" s="2" t="str">
        <f>CONCATENATE(
ROUND(BD129*VLOOKUP(L129,'ID Scheme'!$A$2:$E$7,3),0), "x",
ROUND(BE129*VLOOKUP(L129,'ID Scheme'!$A$2:$E$7,5),0), "x",
ROUND(BF129*VLOOKUP(L129,'ID Scheme'!$A$2:$E$7,4),0))</f>
        <v>0x0x0</v>
      </c>
    </row>
    <row r="130" spans="1:60" x14ac:dyDescent="0.25">
      <c r="A130" t="s">
        <v>38</v>
      </c>
      <c r="B130" t="s">
        <v>267</v>
      </c>
      <c r="C130" t="s">
        <v>360</v>
      </c>
      <c r="D130">
        <f>IF(H130 &gt; 2020, ((H130-2020)*4)+1610+J130,IF(H130 &gt; 1900, ((H130-1900)*10)+400+J130, ((H130-1730)*2)+J130))+VLOOKUP(L130,'ID Scheme'!$A$2:$B$7,2, FALSE)</f>
        <v>5861</v>
      </c>
      <c r="F130">
        <v>5861</v>
      </c>
      <c r="G130" t="s">
        <v>683</v>
      </c>
      <c r="H130">
        <v>1986</v>
      </c>
      <c r="I130">
        <v>1</v>
      </c>
      <c r="J130">
        <v>1</v>
      </c>
      <c r="K130" t="s">
        <v>522</v>
      </c>
      <c r="L130" t="s">
        <v>14</v>
      </c>
      <c r="M130" t="s">
        <v>501</v>
      </c>
      <c r="N130">
        <v>80</v>
      </c>
      <c r="O130">
        <v>20</v>
      </c>
      <c r="P130">
        <v>14</v>
      </c>
      <c r="Q130">
        <v>5</v>
      </c>
      <c r="R130">
        <v>1.5</v>
      </c>
      <c r="S130">
        <v>100</v>
      </c>
      <c r="T130">
        <v>20</v>
      </c>
      <c r="U130">
        <v>10</v>
      </c>
      <c r="V130">
        <v>1</v>
      </c>
      <c r="W130" t="s">
        <v>356</v>
      </c>
      <c r="X130">
        <v>-3</v>
      </c>
      <c r="Y130" s="2" t="s">
        <v>449</v>
      </c>
      <c r="Z130" s="2"/>
      <c r="AA130" s="2"/>
      <c r="AB130" s="2"/>
      <c r="AC130" s="2"/>
      <c r="AD130" s="2"/>
      <c r="AE130" s="2"/>
      <c r="AF130" s="2"/>
      <c r="AG130" s="2"/>
      <c r="AH130" s="2"/>
      <c r="AP130">
        <v>6</v>
      </c>
      <c r="AS130" s="2">
        <f>(SQRT(N130*U130)*POWER((MIN(P130,20)+SQRT(MAX(P130-20,0))),0.9)*Data!$B$1)*(1-(V130-1))</f>
        <v>22.809800612857963</v>
      </c>
      <c r="AT130" s="2"/>
      <c r="AU130" s="2">
        <f>((POWER((N130*N130*U130), 0.33)*LOG10(S130)*10*Data!$B$1)*V130)+AT130</f>
        <v>57.826998441289433</v>
      </c>
      <c r="AV130" s="2">
        <f t="shared" si="76"/>
        <v>64.516129032258064</v>
      </c>
      <c r="AW130" s="2">
        <f t="shared" si="71"/>
        <v>0</v>
      </c>
      <c r="AZ130" s="2">
        <v>1</v>
      </c>
      <c r="BA130" s="2">
        <v>1</v>
      </c>
      <c r="BB130" s="2">
        <f t="shared" si="77"/>
        <v>10</v>
      </c>
      <c r="BC130" s="2">
        <f t="shared" si="78"/>
        <v>10</v>
      </c>
      <c r="BD130" s="3"/>
      <c r="BE130" s="3"/>
      <c r="BF130" s="3"/>
      <c r="BG130" s="2" t="str">
        <f>CONCATENATE(
ROUND(BD130*VLOOKUP(L130,'ID Scheme'!$A$2:$E$7,3),0), "x",
ROUND(BE130*VLOOKUP(L130,'ID Scheme'!$A$2:$E$7,5),0), "x",
ROUND(BF130*VLOOKUP(L130,'ID Scheme'!$A$2:$E$7,4),0))</f>
        <v>0x0x0</v>
      </c>
    </row>
    <row r="131" spans="1:60" x14ac:dyDescent="0.25">
      <c r="A131" t="s">
        <v>40</v>
      </c>
      <c r="B131" t="s">
        <v>259</v>
      </c>
      <c r="C131" t="s">
        <v>360</v>
      </c>
      <c r="D131">
        <f>IF(H131 &gt; 2020, ((H131-2020)*4)+1610+J131,IF(H131 &gt; 1900, ((H131-1900)*10)+400+J131, ((H131-1730)*2)+J131))+VLOOKUP(L131,'ID Scheme'!$A$2:$B$7,2, FALSE)</f>
        <v>5862</v>
      </c>
      <c r="F131">
        <v>5862</v>
      </c>
      <c r="G131" t="s">
        <v>683</v>
      </c>
      <c r="H131">
        <v>1986</v>
      </c>
      <c r="I131">
        <v>1</v>
      </c>
      <c r="J131">
        <v>2</v>
      </c>
      <c r="K131" t="s">
        <v>522</v>
      </c>
      <c r="L131" t="s">
        <v>14</v>
      </c>
      <c r="M131" t="s">
        <v>501</v>
      </c>
      <c r="N131">
        <v>65</v>
      </c>
      <c r="O131">
        <v>20</v>
      </c>
      <c r="P131">
        <v>14</v>
      </c>
      <c r="Q131">
        <v>5</v>
      </c>
      <c r="R131">
        <v>1</v>
      </c>
      <c r="S131">
        <v>44</v>
      </c>
      <c r="T131">
        <v>20</v>
      </c>
      <c r="U131">
        <v>4</v>
      </c>
      <c r="V131">
        <v>1</v>
      </c>
      <c r="W131" t="s">
        <v>356</v>
      </c>
      <c r="X131">
        <v>-4</v>
      </c>
      <c r="Y131" s="2" t="s">
        <v>455</v>
      </c>
      <c r="Z131" s="2"/>
      <c r="AA131" s="2"/>
      <c r="AB131" s="2"/>
      <c r="AC131" s="2"/>
      <c r="AD131" s="2"/>
      <c r="AE131" s="2"/>
      <c r="AF131" s="2"/>
      <c r="AG131" s="2"/>
      <c r="AH131" s="2"/>
      <c r="AP131">
        <v>4</v>
      </c>
      <c r="AS131" s="2">
        <f>(SQRT(N131*U131)*POWER((MIN(P131,20)+SQRT(MAX(P131-20,0))),0.9)*Data!$B$1)*(1-(V131-1))</f>
        <v>13.003587055095952</v>
      </c>
      <c r="AT131" s="2"/>
      <c r="AU131" s="2">
        <f>((POWER((N131*N131*U131), 0.33)*LOG10(S131)*10*Data!$B$1)*V131)+AT131</f>
        <v>30.621120528083672</v>
      </c>
      <c r="AV131" s="2">
        <f t="shared" si="76"/>
        <v>52.41935483870968</v>
      </c>
      <c r="AW131" s="2">
        <f t="shared" si="71"/>
        <v>0</v>
      </c>
      <c r="AZ131" s="2">
        <v>1</v>
      </c>
      <c r="BA131" s="2">
        <v>1</v>
      </c>
      <c r="BB131" s="2">
        <f t="shared" si="77"/>
        <v>4</v>
      </c>
      <c r="BC131" s="2">
        <f t="shared" si="78"/>
        <v>4</v>
      </c>
      <c r="BD131" s="3"/>
      <c r="BE131" s="3"/>
      <c r="BF131" s="3"/>
      <c r="BG131" s="2" t="str">
        <f>CONCATENATE(
ROUND(BD131*VLOOKUP(L131,'ID Scheme'!$A$2:$E$7,3),0), "x",
ROUND(BE131*VLOOKUP(L131,'ID Scheme'!$A$2:$E$7,5),0), "x",
ROUND(BF131*VLOOKUP(L131,'ID Scheme'!$A$2:$E$7,4),0))</f>
        <v>0x0x0</v>
      </c>
    </row>
    <row r="132" spans="1:60" x14ac:dyDescent="0.25">
      <c r="A132" t="s">
        <v>42</v>
      </c>
      <c r="B132" t="s">
        <v>213</v>
      </c>
      <c r="C132" t="s">
        <v>360</v>
      </c>
      <c r="D132">
        <f>IF(H132 &gt; 2020, ((H132-2020)*4)+1610+J132,IF(H132 &gt; 1900, ((H132-1900)*10)+400+J132, ((H132-1730)*2)+J132))+VLOOKUP(L132,'ID Scheme'!$A$2:$B$7,2, FALSE)</f>
        <v>6061</v>
      </c>
      <c r="F132">
        <v>6061</v>
      </c>
      <c r="G132" t="s">
        <v>683</v>
      </c>
      <c r="H132">
        <v>2006</v>
      </c>
      <c r="I132">
        <v>1</v>
      </c>
      <c r="J132">
        <v>1</v>
      </c>
      <c r="K132" t="s">
        <v>522</v>
      </c>
      <c r="L132" t="s">
        <v>14</v>
      </c>
      <c r="M132" t="s">
        <v>501</v>
      </c>
      <c r="N132">
        <v>85</v>
      </c>
      <c r="O132">
        <v>-1</v>
      </c>
      <c r="P132">
        <v>15</v>
      </c>
      <c r="Q132">
        <v>5</v>
      </c>
      <c r="R132">
        <v>2</v>
      </c>
      <c r="S132">
        <v>160</v>
      </c>
      <c r="T132">
        <v>20</v>
      </c>
      <c r="U132">
        <v>12</v>
      </c>
      <c r="V132">
        <v>1</v>
      </c>
      <c r="W132" t="s">
        <v>356</v>
      </c>
      <c r="X132">
        <v>-4</v>
      </c>
      <c r="Y132" s="2" t="s">
        <v>454</v>
      </c>
      <c r="Z132" s="2"/>
      <c r="AA132" s="2"/>
      <c r="AB132" s="2"/>
      <c r="AC132" s="2"/>
      <c r="AD132" s="2"/>
      <c r="AE132" s="2"/>
      <c r="AF132" s="2"/>
      <c r="AG132" s="2"/>
      <c r="AH132" s="2"/>
      <c r="AP132">
        <v>7</v>
      </c>
      <c r="AS132" s="2">
        <f>(SQRT(N132*U132)*POWER((MIN(P132,20)+SQRT(MAX(P132-20,0))),0.9)*Data!$B$1)*(1-(V132-1))</f>
        <v>27.405863002169326</v>
      </c>
      <c r="AT132" s="2"/>
      <c r="AU132" s="2">
        <f>((POWER((N132*N132*U132), 0.33)*LOG10(S132)*10*Data!$B$1)*V132)+AT132</f>
        <v>70.44380358335296</v>
      </c>
      <c r="AV132" s="2">
        <f t="shared" si="76"/>
        <v>68.548387096774192</v>
      </c>
      <c r="AW132" s="2">
        <f t="shared" si="71"/>
        <v>0</v>
      </c>
      <c r="AZ132" s="2">
        <v>1</v>
      </c>
      <c r="BA132" s="2">
        <v>1</v>
      </c>
      <c r="BB132" s="2">
        <f t="shared" si="77"/>
        <v>12</v>
      </c>
      <c r="BC132" s="2">
        <f t="shared" si="78"/>
        <v>12</v>
      </c>
      <c r="BD132" s="3"/>
      <c r="BE132" s="3"/>
      <c r="BF132" s="3"/>
      <c r="BG132" s="2" t="str">
        <f>CONCATENATE(
ROUND(BD132*VLOOKUP(L132,'ID Scheme'!$A$2:$E$7,3),0), "x",
ROUND(BE132*VLOOKUP(L132,'ID Scheme'!$A$2:$E$7,5),0), "x",
ROUND(BF132*VLOOKUP(L132,'ID Scheme'!$A$2:$E$7,4),0))</f>
        <v>0x0x0</v>
      </c>
    </row>
    <row r="133" spans="1:60" x14ac:dyDescent="0.25">
      <c r="A133" t="s">
        <v>41</v>
      </c>
      <c r="B133" t="s">
        <v>265</v>
      </c>
      <c r="C133" t="s">
        <v>360</v>
      </c>
      <c r="D133">
        <f>IF(H133 &gt; 2020, ((H133-2020)*4)+1610+J133,IF(H133 &gt; 1900, ((H133-1900)*10)+400+J133, ((H133-1730)*2)+J133))+VLOOKUP(L133,'ID Scheme'!$A$2:$B$7,2, FALSE)</f>
        <v>6121</v>
      </c>
      <c r="F133">
        <v>6121</v>
      </c>
      <c r="G133" t="s">
        <v>683</v>
      </c>
      <c r="H133">
        <v>2012</v>
      </c>
      <c r="I133">
        <v>1</v>
      </c>
      <c r="J133">
        <v>1</v>
      </c>
      <c r="K133" t="s">
        <v>522</v>
      </c>
      <c r="L133" t="s">
        <v>14</v>
      </c>
      <c r="M133" t="s">
        <v>501</v>
      </c>
      <c r="N133">
        <v>92</v>
      </c>
      <c r="O133">
        <v>-1</v>
      </c>
      <c r="P133">
        <v>14</v>
      </c>
      <c r="Q133">
        <v>5</v>
      </c>
      <c r="R133">
        <v>1.5</v>
      </c>
      <c r="S133">
        <v>125</v>
      </c>
      <c r="T133">
        <v>20</v>
      </c>
      <c r="U133">
        <v>10</v>
      </c>
      <c r="V133">
        <v>1</v>
      </c>
      <c r="W133" t="s">
        <v>356</v>
      </c>
      <c r="X133">
        <v>-4</v>
      </c>
      <c r="Y133" s="2" t="s">
        <v>453</v>
      </c>
      <c r="Z133" s="2"/>
      <c r="AA133" s="2"/>
      <c r="AB133" s="2"/>
      <c r="AC133" s="2"/>
      <c r="AD133" s="2"/>
      <c r="AE133" s="2"/>
      <c r="AF133" s="2"/>
      <c r="AG133" s="2"/>
      <c r="AH133" s="2"/>
      <c r="AP133">
        <v>6</v>
      </c>
      <c r="AS133" s="2">
        <f>(SQRT(N133*U133)*POWER((MIN(P133,20)+SQRT(MAX(P133-20,0))),0.9)*Data!$B$1)*(1-(V133-1))</f>
        <v>24.460786058466841</v>
      </c>
      <c r="AT133" s="2"/>
      <c r="AU133" s="2">
        <f>((POWER((N133*N133*U133), 0.33)*LOG10(S133)*10*Data!$B$1)*V133)+AT133</f>
        <v>66.487656097371513</v>
      </c>
      <c r="AV133" s="2">
        <f t="shared" si="76"/>
        <v>74.193548387096769</v>
      </c>
      <c r="AW133" s="2">
        <f t="shared" si="71"/>
        <v>0</v>
      </c>
      <c r="AZ133" s="2">
        <v>1</v>
      </c>
      <c r="BA133" s="2">
        <v>1</v>
      </c>
      <c r="BB133" s="2">
        <f t="shared" si="77"/>
        <v>10</v>
      </c>
      <c r="BC133" s="2">
        <f t="shared" si="78"/>
        <v>10</v>
      </c>
      <c r="BD133" s="3"/>
      <c r="BE133" s="3"/>
      <c r="BF133" s="3"/>
      <c r="BG133" s="2" t="str">
        <f>CONCATENATE(
ROUND(BD133*VLOOKUP(L133,'ID Scheme'!$A$2:$E$7,3),0), "x",
ROUND(BE133*VLOOKUP(L133,'ID Scheme'!$A$2:$E$7,5),0), "x",
ROUND(BF133*VLOOKUP(L133,'ID Scheme'!$A$2:$E$7,4),0))</f>
        <v>0x0x0</v>
      </c>
    </row>
    <row r="134" spans="1:60" x14ac:dyDescent="0.25">
      <c r="A134" t="s">
        <v>49</v>
      </c>
      <c r="B134" t="s">
        <v>258</v>
      </c>
      <c r="C134" t="s">
        <v>361</v>
      </c>
      <c r="D134">
        <f>IF(H134 &gt; 2020, ((H134-2020)*4)+1610+J134,IF(H134 &gt; 1900, ((H134-1900)*10)+400+J134, ((H134-1730)*2)+J134))+VLOOKUP(L134,'ID Scheme'!$A$2:$B$7,2, FALSE)</f>
        <v>7581</v>
      </c>
      <c r="F134">
        <v>7581</v>
      </c>
      <c r="G134" t="s">
        <v>683</v>
      </c>
      <c r="H134">
        <v>1958</v>
      </c>
      <c r="I134">
        <v>1</v>
      </c>
      <c r="J134">
        <v>1</v>
      </c>
      <c r="K134" t="s">
        <v>523</v>
      </c>
      <c r="L134" t="s">
        <v>48</v>
      </c>
      <c r="M134" t="s">
        <v>501</v>
      </c>
      <c r="N134">
        <v>75</v>
      </c>
      <c r="O134">
        <v>50</v>
      </c>
      <c r="P134">
        <v>15</v>
      </c>
      <c r="Q134">
        <v>5</v>
      </c>
      <c r="R134">
        <v>1.6</v>
      </c>
      <c r="S134">
        <v>68</v>
      </c>
      <c r="T134">
        <v>10</v>
      </c>
      <c r="U134">
        <v>4</v>
      </c>
      <c r="V134">
        <v>0.95</v>
      </c>
      <c r="W134" t="s">
        <v>356</v>
      </c>
      <c r="X134">
        <v>-4</v>
      </c>
      <c r="Y134" s="2" t="s">
        <v>452</v>
      </c>
      <c r="Z134" s="2"/>
      <c r="AA134" s="2"/>
      <c r="AB134" s="2"/>
      <c r="AC134" s="2"/>
      <c r="AD134" s="2"/>
      <c r="AE134" s="2"/>
      <c r="AF134" s="2"/>
      <c r="AG134" s="2"/>
      <c r="AH134" s="2">
        <v>230</v>
      </c>
      <c r="AP134">
        <v>4</v>
      </c>
      <c r="AS134" s="2">
        <f>(SQRT(N134*U134)*POWER((MIN(P134,20)+SQRT(MAX(P134-20,0))),0.9)*Data!$B$1)*(1-(V134-1))</f>
        <v>15.606061820936905</v>
      </c>
      <c r="AT134" s="2"/>
      <c r="AU134" s="2">
        <f>((POWER((N134*N134*U134), 0.33)*LOG10(S134)*10*Data!$B$1)*V134)+AT134</f>
        <v>35.649315485846252</v>
      </c>
      <c r="AV134" s="2">
        <f t="shared" si="76"/>
        <v>60.483870967741936</v>
      </c>
      <c r="AW134" s="2">
        <f t="shared" si="71"/>
        <v>0</v>
      </c>
      <c r="AZ134" s="2">
        <v>1</v>
      </c>
      <c r="BA134" s="2">
        <v>1</v>
      </c>
      <c r="BB134" s="2">
        <f t="shared" si="77"/>
        <v>4</v>
      </c>
      <c r="BC134" s="2">
        <f t="shared" si="78"/>
        <v>4</v>
      </c>
      <c r="BD134" s="3"/>
      <c r="BE134" s="3"/>
      <c r="BF134" s="3"/>
      <c r="BG134" s="2" t="str">
        <f>CONCATENATE(
ROUND(BD134*VLOOKUP(L134,'ID Scheme'!$A$2:$E$7,3),0), "x",
ROUND(BE134*VLOOKUP(L134,'ID Scheme'!$A$2:$E$7,5),0), "x",
ROUND(BF134*VLOOKUP(L134,'ID Scheme'!$A$2:$E$7,4),0))</f>
        <v>0x0x0</v>
      </c>
      <c r="BH134" t="s">
        <v>55</v>
      </c>
    </row>
    <row r="135" spans="1:60" x14ac:dyDescent="0.25">
      <c r="A135" t="s">
        <v>71</v>
      </c>
      <c r="B135" t="s">
        <v>209</v>
      </c>
      <c r="C135" t="s">
        <v>285</v>
      </c>
      <c r="D135">
        <f>IF(H135 &gt; 2020, ((H135-2020)*4)+1610+J135,IF(H135 &gt; 1900, ((H135-1900)*10)+400+J135, ((H135-1730)*2)+J135))+VLOOKUP(L135,'ID Scheme'!$A$2:$B$7,2, FALSE)</f>
        <v>7741</v>
      </c>
      <c r="F135">
        <v>7741</v>
      </c>
      <c r="G135" t="s">
        <v>683</v>
      </c>
      <c r="H135">
        <v>1974</v>
      </c>
      <c r="I135">
        <v>6</v>
      </c>
      <c r="J135">
        <v>1</v>
      </c>
      <c r="K135" t="s">
        <v>523</v>
      </c>
      <c r="L135" t="s">
        <v>48</v>
      </c>
      <c r="M135" t="s">
        <v>501</v>
      </c>
      <c r="N135">
        <v>63</v>
      </c>
      <c r="O135">
        <v>22</v>
      </c>
      <c r="P135">
        <v>12</v>
      </c>
      <c r="Q135">
        <v>5</v>
      </c>
      <c r="R135">
        <v>1.5</v>
      </c>
      <c r="S135">
        <v>55</v>
      </c>
      <c r="T135">
        <v>20</v>
      </c>
      <c r="U135">
        <v>8</v>
      </c>
      <c r="V135">
        <v>1</v>
      </c>
      <c r="W135" t="s">
        <v>356</v>
      </c>
      <c r="X135">
        <v>-4</v>
      </c>
      <c r="Y135" s="2" t="s">
        <v>451</v>
      </c>
      <c r="Z135" s="2"/>
      <c r="AA135" s="2"/>
      <c r="AB135" s="2"/>
      <c r="AC135" s="2"/>
      <c r="AD135" s="2"/>
      <c r="AE135" s="2"/>
      <c r="AF135" s="2"/>
      <c r="AG135" s="2"/>
      <c r="AH135" s="2"/>
      <c r="AP135">
        <v>5</v>
      </c>
      <c r="AS135" s="2">
        <f>(SQRT(N135*U135)*POWER((MIN(P135,20)+SQRT(MAX(P135-20,0))),0.9)*Data!$B$1)*(1-(V135-1))</f>
        <v>15.759399066413742</v>
      </c>
      <c r="AT135" s="2"/>
      <c r="AU135" s="2">
        <f>((POWER((N135*N135*U135), 0.33)*LOG10(S135)*10*Data!$B$1)*V135)+AT135</f>
        <v>39.928728984013709</v>
      </c>
      <c r="AV135" s="2">
        <f t="shared" si="76"/>
        <v>50.806451612903224</v>
      </c>
      <c r="AW135" s="2">
        <f t="shared" si="71"/>
        <v>0</v>
      </c>
      <c r="AZ135" s="2">
        <v>1</v>
      </c>
      <c r="BA135" s="2">
        <v>1</v>
      </c>
      <c r="BB135" s="2">
        <f t="shared" si="77"/>
        <v>8</v>
      </c>
      <c r="BC135" s="2">
        <f t="shared" si="78"/>
        <v>8</v>
      </c>
      <c r="BF135" s="3"/>
      <c r="BG135" s="2" t="str">
        <f>CONCATENATE(
ROUND(BD135*VLOOKUP(L135,'ID Scheme'!$A$2:$E$7,3),0), "x",
ROUND(BE135*VLOOKUP(L135,'ID Scheme'!$A$2:$E$7,5),0), "x",
ROUND(BF135*VLOOKUP(L135,'ID Scheme'!$A$2:$E$7,4),0))</f>
        <v>0x0x0</v>
      </c>
    </row>
    <row r="136" spans="1:60" x14ac:dyDescent="0.25">
      <c r="A136" t="s">
        <v>51</v>
      </c>
      <c r="B136" t="s">
        <v>201</v>
      </c>
      <c r="C136" t="s">
        <v>285</v>
      </c>
      <c r="D136">
        <f>IF(H136 &gt; 2020, ((H136-2020)*4)+1610+J136,IF(H136 &gt; 1900, ((H136-1900)*10)+400+J136, ((H136-1730)*2)+J136))+VLOOKUP(L136,'ID Scheme'!$A$2:$B$7,2, FALSE)</f>
        <v>7761</v>
      </c>
      <c r="F136">
        <v>7761</v>
      </c>
      <c r="G136" t="s">
        <v>683</v>
      </c>
      <c r="H136">
        <v>1976</v>
      </c>
      <c r="I136">
        <v>9</v>
      </c>
      <c r="J136">
        <v>1</v>
      </c>
      <c r="K136" t="s">
        <v>523</v>
      </c>
      <c r="L136" t="s">
        <v>48</v>
      </c>
      <c r="M136" t="s">
        <v>501</v>
      </c>
      <c r="N136">
        <v>90</v>
      </c>
      <c r="O136">
        <v>18</v>
      </c>
      <c r="P136">
        <v>10</v>
      </c>
      <c r="Q136">
        <v>4</v>
      </c>
      <c r="R136">
        <v>1.2</v>
      </c>
      <c r="S136">
        <v>73</v>
      </c>
      <c r="T136">
        <v>20</v>
      </c>
      <c r="U136">
        <v>4</v>
      </c>
      <c r="V136">
        <v>1</v>
      </c>
      <c r="W136" t="s">
        <v>357</v>
      </c>
      <c r="X136">
        <v>-4</v>
      </c>
      <c r="Y136" s="2" t="s">
        <v>450</v>
      </c>
      <c r="Z136" s="2"/>
      <c r="AA136" s="2"/>
      <c r="AB136" s="2"/>
      <c r="AC136" s="2"/>
      <c r="AD136" s="2"/>
      <c r="AE136" s="2"/>
      <c r="AF136" s="2"/>
      <c r="AG136" s="2"/>
      <c r="AH136" s="2">
        <v>275</v>
      </c>
      <c r="AP136">
        <v>5</v>
      </c>
      <c r="AS136" s="2">
        <f>(SQRT(N136*U136)*POWER((MIN(P136,20)+SQRT(MAX(P136-20,0))),0.9)*Data!$B$1)*(1-(V136-1))</f>
        <v>11.303488941793114</v>
      </c>
      <c r="AT136" s="2"/>
      <c r="AU136" s="2">
        <f>((POWER((N136*N136*U136), 0.33)*LOG10(S136)*10*Data!$B$1)*V136)+AT136</f>
        <v>43.035735424114051</v>
      </c>
      <c r="AV136" s="2">
        <f t="shared" si="76"/>
        <v>72.58064516129032</v>
      </c>
      <c r="AW136" s="2">
        <f t="shared" si="71"/>
        <v>0</v>
      </c>
      <c r="AZ136" s="2">
        <v>1</v>
      </c>
      <c r="BA136" s="2">
        <v>1</v>
      </c>
      <c r="BB136" s="2">
        <f t="shared" si="77"/>
        <v>4</v>
      </c>
      <c r="BC136" s="2">
        <f t="shared" si="78"/>
        <v>4</v>
      </c>
      <c r="BD136" s="3">
        <v>4.4000000000000004</v>
      </c>
      <c r="BE136" s="3">
        <v>1.8</v>
      </c>
      <c r="BF136" s="3">
        <v>1.5</v>
      </c>
      <c r="BG136" s="2" t="str">
        <f>CONCATENATE(
ROUND(BD136*VLOOKUP(L136,'ID Scheme'!$A$2:$E$7,3),0), "x",
ROUND(BE136*VLOOKUP(L136,'ID Scheme'!$A$2:$E$7,5),0), "x",
ROUND(BF136*VLOOKUP(L136,'ID Scheme'!$A$2:$E$7,4),0))</f>
        <v>41x26x15</v>
      </c>
    </row>
    <row r="137" spans="1:60" x14ac:dyDescent="0.25">
      <c r="A137" t="s">
        <v>99</v>
      </c>
      <c r="B137" t="s">
        <v>268</v>
      </c>
      <c r="C137" t="s">
        <v>285</v>
      </c>
      <c r="D137">
        <f>IF(H137 &gt; 2020, ((H137-2020)*4)+1610+J137,IF(H137 &gt; 1900, ((H137-1900)*10)+400+J137, ((H137-1730)*2)+J137))+VLOOKUP(L137,'ID Scheme'!$A$2:$B$7,2, FALSE)</f>
        <v>7861</v>
      </c>
      <c r="F137">
        <v>7861</v>
      </c>
      <c r="G137" t="s">
        <v>683</v>
      </c>
      <c r="H137">
        <v>1986</v>
      </c>
      <c r="I137">
        <v>2</v>
      </c>
      <c r="J137">
        <v>1</v>
      </c>
      <c r="K137" t="s">
        <v>523</v>
      </c>
      <c r="L137" t="s">
        <v>48</v>
      </c>
      <c r="M137" t="s">
        <v>501</v>
      </c>
      <c r="N137">
        <v>80</v>
      </c>
      <c r="O137">
        <v>26</v>
      </c>
      <c r="P137">
        <v>14</v>
      </c>
      <c r="Q137">
        <v>5</v>
      </c>
      <c r="R137">
        <v>1.5</v>
      </c>
      <c r="S137">
        <v>100</v>
      </c>
      <c r="T137">
        <v>20</v>
      </c>
      <c r="U137">
        <v>9</v>
      </c>
      <c r="V137">
        <v>1</v>
      </c>
      <c r="W137" t="s">
        <v>356</v>
      </c>
      <c r="X137">
        <v>-4</v>
      </c>
      <c r="Y137" s="2" t="s">
        <v>456</v>
      </c>
      <c r="Z137" s="2"/>
      <c r="AA137" s="2"/>
      <c r="AB137" s="2"/>
      <c r="AC137" s="2"/>
      <c r="AD137" s="2"/>
      <c r="AE137" s="2"/>
      <c r="AF137" s="2"/>
      <c r="AG137" s="2"/>
      <c r="AH137" s="2"/>
      <c r="AP137">
        <v>6</v>
      </c>
      <c r="AS137" s="2">
        <f>(SQRT(N137*U137)*POWER((MIN(P137,20)+SQRT(MAX(P137-20,0))),0.9)*Data!$B$1)*(1-(V137-1))</f>
        <v>21.639276873280725</v>
      </c>
      <c r="AT137" s="2"/>
      <c r="AU137" s="2">
        <f>((POWER((N137*N137*U137), 0.33)*LOG10(S137)*10*Data!$B$1)*V137)+AT137</f>
        <v>55.850964649456358</v>
      </c>
      <c r="AV137" s="2">
        <f t="shared" si="76"/>
        <v>64.516129032258064</v>
      </c>
      <c r="AW137" s="2">
        <f t="shared" si="71"/>
        <v>0</v>
      </c>
      <c r="AZ137" s="2">
        <v>1</v>
      </c>
      <c r="BA137" s="2">
        <v>1</v>
      </c>
      <c r="BB137" s="2">
        <f t="shared" si="77"/>
        <v>9</v>
      </c>
      <c r="BC137" s="2">
        <f t="shared" si="78"/>
        <v>9</v>
      </c>
      <c r="BF137" s="3"/>
      <c r="BG137" s="2" t="str">
        <f>CONCATENATE(
ROUND(BD137*VLOOKUP(L137,'ID Scheme'!$A$2:$E$7,3),0), "x",
ROUND(BE137*VLOOKUP(L137,'ID Scheme'!$A$2:$E$7,5),0), "x",
ROUND(BF137*VLOOKUP(L137,'ID Scheme'!$A$2:$E$7,4),0))</f>
        <v>0x0x0</v>
      </c>
    </row>
    <row r="138" spans="1:60" x14ac:dyDescent="0.25">
      <c r="A138" t="s">
        <v>52</v>
      </c>
      <c r="B138" t="s">
        <v>221</v>
      </c>
      <c r="C138" t="s">
        <v>285</v>
      </c>
      <c r="D138">
        <f>IF(H138 &gt; 2020, ((H138-2020)*4)+1610+J138,IF(H138 &gt; 1900, ((H138-1900)*10)+400+J138, ((H138-1730)*2)+J138))+VLOOKUP(L138,'ID Scheme'!$A$2:$B$7,2, FALSE)</f>
        <v>7941</v>
      </c>
      <c r="F138">
        <v>7941</v>
      </c>
      <c r="G138" t="s">
        <v>683</v>
      </c>
      <c r="H138">
        <v>1994</v>
      </c>
      <c r="I138">
        <v>4</v>
      </c>
      <c r="J138">
        <v>1</v>
      </c>
      <c r="K138" t="s">
        <v>523</v>
      </c>
      <c r="L138" t="s">
        <v>48</v>
      </c>
      <c r="M138" t="s">
        <v>501</v>
      </c>
      <c r="N138">
        <v>120</v>
      </c>
      <c r="O138">
        <v>15</v>
      </c>
      <c r="P138">
        <v>12</v>
      </c>
      <c r="Q138">
        <v>4</v>
      </c>
      <c r="R138">
        <v>1.7</v>
      </c>
      <c r="S138">
        <v>168</v>
      </c>
      <c r="T138">
        <v>20</v>
      </c>
      <c r="U138">
        <v>4</v>
      </c>
      <c r="V138">
        <v>1.05</v>
      </c>
      <c r="W138" t="s">
        <v>357</v>
      </c>
      <c r="X138">
        <v>-4</v>
      </c>
      <c r="Y138" s="2" t="s">
        <v>448</v>
      </c>
      <c r="Z138" s="2"/>
      <c r="AA138" s="2"/>
      <c r="AB138" s="2"/>
      <c r="AC138" s="2"/>
      <c r="AD138" s="2"/>
      <c r="AE138" s="2"/>
      <c r="AF138" s="2"/>
      <c r="AG138" s="2"/>
      <c r="AH138" s="2">
        <v>275</v>
      </c>
      <c r="AP138">
        <v>5</v>
      </c>
      <c r="AS138" s="2">
        <f>(SQRT(N138*U138)*POWER((MIN(P138,20)+SQRT(MAX(P138-20,0))),0.9)*Data!$B$1)*(1-(V138-1))</f>
        <v>14.610618763611306</v>
      </c>
      <c r="AT138" s="2"/>
      <c r="AU138" s="2">
        <f>((POWER((N138*N138*U138), 0.33)*LOG10(S138)*10*Data!$B$1)*V138)+AT138</f>
        <v>65.249976764583593</v>
      </c>
      <c r="AV138" s="2">
        <f t="shared" si="76"/>
        <v>96.774193548387103</v>
      </c>
      <c r="AW138" s="2">
        <f t="shared" si="71"/>
        <v>0</v>
      </c>
      <c r="AZ138" s="2">
        <v>1</v>
      </c>
      <c r="BA138" s="2">
        <v>1</v>
      </c>
      <c r="BB138" s="2">
        <f t="shared" si="77"/>
        <v>4</v>
      </c>
      <c r="BC138" s="2">
        <f t="shared" si="78"/>
        <v>4</v>
      </c>
      <c r="BD138" s="3">
        <v>5</v>
      </c>
      <c r="BE138" s="3">
        <v>2</v>
      </c>
      <c r="BF138" s="3">
        <v>1.5</v>
      </c>
      <c r="BG138" s="2" t="str">
        <f>CONCATENATE(
ROUND(BD138*VLOOKUP(L138,'ID Scheme'!$A$2:$E$7,3),0), "x",
ROUND(BE138*VLOOKUP(L138,'ID Scheme'!$A$2:$E$7,5),0), "x",
ROUND(BF138*VLOOKUP(L138,'ID Scheme'!$A$2:$E$7,4),0))</f>
        <v>47x29x15</v>
      </c>
    </row>
    <row r="139" spans="1:60" x14ac:dyDescent="0.25">
      <c r="A139" t="s">
        <v>50</v>
      </c>
      <c r="B139" t="s">
        <v>211</v>
      </c>
      <c r="C139" t="s">
        <v>361</v>
      </c>
      <c r="D139">
        <f>IF(H139 &gt; 2020, ((H139-2020)*4)+1610+J139,IF(H139 &gt; 1900, ((H139-1900)*10)+400+J139, ((H139-1730)*2)+J139))+VLOOKUP(L139,'ID Scheme'!$A$2:$B$7,2, FALSE)</f>
        <v>7971</v>
      </c>
      <c r="F139">
        <v>7971</v>
      </c>
      <c r="G139" t="s">
        <v>683</v>
      </c>
      <c r="H139">
        <v>1997</v>
      </c>
      <c r="I139">
        <v>1</v>
      </c>
      <c r="J139">
        <v>1</v>
      </c>
      <c r="K139" t="s">
        <v>523</v>
      </c>
      <c r="L139" t="s">
        <v>48</v>
      </c>
      <c r="M139" t="s">
        <v>501</v>
      </c>
      <c r="N139">
        <v>81</v>
      </c>
      <c r="O139">
        <v>-1</v>
      </c>
      <c r="P139">
        <v>15</v>
      </c>
      <c r="Q139">
        <v>5</v>
      </c>
      <c r="R139">
        <v>1.8</v>
      </c>
      <c r="S139">
        <v>88</v>
      </c>
      <c r="T139">
        <v>12</v>
      </c>
      <c r="U139">
        <v>5</v>
      </c>
      <c r="V139">
        <v>0.95</v>
      </c>
      <c r="W139" t="s">
        <v>356</v>
      </c>
      <c r="X139">
        <v>-4</v>
      </c>
      <c r="Y139" s="2" t="s">
        <v>447</v>
      </c>
      <c r="Z139" s="2"/>
      <c r="AA139" s="2"/>
      <c r="AB139" s="2"/>
      <c r="AC139" s="2"/>
      <c r="AD139" s="2"/>
      <c r="AE139" s="2"/>
      <c r="AF139" s="2"/>
      <c r="AG139" s="2"/>
      <c r="AH139" s="2">
        <v>230</v>
      </c>
      <c r="AP139">
        <v>4</v>
      </c>
      <c r="AS139" s="2">
        <f>(SQRT(N139*U139)*POWER((MIN(P139,20)+SQRT(MAX(P139-20,0))),0.9)*Data!$B$1)*(1-(V139-1))</f>
        <v>18.132605259711607</v>
      </c>
      <c r="AT139" s="2"/>
      <c r="AU139" s="2">
        <f>((POWER((N139*N139*U139), 0.33)*LOG10(S139)*10*Data!$B$1)*V139)+AT139</f>
        <v>42.839970188987628</v>
      </c>
      <c r="AV139" s="2">
        <f t="shared" si="76"/>
        <v>65.322580645161295</v>
      </c>
      <c r="AW139" s="2">
        <f t="shared" si="71"/>
        <v>0</v>
      </c>
      <c r="AZ139" s="2">
        <v>1</v>
      </c>
      <c r="BA139" s="2">
        <v>1</v>
      </c>
      <c r="BB139" s="2">
        <f t="shared" si="77"/>
        <v>5</v>
      </c>
      <c r="BC139" s="2">
        <f t="shared" si="78"/>
        <v>5</v>
      </c>
      <c r="BD139" s="3"/>
      <c r="BE139" s="3"/>
      <c r="BF139" s="3"/>
      <c r="BG139" s="2" t="str">
        <f>CONCATENATE(
ROUND(BD139*VLOOKUP(L139,'ID Scheme'!$A$2:$E$7,3),0), "x",
ROUND(BE139*VLOOKUP(L139,'ID Scheme'!$A$2:$E$7,5),0), "x",
ROUND(BF139*VLOOKUP(L139,'ID Scheme'!$A$2:$E$7,4),0))</f>
        <v>0x0x0</v>
      </c>
      <c r="BH139" t="s">
        <v>56</v>
      </c>
    </row>
    <row r="140" spans="1:60" x14ac:dyDescent="0.25">
      <c r="A140" t="s">
        <v>54</v>
      </c>
      <c r="B140" t="s">
        <v>270</v>
      </c>
      <c r="C140" t="s">
        <v>285</v>
      </c>
      <c r="D140">
        <f>IF(H140 &gt; 2020, ((H140-2020)*4)+1610+J140,IF(H140 &gt; 1900, ((H140-1900)*10)+400+J140, ((H140-1730)*2)+J140))+VLOOKUP(L140,'ID Scheme'!$A$2:$B$7,2, FALSE)</f>
        <v>8041</v>
      </c>
      <c r="F140">
        <v>8041</v>
      </c>
      <c r="G140" t="s">
        <v>683</v>
      </c>
      <c r="H140">
        <v>2004</v>
      </c>
      <c r="I140">
        <v>2</v>
      </c>
      <c r="J140">
        <v>1</v>
      </c>
      <c r="K140" t="s">
        <v>524</v>
      </c>
      <c r="L140" t="s">
        <v>48</v>
      </c>
      <c r="M140" t="s">
        <v>501</v>
      </c>
      <c r="N140">
        <v>145</v>
      </c>
      <c r="O140">
        <v>10</v>
      </c>
      <c r="P140">
        <v>14</v>
      </c>
      <c r="Q140">
        <v>4</v>
      </c>
      <c r="R140">
        <v>1.5</v>
      </c>
      <c r="S140">
        <v>217</v>
      </c>
      <c r="T140">
        <v>16</v>
      </c>
      <c r="U140">
        <v>4</v>
      </c>
      <c r="V140">
        <v>1</v>
      </c>
      <c r="W140" t="s">
        <v>358</v>
      </c>
      <c r="X140">
        <v>-4</v>
      </c>
      <c r="Y140" s="2" t="s">
        <v>445</v>
      </c>
      <c r="Z140" s="2"/>
      <c r="AA140" s="2"/>
      <c r="AB140" s="2"/>
      <c r="AC140" s="2"/>
      <c r="AD140" s="2"/>
      <c r="AE140" s="2"/>
      <c r="AF140" s="2"/>
      <c r="AG140" s="2"/>
      <c r="AH140" s="2">
        <v>295</v>
      </c>
      <c r="AP140">
        <v>5</v>
      </c>
      <c r="AS140" s="2">
        <f>(SQRT(N140*U140)*POWER((MIN(P140,20)+SQRT(MAX(P140-20,0))),0.9)*Data!$B$1)*(1-(V140-1))</f>
        <v>19.421845378305154</v>
      </c>
      <c r="AT140" s="2"/>
      <c r="AU140" s="2">
        <f>((POWER((N140*N140*U140), 0.33)*LOG10(S140)*10*Data!$B$1)*V140)+AT140</f>
        <v>73.926857052811044</v>
      </c>
      <c r="AV140" s="2">
        <f t="shared" si="76"/>
        <v>116.93548387096774</v>
      </c>
      <c r="AW140" s="2">
        <f t="shared" si="71"/>
        <v>0</v>
      </c>
      <c r="AZ140" s="2">
        <v>1</v>
      </c>
      <c r="BA140" s="2">
        <v>1</v>
      </c>
      <c r="BB140" s="2">
        <f t="shared" si="77"/>
        <v>4</v>
      </c>
      <c r="BC140" s="2">
        <f t="shared" si="78"/>
        <v>4</v>
      </c>
      <c r="BD140" s="3"/>
      <c r="BE140" s="3"/>
      <c r="BF140" s="3"/>
      <c r="BG140" s="2" t="str">
        <f>CONCATENATE(
ROUND(BD140*VLOOKUP(L140,'ID Scheme'!$A$2:$E$7,3),0), "x",
ROUND(BE140*VLOOKUP(L140,'ID Scheme'!$A$2:$E$7,5),0), "x",
ROUND(BF140*VLOOKUP(L140,'ID Scheme'!$A$2:$E$7,4),0))</f>
        <v>0x0x0</v>
      </c>
    </row>
    <row r="141" spans="1:60" x14ac:dyDescent="0.25">
      <c r="A141" t="s">
        <v>53</v>
      </c>
      <c r="B141" t="s">
        <v>220</v>
      </c>
      <c r="C141" t="s">
        <v>285</v>
      </c>
      <c r="D141">
        <f>IF(H141 &gt; 2020, ((H141-2020)*4)+1610+J141,IF(H141 &gt; 1900, ((H141-1900)*10)+400+J141, ((H141-1730)*2)+J141))+VLOOKUP(L141,'ID Scheme'!$A$2:$B$7,2, FALSE)</f>
        <v>8091</v>
      </c>
      <c r="F141">
        <v>8091</v>
      </c>
      <c r="G141" t="s">
        <v>683</v>
      </c>
      <c r="H141">
        <v>2009</v>
      </c>
      <c r="I141">
        <v>1</v>
      </c>
      <c r="J141">
        <v>1</v>
      </c>
      <c r="K141" t="s">
        <v>523</v>
      </c>
      <c r="L141" t="s">
        <v>48</v>
      </c>
      <c r="M141" t="s">
        <v>501</v>
      </c>
      <c r="N141">
        <v>105</v>
      </c>
      <c r="O141">
        <v>-1</v>
      </c>
      <c r="P141">
        <v>12</v>
      </c>
      <c r="Q141">
        <v>4</v>
      </c>
      <c r="R141">
        <v>1.5</v>
      </c>
      <c r="S141">
        <v>134</v>
      </c>
      <c r="T141">
        <v>20</v>
      </c>
      <c r="U141">
        <v>4</v>
      </c>
      <c r="V141">
        <v>0.85</v>
      </c>
      <c r="W141" t="s">
        <v>357</v>
      </c>
      <c r="X141">
        <v>-4</v>
      </c>
      <c r="Y141" s="2" t="s">
        <v>444</v>
      </c>
      <c r="Z141" s="2"/>
      <c r="AA141" s="2"/>
      <c r="AB141" s="2"/>
      <c r="AC141" s="2"/>
      <c r="AD141" s="2"/>
      <c r="AE141" s="2"/>
      <c r="AF141" s="2"/>
      <c r="AG141" s="2"/>
      <c r="AH141" s="2">
        <v>275</v>
      </c>
      <c r="AP141">
        <v>5</v>
      </c>
      <c r="AS141" s="2">
        <f>(SQRT(N141*U141)*POWER((MIN(P141,20)+SQRT(MAX(P141-20,0))),0.9)*Data!$B$1)*(1-(V141-1))</f>
        <v>16.544241859351267</v>
      </c>
      <c r="AT141" s="2"/>
      <c r="AU141" s="2">
        <f>((POWER((N141*N141*U141), 0.33)*LOG10(S141)*10*Data!$B$1)*V141)+AT141</f>
        <v>46.231055712636888</v>
      </c>
      <c r="AV141" s="2">
        <f t="shared" si="76"/>
        <v>84.677419354838705</v>
      </c>
      <c r="AW141" s="2">
        <f t="shared" si="71"/>
        <v>0</v>
      </c>
      <c r="AZ141" s="2">
        <v>1</v>
      </c>
      <c r="BA141" s="2">
        <v>1</v>
      </c>
      <c r="BB141" s="2">
        <f t="shared" si="77"/>
        <v>4</v>
      </c>
      <c r="BC141" s="2">
        <f t="shared" si="78"/>
        <v>4</v>
      </c>
      <c r="BD141" s="3"/>
      <c r="BE141" s="3"/>
      <c r="BF141" s="3"/>
      <c r="BG141" s="2" t="str">
        <f>CONCATENATE(
ROUND(BD141*VLOOKUP(L141,'ID Scheme'!$A$2:$E$7,3),0), "x",
ROUND(BE141*VLOOKUP(L141,'ID Scheme'!$A$2:$E$7,5),0), "x",
ROUND(BF141*VLOOKUP(L141,'ID Scheme'!$A$2:$E$7,4),0))</f>
        <v>0x0x0</v>
      </c>
    </row>
    <row r="142" spans="1:60" x14ac:dyDescent="0.25">
      <c r="A142" t="s">
        <v>100</v>
      </c>
      <c r="B142" t="s">
        <v>269</v>
      </c>
      <c r="C142" t="s">
        <v>285</v>
      </c>
      <c r="D142">
        <f>IF(H142 &gt; 2020, ((H142-2020)*4)+1610+J142,IF(H142 &gt; 1900, ((H142-1900)*10)+400+J142, ((H142-1730)*2)+J142))+VLOOKUP(L142,'ID Scheme'!$A$2:$B$7,2, FALSE)</f>
        <v>8141</v>
      </c>
      <c r="F142">
        <v>8141</v>
      </c>
      <c r="G142" t="s">
        <v>683</v>
      </c>
      <c r="H142">
        <v>2014</v>
      </c>
      <c r="I142">
        <v>1</v>
      </c>
      <c r="J142">
        <v>1</v>
      </c>
      <c r="K142" t="s">
        <v>523</v>
      </c>
      <c r="L142" t="s">
        <v>48</v>
      </c>
      <c r="M142" t="s">
        <v>501</v>
      </c>
      <c r="N142">
        <v>95</v>
      </c>
      <c r="O142">
        <v>-1</v>
      </c>
      <c r="P142">
        <v>12</v>
      </c>
      <c r="Q142">
        <v>5</v>
      </c>
      <c r="R142">
        <v>1.5</v>
      </c>
      <c r="S142">
        <v>120</v>
      </c>
      <c r="T142">
        <v>20</v>
      </c>
      <c r="U142">
        <v>9</v>
      </c>
      <c r="V142">
        <v>1</v>
      </c>
      <c r="W142" t="s">
        <v>357</v>
      </c>
      <c r="X142">
        <v>-4</v>
      </c>
      <c r="Y142" s="2" t="s">
        <v>443</v>
      </c>
      <c r="Z142" s="2"/>
      <c r="AA142" s="2"/>
      <c r="AB142" s="2"/>
      <c r="AC142" s="2"/>
      <c r="AD142" s="2"/>
      <c r="AE142" s="2"/>
      <c r="AF142" s="2"/>
      <c r="AG142" s="2"/>
      <c r="AH142" s="2"/>
      <c r="AP142">
        <v>6</v>
      </c>
      <c r="AS142" s="2">
        <f>(SQRT(N142*U142)*POWER((MIN(P142,20)+SQRT(MAX(P142-20,0))),0.9)*Data!$B$1)*(1-(V142-1))</f>
        <v>20.52614734864143</v>
      </c>
      <c r="AT142" s="2"/>
      <c r="AU142" s="2">
        <f>((POWER((N142*N142*U142), 0.33)*LOG10(S142)*10*Data!$B$1)*V142)+AT142</f>
        <v>65.035610325244349</v>
      </c>
      <c r="AV142" s="2">
        <f t="shared" si="76"/>
        <v>76.612903225806448</v>
      </c>
      <c r="AW142" s="2">
        <f t="shared" si="71"/>
        <v>0</v>
      </c>
      <c r="AZ142" s="2">
        <v>1</v>
      </c>
      <c r="BA142" s="2">
        <v>1</v>
      </c>
      <c r="BB142" s="2">
        <f t="shared" si="77"/>
        <v>9</v>
      </c>
      <c r="BC142" s="2">
        <f t="shared" si="78"/>
        <v>9</v>
      </c>
      <c r="BF142" s="3"/>
      <c r="BG142" s="2" t="str">
        <f>CONCATENATE(
ROUND(BD142*VLOOKUP(L142,'ID Scheme'!$A$2:$E$7,3),0), "x",
ROUND(BE142*VLOOKUP(L142,'ID Scheme'!$A$2:$E$7,5),0), "x",
ROUND(BF142*VLOOKUP(L142,'ID Scheme'!$A$2:$E$7,4),0))</f>
        <v>0x0x0</v>
      </c>
    </row>
    <row r="143" spans="1:60" x14ac:dyDescent="0.25">
      <c r="A143" t="s">
        <v>260</v>
      </c>
      <c r="B143" t="s">
        <v>363</v>
      </c>
      <c r="C143" t="s">
        <v>368</v>
      </c>
      <c r="D143">
        <f>IF(H143 &gt; 2020, ((H143-2020)*4)+1610+J143,IF(H143 &gt; 1900, ((H143-1900)*10)+400+J143, ((H143-1730)*2)+J143))+VLOOKUP(L143,'ID Scheme'!$A$2:$B$7,2, FALSE)</f>
        <v>8161</v>
      </c>
      <c r="F143">
        <v>8161</v>
      </c>
      <c r="G143" t="s">
        <v>683</v>
      </c>
      <c r="H143">
        <v>2016</v>
      </c>
      <c r="I143">
        <v>1</v>
      </c>
      <c r="J143">
        <v>1</v>
      </c>
      <c r="K143" t="s">
        <v>524</v>
      </c>
      <c r="L143" t="s">
        <v>48</v>
      </c>
      <c r="M143" t="s">
        <v>501</v>
      </c>
      <c r="N143">
        <v>155</v>
      </c>
      <c r="O143">
        <v>-1</v>
      </c>
      <c r="P143">
        <v>10</v>
      </c>
      <c r="Q143">
        <v>4</v>
      </c>
      <c r="R143">
        <v>1.7</v>
      </c>
      <c r="S143">
        <v>310</v>
      </c>
      <c r="T143">
        <v>22</v>
      </c>
      <c r="U143">
        <v>4</v>
      </c>
      <c r="V143">
        <v>1</v>
      </c>
      <c r="W143" t="s">
        <v>359</v>
      </c>
      <c r="X143">
        <v>-4</v>
      </c>
      <c r="Y143" s="2" t="s">
        <v>446</v>
      </c>
      <c r="Z143" s="2"/>
      <c r="AA143" s="2"/>
      <c r="AB143" s="2"/>
      <c r="AC143" s="2"/>
      <c r="AD143" s="2"/>
      <c r="AE143" s="2"/>
      <c r="AF143" s="2"/>
      <c r="AG143" s="2"/>
      <c r="AH143" s="2">
        <v>335</v>
      </c>
      <c r="AP143">
        <v>5</v>
      </c>
      <c r="AS143" s="2">
        <f>(SQRT(N143*U143)*POWER((MIN(P143,20)+SQRT(MAX(P143-20,0))),0.9)*Data!$B$1)*(1-(V143-1))</f>
        <v>14.833960155247404</v>
      </c>
      <c r="AT143" s="2"/>
      <c r="AU143" s="2">
        <f>((POWER((N143*N143*U143), 0.33)*LOG10(S143)*10*Data!$B$1)*V143)+AT143</f>
        <v>82.375253472873595</v>
      </c>
      <c r="AV143" s="2">
        <f t="shared" si="76"/>
        <v>125</v>
      </c>
      <c r="AW143" s="2">
        <f t="shared" si="71"/>
        <v>0</v>
      </c>
      <c r="AZ143" s="2">
        <v>1</v>
      </c>
      <c r="BA143" s="2">
        <v>1</v>
      </c>
      <c r="BB143" s="2">
        <f t="shared" si="77"/>
        <v>4</v>
      </c>
      <c r="BC143" s="2">
        <f t="shared" si="78"/>
        <v>4</v>
      </c>
      <c r="BD143" s="3">
        <v>4.5999999999999996</v>
      </c>
      <c r="BE143" s="3">
        <v>1.8</v>
      </c>
      <c r="BF143" s="3">
        <v>1.4</v>
      </c>
      <c r="BG143" s="2" t="str">
        <f>CONCATENATE(
ROUND(BD143*VLOOKUP(L143,'ID Scheme'!$A$2:$E$7,3),0), "x",
ROUND(BE143*VLOOKUP(L143,'ID Scheme'!$A$2:$E$7,5),0), "x",
ROUND(BF143*VLOOKUP(L143,'ID Scheme'!$A$2:$E$7,4),0))</f>
        <v>43x26x14</v>
      </c>
    </row>
    <row r="144" spans="1:60" x14ac:dyDescent="0.25">
      <c r="A144" t="s">
        <v>516</v>
      </c>
      <c r="B144" t="s">
        <v>517</v>
      </c>
      <c r="C144" t="s">
        <v>518</v>
      </c>
      <c r="D144">
        <f>IF(H144 &gt; 2020, ((H144-2020)*4)+1610+J144,IF(H144 &gt; 1900, ((H144-1900)*10)+400+J144, ((H144-1730)*2)+J144))+VLOOKUP(L144,'ID Scheme'!$A$2:$B$7,2, FALSE)</f>
        <v>6251</v>
      </c>
      <c r="F144">
        <v>6251</v>
      </c>
      <c r="G144" t="s">
        <v>683</v>
      </c>
      <c r="H144">
        <v>2030</v>
      </c>
      <c r="I144">
        <v>1</v>
      </c>
      <c r="J144">
        <v>1</v>
      </c>
      <c r="K144" t="s">
        <v>524</v>
      </c>
      <c r="L144" t="s">
        <v>14</v>
      </c>
      <c r="M144" t="s">
        <v>501</v>
      </c>
      <c r="N144">
        <v>100</v>
      </c>
      <c r="O144">
        <v>-1</v>
      </c>
      <c r="P144">
        <v>10</v>
      </c>
      <c r="Q144">
        <v>4</v>
      </c>
      <c r="R144">
        <v>2</v>
      </c>
      <c r="S144">
        <v>10</v>
      </c>
      <c r="T144">
        <v>22</v>
      </c>
      <c r="U144">
        <v>1</v>
      </c>
      <c r="V144">
        <v>1</v>
      </c>
      <c r="W144" t="s">
        <v>287</v>
      </c>
      <c r="X144">
        <v>-4</v>
      </c>
      <c r="Y144" s="2" t="s">
        <v>519</v>
      </c>
      <c r="Z144" s="2"/>
      <c r="AA144" s="2"/>
      <c r="AB144" s="2"/>
      <c r="AC144" s="2"/>
      <c r="AD144" s="2"/>
      <c r="AE144" s="2"/>
      <c r="AF144" s="2"/>
      <c r="AG144" s="2"/>
      <c r="AH144" s="2">
        <v>275</v>
      </c>
      <c r="AP144">
        <v>7</v>
      </c>
      <c r="AS144" s="2">
        <f>(SQRT(N144*U144)*POWER((MIN(P144,20)+SQRT(MAX(P144-20,0))),0.9)*Data!$B$1)*(1-(V144-1))</f>
        <v>5.9574617604321123</v>
      </c>
      <c r="AT144" s="2">
        <v>-15</v>
      </c>
      <c r="AU144" s="2">
        <f>((POWER((N144*N144*U144), 0.33)*LOG10(S144)*10*Data!$B$1)*V144)+AT144</f>
        <v>0.66972098140530001</v>
      </c>
      <c r="AV144" s="2">
        <f t="shared" si="76"/>
        <v>80.645161290322577</v>
      </c>
      <c r="AW144" s="2">
        <f t="shared" ref="AW144" si="87">AI144/1.24</f>
        <v>0</v>
      </c>
      <c r="AZ144" s="2">
        <v>1</v>
      </c>
      <c r="BA144" s="2">
        <v>1</v>
      </c>
      <c r="BB144" s="2">
        <f t="shared" si="77"/>
        <v>1</v>
      </c>
      <c r="BC144" s="2">
        <f t="shared" si="78"/>
        <v>1</v>
      </c>
      <c r="BD144" s="3">
        <v>4.5999999999999996</v>
      </c>
      <c r="BE144" s="3">
        <v>1.8</v>
      </c>
      <c r="BF144" s="3">
        <v>1.4</v>
      </c>
      <c r="BG144" s="2" t="str">
        <f>CONCATENATE(
ROUND(BD144*VLOOKUP(L144,'ID Scheme'!$A$2:$E$7,3),0), "x",
ROUND(BE144*VLOOKUP(L144,'ID Scheme'!$A$2:$E$7,5),0), "x",
ROUND(BF144*VLOOKUP(L144,'ID Scheme'!$A$2:$E$7,4),0))</f>
        <v>43x26x14</v>
      </c>
    </row>
    <row r="145" spans="1:60" x14ac:dyDescent="0.25">
      <c r="A145" t="s">
        <v>105</v>
      </c>
      <c r="B145" t="s">
        <v>202</v>
      </c>
      <c r="C145" t="s">
        <v>694</v>
      </c>
      <c r="D145">
        <f>IF(H145 &gt; 2020, ((H145-2020)*4)+1610+J145,IF(H145 &gt; 1900, ((H145-1900)*10)+400+J145, ((H145-1730)*2)+J145))+VLOOKUP(L145,'ID Scheme'!$A$2:$B$7,2, FALSE)</f>
        <v>8861</v>
      </c>
      <c r="F145">
        <v>8861</v>
      </c>
      <c r="G145" t="s">
        <v>683</v>
      </c>
      <c r="H145">
        <v>1860</v>
      </c>
      <c r="I145">
        <v>1</v>
      </c>
      <c r="J145">
        <v>1</v>
      </c>
      <c r="K145" t="s">
        <v>521</v>
      </c>
      <c r="L145" t="s">
        <v>104</v>
      </c>
      <c r="M145" t="s">
        <v>502</v>
      </c>
      <c r="N145">
        <v>18</v>
      </c>
      <c r="O145">
        <v>50</v>
      </c>
      <c r="P145">
        <v>35</v>
      </c>
      <c r="Q145">
        <v>9</v>
      </c>
      <c r="R145">
        <v>8</v>
      </c>
      <c r="S145">
        <v>15</v>
      </c>
      <c r="T145">
        <v>20</v>
      </c>
      <c r="U145">
        <v>24</v>
      </c>
      <c r="V145">
        <v>1</v>
      </c>
      <c r="W145" t="s">
        <v>287</v>
      </c>
      <c r="X145">
        <v>0</v>
      </c>
      <c r="Y145" s="2" t="s">
        <v>436</v>
      </c>
      <c r="Z145" s="2"/>
      <c r="AA145" s="2"/>
      <c r="AB145" s="2"/>
      <c r="AC145" s="2"/>
      <c r="AD145" s="2"/>
      <c r="AE145" s="2"/>
      <c r="AF145" s="2"/>
      <c r="AG145" s="2"/>
      <c r="AH145" s="2"/>
      <c r="AJ145" t="s">
        <v>406</v>
      </c>
      <c r="AL145" t="s">
        <v>488</v>
      </c>
      <c r="AM145" t="s">
        <v>406</v>
      </c>
      <c r="AN145" t="s">
        <v>407</v>
      </c>
      <c r="AO145" t="s">
        <v>561</v>
      </c>
      <c r="AP145">
        <v>4</v>
      </c>
      <c r="AQ145">
        <v>1</v>
      </c>
      <c r="AR145" t="s">
        <v>276</v>
      </c>
      <c r="AS145" s="2">
        <f>(SQRT(N145*U145)*POWER((MIN(P145,20)+SQRT(MAX(P145-20,0))),0.9)*Data!$B$1)*(1-(V145-1))</f>
        <v>27.096872159029786</v>
      </c>
      <c r="AT145" s="2">
        <v>3</v>
      </c>
      <c r="AU145" s="2">
        <f>((POWER((N145*N145*U145), 0.33)*LOG10(S145)*10*Data!$B$1)*V145)+AT145</f>
        <v>19.961015410572251</v>
      </c>
      <c r="AV145" s="2">
        <f t="shared" si="76"/>
        <v>14.516129032258064</v>
      </c>
      <c r="AW145" s="2">
        <f t="shared" si="71"/>
        <v>0</v>
      </c>
      <c r="AZ145" s="2">
        <v>1</v>
      </c>
      <c r="BA145" s="2">
        <v>1</v>
      </c>
      <c r="BB145" s="2">
        <f t="shared" si="77"/>
        <v>24</v>
      </c>
      <c r="BC145" s="2">
        <f t="shared" si="78"/>
        <v>24</v>
      </c>
      <c r="BF145" s="3"/>
      <c r="BG145" s="2" t="str">
        <f>CONCATENATE(
ROUND(BD145*VLOOKUP(L145,'ID Scheme'!$A$2:$E$7,3),0), "x",
ROUND(BE145*VLOOKUP(L145,'ID Scheme'!$A$2:$E$7,5),0), "x",
ROUND(BF145*VLOOKUP(L145,'ID Scheme'!$A$2:$E$7,4),0))</f>
        <v>0x0x0</v>
      </c>
    </row>
    <row r="146" spans="1:60" x14ac:dyDescent="0.25">
      <c r="A146" t="s">
        <v>106</v>
      </c>
      <c r="B146" t="s">
        <v>250</v>
      </c>
      <c r="C146" t="s">
        <v>291</v>
      </c>
      <c r="D146">
        <f>IF(H146 &gt; 2020, ((H146-2020)*4)+1610+J146,IF(H146 &gt; 1900, ((H146-1900)*10)+400+J146, ((H146-1730)*2)+J146))+VLOOKUP(L146,'ID Scheme'!$A$2:$B$7,2, FALSE)</f>
        <v>8887</v>
      </c>
      <c r="F146">
        <v>8887</v>
      </c>
      <c r="G146" t="s">
        <v>683</v>
      </c>
      <c r="H146">
        <v>1873</v>
      </c>
      <c r="I146">
        <v>1</v>
      </c>
      <c r="J146">
        <v>1</v>
      </c>
      <c r="K146" t="s">
        <v>521</v>
      </c>
      <c r="L146" t="s">
        <v>104</v>
      </c>
      <c r="M146" t="s">
        <v>502</v>
      </c>
      <c r="N146">
        <v>20</v>
      </c>
      <c r="O146">
        <v>30</v>
      </c>
      <c r="P146">
        <v>30</v>
      </c>
      <c r="Q146">
        <v>9</v>
      </c>
      <c r="R146">
        <v>9</v>
      </c>
      <c r="S146">
        <v>30</v>
      </c>
      <c r="T146">
        <v>18</v>
      </c>
      <c r="U146">
        <v>50</v>
      </c>
      <c r="V146">
        <v>1</v>
      </c>
      <c r="W146" t="s">
        <v>288</v>
      </c>
      <c r="X146">
        <v>0</v>
      </c>
      <c r="Y146" s="2" t="s">
        <v>423</v>
      </c>
      <c r="Z146" s="2"/>
      <c r="AA146" s="2"/>
      <c r="AB146" s="2"/>
      <c r="AC146" s="2"/>
      <c r="AD146" s="2"/>
      <c r="AE146" s="2"/>
      <c r="AF146" s="2"/>
      <c r="AG146" s="2"/>
      <c r="AH146" s="2"/>
      <c r="AP146">
        <v>8</v>
      </c>
      <c r="AQ146">
        <v>1</v>
      </c>
      <c r="AS146" s="2">
        <f>(SQRT(N146*U146)*POWER((MIN(P146,20)+SQRT(MAX(P146-20,0))),0.9)*Data!$B$1)*(1-(V146-1))</f>
        <v>40.120321127543804</v>
      </c>
      <c r="AT146" s="2"/>
      <c r="AU146" s="2">
        <f>((POWER((N146*N146*U146), 0.33)*LOG10(S146)*10*Data!$B$1)*V146)+AT146</f>
        <v>29.094929509594969</v>
      </c>
      <c r="AV146" s="2">
        <f t="shared" si="76"/>
        <v>16.129032258064516</v>
      </c>
      <c r="AW146" s="2">
        <f t="shared" si="71"/>
        <v>0</v>
      </c>
      <c r="AZ146" s="2">
        <v>1</v>
      </c>
      <c r="BA146" s="2">
        <v>1</v>
      </c>
      <c r="BB146" s="2">
        <f t="shared" si="77"/>
        <v>50</v>
      </c>
      <c r="BC146" s="2">
        <f t="shared" si="78"/>
        <v>50</v>
      </c>
      <c r="BF146" s="3"/>
      <c r="BG146" s="2" t="str">
        <f>CONCATENATE(
ROUND(BD146*VLOOKUP(L146,'ID Scheme'!$A$2:$E$7,3),0), "x",
ROUND(BE146*VLOOKUP(L146,'ID Scheme'!$A$2:$E$7,5),0), "x",
ROUND(BF146*VLOOKUP(L146,'ID Scheme'!$A$2:$E$7,4),0))</f>
        <v>0x0x0</v>
      </c>
    </row>
    <row r="147" spans="1:60" x14ac:dyDescent="0.25">
      <c r="A147" t="s">
        <v>108</v>
      </c>
      <c r="B147" t="s">
        <v>243</v>
      </c>
      <c r="C147" t="s">
        <v>291</v>
      </c>
      <c r="D147">
        <f>IF(H147 &gt; 2020, ((H147-2020)*4)+1610+J147,IF(H147 &gt; 1900, ((H147-1900)*10)+400+J147, ((H147-1730)*2)+J147))+VLOOKUP(L147,'ID Scheme'!$A$2:$B$7,2, FALSE)</f>
        <v>8911</v>
      </c>
      <c r="F147">
        <v>8911</v>
      </c>
      <c r="G147" t="s">
        <v>683</v>
      </c>
      <c r="H147">
        <v>1885</v>
      </c>
      <c r="I147">
        <v>1</v>
      </c>
      <c r="J147">
        <v>1</v>
      </c>
      <c r="K147" t="s">
        <v>521</v>
      </c>
      <c r="L147" t="s">
        <v>104</v>
      </c>
      <c r="M147" t="s">
        <v>503</v>
      </c>
      <c r="N147">
        <v>21</v>
      </c>
      <c r="O147">
        <v>35</v>
      </c>
      <c r="P147">
        <v>30</v>
      </c>
      <c r="Q147">
        <v>8</v>
      </c>
      <c r="R147">
        <v>7</v>
      </c>
      <c r="S147">
        <v>20</v>
      </c>
      <c r="T147">
        <v>20</v>
      </c>
      <c r="U147">
        <v>32</v>
      </c>
      <c r="V147">
        <v>1</v>
      </c>
      <c r="W147" t="s">
        <v>365</v>
      </c>
      <c r="X147">
        <v>0</v>
      </c>
      <c r="Y147" s="2" t="s">
        <v>435</v>
      </c>
      <c r="Z147" s="2"/>
      <c r="AA147" s="2"/>
      <c r="AB147" s="2"/>
      <c r="AC147" s="2"/>
      <c r="AD147" s="2"/>
      <c r="AE147" s="2"/>
      <c r="AF147" s="2"/>
      <c r="AG147" s="2"/>
      <c r="AH147" s="2"/>
      <c r="AP147">
        <v>8</v>
      </c>
      <c r="AQ147">
        <v>1</v>
      </c>
      <c r="AS147" s="2">
        <f>(SQRT(N147*U147)*POWER((MIN(P147,20)+SQRT(MAX(P147-20,0))),0.9)*Data!$B$1)*(1-(V147-1))</f>
        <v>32.8888764246744</v>
      </c>
      <c r="AT147" s="2"/>
      <c r="AU147" s="2">
        <f>((POWER((N147*N147*U147), 0.33)*LOG10(S147)*10*Data!$B$1)*V147)+AT147</f>
        <v>22.84087832220764</v>
      </c>
      <c r="AV147" s="2">
        <f t="shared" si="76"/>
        <v>16.935483870967744</v>
      </c>
      <c r="AW147" s="2">
        <f t="shared" si="71"/>
        <v>0</v>
      </c>
      <c r="AZ147" s="2">
        <v>1</v>
      </c>
      <c r="BA147" s="2">
        <v>1</v>
      </c>
      <c r="BB147" s="2">
        <f t="shared" si="77"/>
        <v>32</v>
      </c>
      <c r="BC147" s="2">
        <f t="shared" si="78"/>
        <v>32</v>
      </c>
      <c r="BF147" s="3"/>
      <c r="BG147" s="2" t="str">
        <f>CONCATENATE(
ROUND(BD147*VLOOKUP(L147,'ID Scheme'!$A$2:$E$7,3),0), "x",
ROUND(BE147*VLOOKUP(L147,'ID Scheme'!$A$2:$E$7,5),0), "x",
ROUND(BF147*VLOOKUP(L147,'ID Scheme'!$A$2:$E$7,4),0))</f>
        <v>0x0x0</v>
      </c>
      <c r="BH147" t="s">
        <v>124</v>
      </c>
    </row>
    <row r="148" spans="1:60" x14ac:dyDescent="0.25">
      <c r="A148" t="s">
        <v>131</v>
      </c>
      <c r="B148" t="s">
        <v>249</v>
      </c>
      <c r="C148" t="s">
        <v>285</v>
      </c>
      <c r="D148">
        <f>IF(H148 &gt; 2020, ((H148-2020)*4)+1610+J148,IF(H148 &gt; 1900, ((H148-1900)*10)+400+J148, ((H148-1730)*2)+J148))+VLOOKUP(L148,'ID Scheme'!$A$2:$B$7,2, FALSE)</f>
        <v>8927</v>
      </c>
      <c r="F148">
        <v>8927</v>
      </c>
      <c r="G148" t="s">
        <v>683</v>
      </c>
      <c r="H148">
        <v>1893</v>
      </c>
      <c r="I148">
        <v>3</v>
      </c>
      <c r="J148">
        <v>1</v>
      </c>
      <c r="K148" t="s">
        <v>521</v>
      </c>
      <c r="L148" t="s">
        <v>104</v>
      </c>
      <c r="M148" t="s">
        <v>503</v>
      </c>
      <c r="N148">
        <v>22</v>
      </c>
      <c r="O148">
        <v>35</v>
      </c>
      <c r="P148">
        <v>75</v>
      </c>
      <c r="Q148">
        <v>9</v>
      </c>
      <c r="R148">
        <v>7.5</v>
      </c>
      <c r="S148">
        <v>50</v>
      </c>
      <c r="T148">
        <v>20</v>
      </c>
      <c r="U148">
        <v>42</v>
      </c>
      <c r="V148">
        <v>1</v>
      </c>
      <c r="W148" t="s">
        <v>365</v>
      </c>
      <c r="X148">
        <v>0</v>
      </c>
      <c r="Y148" s="2" t="s">
        <v>411</v>
      </c>
      <c r="Z148" s="2"/>
      <c r="AA148" s="2"/>
      <c r="AB148" s="2"/>
      <c r="AC148" s="2"/>
      <c r="AD148" s="2"/>
      <c r="AE148" s="2"/>
      <c r="AF148" s="2"/>
      <c r="AG148" s="2"/>
      <c r="AH148" s="2"/>
      <c r="AP148">
        <v>8</v>
      </c>
      <c r="AQ148">
        <v>1</v>
      </c>
      <c r="AS148" s="2">
        <f>(SQRT(N148*U148)*POWER((MIN(P148,20)+SQRT(MAX(P148-20,0))),0.9)*Data!$B$1)*(1-(V148-1))</f>
        <v>44.885261640010725</v>
      </c>
      <c r="AT148" s="2"/>
      <c r="AU148" s="2">
        <f>((POWER((N148*N148*U148), 0.33)*LOG10(S148)*10*Data!$B$1)*V148)+AT148</f>
        <v>33.644820060239276</v>
      </c>
      <c r="AV148" s="2">
        <f t="shared" si="76"/>
        <v>17.741935483870968</v>
      </c>
      <c r="AW148" s="2">
        <f t="shared" si="71"/>
        <v>0</v>
      </c>
      <c r="AZ148" s="2">
        <v>1</v>
      </c>
      <c r="BA148" s="2">
        <v>1</v>
      </c>
      <c r="BB148" s="2">
        <f t="shared" si="77"/>
        <v>42</v>
      </c>
      <c r="BC148" s="2">
        <f t="shared" si="78"/>
        <v>42</v>
      </c>
      <c r="BF148" s="3"/>
      <c r="BG148" s="2" t="str">
        <f>CONCATENATE(
ROUND(BD148*VLOOKUP(L148,'ID Scheme'!$A$2:$E$7,3),0), "x",
ROUND(BE148*VLOOKUP(L148,'ID Scheme'!$A$2:$E$7,5),0), "x",
ROUND(BF148*VLOOKUP(L148,'ID Scheme'!$A$2:$E$7,4),0))</f>
        <v>0x0x0</v>
      </c>
      <c r="BH148" t="s">
        <v>130</v>
      </c>
    </row>
    <row r="149" spans="1:60" x14ac:dyDescent="0.25">
      <c r="A149" t="s">
        <v>116</v>
      </c>
      <c r="B149" t="s">
        <v>252</v>
      </c>
      <c r="C149" t="s">
        <v>285</v>
      </c>
      <c r="D149">
        <f>IF(H149 &gt; 2020, ((H149-2020)*4)+1610+J149,IF(H149 &gt; 1900, ((H149-1900)*10)+400+J149, ((H149-1730)*2)+J149))+VLOOKUP(L149,'ID Scheme'!$A$2:$B$7,2, FALSE)</f>
        <v>8929</v>
      </c>
      <c r="F149">
        <v>8929</v>
      </c>
      <c r="G149" t="s">
        <v>683</v>
      </c>
      <c r="H149">
        <v>1894</v>
      </c>
      <c r="I149">
        <v>6</v>
      </c>
      <c r="J149">
        <v>1</v>
      </c>
      <c r="K149" t="s">
        <v>521</v>
      </c>
      <c r="L149" t="s">
        <v>104</v>
      </c>
      <c r="M149" t="s">
        <v>503</v>
      </c>
      <c r="N149">
        <v>22</v>
      </c>
      <c r="O149">
        <v>35</v>
      </c>
      <c r="P149">
        <v>75</v>
      </c>
      <c r="Q149">
        <v>9</v>
      </c>
      <c r="R149">
        <v>7</v>
      </c>
      <c r="S149">
        <v>80</v>
      </c>
      <c r="T149">
        <v>20</v>
      </c>
      <c r="U149">
        <v>36</v>
      </c>
      <c r="V149">
        <v>1</v>
      </c>
      <c r="W149" t="s">
        <v>365</v>
      </c>
      <c r="X149">
        <v>0</v>
      </c>
      <c r="Y149" s="2" t="s">
        <v>412</v>
      </c>
      <c r="Z149" s="2"/>
      <c r="AA149" s="2"/>
      <c r="AB149" s="2"/>
      <c r="AC149" s="2"/>
      <c r="AD149" s="2"/>
      <c r="AE149" s="2"/>
      <c r="AF149" s="2"/>
      <c r="AG149" s="2"/>
      <c r="AH149" s="2"/>
      <c r="AP149">
        <v>8</v>
      </c>
      <c r="AQ149">
        <v>1</v>
      </c>
      <c r="AS149" s="2">
        <f>(SQRT(N149*U149)*POWER((MIN(P149,20)+SQRT(MAX(P149-20,0))),0.9)*Data!$B$1)*(1-(V149-1))</f>
        <v>41.555677409871805</v>
      </c>
      <c r="AT149" s="2"/>
      <c r="AU149" s="2">
        <f>((POWER((N149*N149*U149), 0.33)*LOG10(S149)*10*Data!$B$1)*V149)+AT149</f>
        <v>35.817839185344354</v>
      </c>
      <c r="AV149" s="2">
        <f t="shared" si="76"/>
        <v>17.741935483870968</v>
      </c>
      <c r="AW149" s="2">
        <f t="shared" si="71"/>
        <v>0</v>
      </c>
      <c r="AZ149" s="2">
        <v>1</v>
      </c>
      <c r="BA149" s="2">
        <v>1</v>
      </c>
      <c r="BB149" s="2">
        <f t="shared" si="77"/>
        <v>36</v>
      </c>
      <c r="BC149" s="2">
        <f t="shared" si="78"/>
        <v>36</v>
      </c>
      <c r="BF149" s="3"/>
      <c r="BG149" s="2" t="str">
        <f>CONCATENATE(
ROUND(BD149*VLOOKUP(L149,'ID Scheme'!$A$2:$E$7,3),0), "x",
ROUND(BE149*VLOOKUP(L149,'ID Scheme'!$A$2:$E$7,5),0), "x",
ROUND(BF149*VLOOKUP(L149,'ID Scheme'!$A$2:$E$7,4),0))</f>
        <v>0x0x0</v>
      </c>
      <c r="BH149" t="s">
        <v>118</v>
      </c>
    </row>
    <row r="150" spans="1:60" x14ac:dyDescent="0.25">
      <c r="A150" t="s">
        <v>111</v>
      </c>
      <c r="B150" t="s">
        <v>247</v>
      </c>
      <c r="C150" t="s">
        <v>285</v>
      </c>
      <c r="D150">
        <f>IF(H150 &gt; 2020, ((H150-2020)*4)+1610+J150,IF(H150 &gt; 1900, ((H150-1900)*10)+400+J150, ((H150-1730)*2)+J150))+VLOOKUP(L150,'ID Scheme'!$A$2:$B$7,2, FALSE)</f>
        <v>8937</v>
      </c>
      <c r="F150">
        <v>8937</v>
      </c>
      <c r="G150" t="s">
        <v>683</v>
      </c>
      <c r="H150">
        <v>1898</v>
      </c>
      <c r="I150">
        <v>1</v>
      </c>
      <c r="J150">
        <v>1</v>
      </c>
      <c r="K150" t="s">
        <v>521</v>
      </c>
      <c r="L150" t="s">
        <v>104</v>
      </c>
      <c r="M150" t="s">
        <v>503</v>
      </c>
      <c r="N150">
        <v>23</v>
      </c>
      <c r="O150">
        <v>35</v>
      </c>
      <c r="P150">
        <v>45</v>
      </c>
      <c r="Q150">
        <v>11</v>
      </c>
      <c r="R150">
        <v>8</v>
      </c>
      <c r="S150">
        <v>80</v>
      </c>
      <c r="T150">
        <v>20</v>
      </c>
      <c r="U150">
        <v>48</v>
      </c>
      <c r="V150">
        <v>1</v>
      </c>
      <c r="W150" t="s">
        <v>365</v>
      </c>
      <c r="X150">
        <v>0</v>
      </c>
      <c r="Y150" s="2" t="s">
        <v>414</v>
      </c>
      <c r="Z150" s="2"/>
      <c r="AA150" s="2"/>
      <c r="AB150" s="2"/>
      <c r="AC150" s="2"/>
      <c r="AD150" s="2"/>
      <c r="AE150" s="2"/>
      <c r="AF150" s="2"/>
      <c r="AG150" s="2"/>
      <c r="AH150" s="2"/>
      <c r="AP150">
        <v>8</v>
      </c>
      <c r="AQ150">
        <v>1</v>
      </c>
      <c r="AS150" s="2">
        <f>(SQRT(N150*U150)*POWER((MIN(P150,20)+SQRT(MAX(P150-20,0))),0.9)*Data!$B$1)*(1-(V150-1))</f>
        <v>45.153540372471618</v>
      </c>
      <c r="AT150" s="2"/>
      <c r="AU150" s="2">
        <f>((POWER((N150*N150*U150), 0.33)*LOG10(S150)*10*Data!$B$1)*V150)+AT150</f>
        <v>40.55744311676029</v>
      </c>
      <c r="AV150" s="2">
        <f t="shared" si="76"/>
        <v>18.548387096774192</v>
      </c>
      <c r="AW150" s="2">
        <f t="shared" si="71"/>
        <v>0</v>
      </c>
      <c r="AZ150" s="2">
        <v>1</v>
      </c>
      <c r="BA150" s="2">
        <v>1</v>
      </c>
      <c r="BB150" s="2">
        <f t="shared" si="77"/>
        <v>48</v>
      </c>
      <c r="BC150" s="2">
        <f t="shared" si="78"/>
        <v>48</v>
      </c>
      <c r="BF150" s="3"/>
      <c r="BG150" s="2" t="str">
        <f>CONCATENATE(
ROUND(BD150*VLOOKUP(L150,'ID Scheme'!$A$2:$E$7,3),0), "x",
ROUND(BE150*VLOOKUP(L150,'ID Scheme'!$A$2:$E$7,5),0), "x",
ROUND(BF150*VLOOKUP(L150,'ID Scheme'!$A$2:$E$7,4),0))</f>
        <v>0x0x0</v>
      </c>
      <c r="BH150" t="s">
        <v>118</v>
      </c>
    </row>
    <row r="151" spans="1:60" x14ac:dyDescent="0.25">
      <c r="A151" t="s">
        <v>117</v>
      </c>
      <c r="B151" t="s">
        <v>253</v>
      </c>
      <c r="C151" t="s">
        <v>285</v>
      </c>
      <c r="D151">
        <f>IF(H151 &gt; 2020, ((H151-2020)*4)+1610+J151,IF(H151 &gt; 1900, ((H151-1900)*10)+400+J151, ((H151-1730)*2)+J151))+VLOOKUP(L151,'ID Scheme'!$A$2:$B$7,2, FALSE)</f>
        <v>8939</v>
      </c>
      <c r="F151">
        <v>8939</v>
      </c>
      <c r="G151" t="s">
        <v>683</v>
      </c>
      <c r="H151">
        <v>1899</v>
      </c>
      <c r="I151">
        <v>1</v>
      </c>
      <c r="J151">
        <v>1</v>
      </c>
      <c r="K151" t="s">
        <v>521</v>
      </c>
      <c r="L151" t="s">
        <v>104</v>
      </c>
      <c r="M151" t="s">
        <v>503</v>
      </c>
      <c r="N151">
        <v>24</v>
      </c>
      <c r="O151">
        <v>35</v>
      </c>
      <c r="P151">
        <v>65</v>
      </c>
      <c r="Q151">
        <v>9</v>
      </c>
      <c r="R151">
        <v>7</v>
      </c>
      <c r="S151">
        <v>80</v>
      </c>
      <c r="T151">
        <v>20</v>
      </c>
      <c r="U151">
        <v>48</v>
      </c>
      <c r="V151">
        <v>1</v>
      </c>
      <c r="W151" t="s">
        <v>365</v>
      </c>
      <c r="X151">
        <v>0</v>
      </c>
      <c r="Y151" s="2" t="s">
        <v>413</v>
      </c>
      <c r="Z151" s="2"/>
      <c r="AA151" s="2"/>
      <c r="AB151" s="2"/>
      <c r="AC151" s="2"/>
      <c r="AD151" s="2"/>
      <c r="AE151" s="2"/>
      <c r="AF151" s="2"/>
      <c r="AG151" s="2"/>
      <c r="AH151" s="2"/>
      <c r="AP151">
        <v>8</v>
      </c>
      <c r="AQ151">
        <v>1</v>
      </c>
      <c r="AS151" s="2">
        <f>(SQRT(N151*U151)*POWER((MIN(P151,20)+SQRT(MAX(P151-20,0))),0.9)*Data!$B$1)*(1-(V151-1))</f>
        <v>48.95169319243255</v>
      </c>
      <c r="AT151" s="2"/>
      <c r="AU151" s="2">
        <f>((POWER((N151*N151*U151), 0.33)*LOG10(S151)*10*Data!$B$1)*V151)+AT151</f>
        <v>41.712826159953799</v>
      </c>
      <c r="AV151" s="2">
        <f t="shared" si="76"/>
        <v>19.35483870967742</v>
      </c>
      <c r="AW151" s="2">
        <f t="shared" si="71"/>
        <v>0</v>
      </c>
      <c r="AZ151" s="2">
        <v>1</v>
      </c>
      <c r="BA151" s="2">
        <v>1</v>
      </c>
      <c r="BB151" s="2">
        <f t="shared" si="77"/>
        <v>48</v>
      </c>
      <c r="BC151" s="2">
        <f t="shared" si="78"/>
        <v>48</v>
      </c>
      <c r="BF151" s="3"/>
      <c r="BG151" s="2" t="str">
        <f>CONCATENATE(
ROUND(BD151*VLOOKUP(L151,'ID Scheme'!$A$2:$E$7,3),0), "x",
ROUND(BE151*VLOOKUP(L151,'ID Scheme'!$A$2:$E$7,5),0), "x",
ROUND(BF151*VLOOKUP(L151,'ID Scheme'!$A$2:$E$7,4),0))</f>
        <v>0x0x0</v>
      </c>
      <c r="BH151" t="s">
        <v>118</v>
      </c>
    </row>
    <row r="152" spans="1:60" x14ac:dyDescent="0.25">
      <c r="A152" t="s">
        <v>109</v>
      </c>
      <c r="B152" t="s">
        <v>251</v>
      </c>
      <c r="C152" t="s">
        <v>285</v>
      </c>
      <c r="D152">
        <f>IF(H152 &gt; 2020, ((H152-2020)*4)+1610+J152,IF(H152 &gt; 1900, ((H152-1900)*10)+400+J152, ((H152-1730)*2)+J152))+VLOOKUP(L152,'ID Scheme'!$A$2:$B$7,2, FALSE)</f>
        <v>9011</v>
      </c>
      <c r="F152">
        <v>9011</v>
      </c>
      <c r="G152" t="s">
        <v>683</v>
      </c>
      <c r="H152">
        <v>1901</v>
      </c>
      <c r="I152">
        <v>1</v>
      </c>
      <c r="J152">
        <v>1</v>
      </c>
      <c r="K152" t="s">
        <v>521</v>
      </c>
      <c r="L152" t="s">
        <v>104</v>
      </c>
      <c r="M152" t="s">
        <v>503</v>
      </c>
      <c r="N152">
        <v>25</v>
      </c>
      <c r="O152">
        <v>35</v>
      </c>
      <c r="P152">
        <v>32</v>
      </c>
      <c r="Q152">
        <v>7</v>
      </c>
      <c r="R152">
        <v>7.5</v>
      </c>
      <c r="S152">
        <v>60</v>
      </c>
      <c r="T152">
        <v>20</v>
      </c>
      <c r="U152">
        <v>58</v>
      </c>
      <c r="V152">
        <v>1</v>
      </c>
      <c r="W152" t="s">
        <v>365</v>
      </c>
      <c r="X152">
        <v>0</v>
      </c>
      <c r="Y152" s="2" t="s">
        <v>434</v>
      </c>
      <c r="Z152" s="2"/>
      <c r="AA152" s="2"/>
      <c r="AB152" s="2"/>
      <c r="AC152" s="2"/>
      <c r="AD152" s="2"/>
      <c r="AE152" s="2"/>
      <c r="AF152" s="2"/>
      <c r="AG152" s="2"/>
      <c r="AH152" s="2"/>
      <c r="AP152">
        <v>8</v>
      </c>
      <c r="AQ152">
        <v>1</v>
      </c>
      <c r="AS152" s="2">
        <f>(SQRT(N152*U152)*POWER((MIN(P152,20)+SQRT(MAX(P152-20,0))),0.9)*Data!$B$1)*(1-(V152-1))</f>
        <v>48.877479495040532</v>
      </c>
      <c r="AT152" s="2"/>
      <c r="AU152" s="2">
        <f>((POWER((N152*N152*U152), 0.33)*LOG10(S152)*10*Data!$B$1)*V152)+AT152</f>
        <v>42.618838192592996</v>
      </c>
      <c r="AV152" s="2">
        <f t="shared" si="76"/>
        <v>20.161290322580644</v>
      </c>
      <c r="AW152" s="2">
        <f t="shared" ref="AW152:AW164" si="88">AI152/1.24</f>
        <v>0</v>
      </c>
      <c r="AZ152" s="2">
        <v>1</v>
      </c>
      <c r="BA152" s="2">
        <v>1</v>
      </c>
      <c r="BB152" s="2">
        <f t="shared" si="77"/>
        <v>58</v>
      </c>
      <c r="BC152" s="2">
        <f t="shared" si="78"/>
        <v>58</v>
      </c>
      <c r="BF152" s="3"/>
      <c r="BG152" s="2" t="str">
        <f>CONCATENATE(
ROUND(BD152*VLOOKUP(L152,'ID Scheme'!$A$2:$E$7,3),0), "x",
ROUND(BE152*VLOOKUP(L152,'ID Scheme'!$A$2:$E$7,5),0), "x",
ROUND(BF152*VLOOKUP(L152,'ID Scheme'!$A$2:$E$7,4),0))</f>
        <v>0x0x0</v>
      </c>
      <c r="BH152" t="s">
        <v>125</v>
      </c>
    </row>
    <row r="153" spans="1:60" x14ac:dyDescent="0.25">
      <c r="A153" t="s">
        <v>119</v>
      </c>
      <c r="B153" t="s">
        <v>255</v>
      </c>
      <c r="C153" t="s">
        <v>291</v>
      </c>
      <c r="D153">
        <f>IF(H153 &gt; 2020, ((H153-2020)*4)+1610+J153,IF(H153 &gt; 1900, ((H153-1900)*10)+400+J153, ((H153-1730)*2)+J153))+VLOOKUP(L153,'ID Scheme'!$A$2:$B$7,2, FALSE)</f>
        <v>9111</v>
      </c>
      <c r="F153">
        <v>9111</v>
      </c>
      <c r="G153" t="s">
        <v>683</v>
      </c>
      <c r="H153">
        <v>1911</v>
      </c>
      <c r="I153">
        <v>1</v>
      </c>
      <c r="J153">
        <v>1</v>
      </c>
      <c r="K153" t="s">
        <v>521</v>
      </c>
      <c r="L153" t="s">
        <v>104</v>
      </c>
      <c r="M153" t="s">
        <v>503</v>
      </c>
      <c r="N153">
        <v>22</v>
      </c>
      <c r="O153">
        <v>30</v>
      </c>
      <c r="P153">
        <v>30</v>
      </c>
      <c r="Q153">
        <v>12</v>
      </c>
      <c r="R153">
        <v>6</v>
      </c>
      <c r="S153">
        <v>105</v>
      </c>
      <c r="T153">
        <v>20</v>
      </c>
      <c r="U153">
        <v>68</v>
      </c>
      <c r="V153">
        <v>1</v>
      </c>
      <c r="W153" t="s">
        <v>365</v>
      </c>
      <c r="X153">
        <v>0</v>
      </c>
      <c r="Y153" s="2" t="s">
        <v>415</v>
      </c>
      <c r="Z153" s="2"/>
      <c r="AA153" s="2"/>
      <c r="AB153" s="2"/>
      <c r="AC153" s="2"/>
      <c r="AD153" s="2"/>
      <c r="AE153" s="2"/>
      <c r="AF153" s="2"/>
      <c r="AG153" s="2"/>
      <c r="AH153" s="2"/>
      <c r="AP153">
        <v>8</v>
      </c>
      <c r="AQ153">
        <v>1</v>
      </c>
      <c r="AS153" s="2">
        <f>(SQRT(N153*U153)*POWER((MIN(P153,20)+SQRT(MAX(P153-20,0))),0.9)*Data!$B$1)*(1-(V153-1))</f>
        <v>49.071597593682917</v>
      </c>
      <c r="AT153" s="2"/>
      <c r="AU153" s="2">
        <f>((POWER((N153*N153*U153), 0.33)*LOG10(S153)*10*Data!$B$1)*V153)+AT153</f>
        <v>46.924014917422397</v>
      </c>
      <c r="AV153" s="2">
        <f t="shared" si="76"/>
        <v>17.741935483870968</v>
      </c>
      <c r="AW153" s="2">
        <f t="shared" si="88"/>
        <v>0</v>
      </c>
      <c r="AZ153" s="2">
        <v>1</v>
      </c>
      <c r="BA153" s="2">
        <v>1</v>
      </c>
      <c r="BB153" s="2">
        <f t="shared" si="77"/>
        <v>68</v>
      </c>
      <c r="BC153" s="2">
        <f t="shared" si="78"/>
        <v>68</v>
      </c>
      <c r="BF153" s="3"/>
      <c r="BG153" s="2" t="str">
        <f>CONCATENATE(
ROUND(BD153*VLOOKUP(L153,'ID Scheme'!$A$2:$E$7,3),0), "x",
ROUND(BE153*VLOOKUP(L153,'ID Scheme'!$A$2:$E$7,5),0), "x",
ROUND(BF153*VLOOKUP(L153,'ID Scheme'!$A$2:$E$7,4),0))</f>
        <v>0x0x0</v>
      </c>
      <c r="BH153" t="s">
        <v>82</v>
      </c>
    </row>
    <row r="154" spans="1:60" x14ac:dyDescent="0.25">
      <c r="A154" t="s">
        <v>110</v>
      </c>
      <c r="B154" t="s">
        <v>219</v>
      </c>
      <c r="C154" t="s">
        <v>285</v>
      </c>
      <c r="D154">
        <f>IF(H154 &gt; 2020, ((H154-2020)*4)+1610+J154,IF(H154 &gt; 1900, ((H154-1900)*10)+400+J154, ((H154-1730)*2)+J154))+VLOOKUP(L154,'ID Scheme'!$A$2:$B$7,2, FALSE)</f>
        <v>9231</v>
      </c>
      <c r="F154">
        <v>9231</v>
      </c>
      <c r="G154" t="s">
        <v>683</v>
      </c>
      <c r="H154">
        <v>1923</v>
      </c>
      <c r="I154">
        <v>1</v>
      </c>
      <c r="J154">
        <v>1</v>
      </c>
      <c r="K154" t="s">
        <v>521</v>
      </c>
      <c r="L154" t="s">
        <v>104</v>
      </c>
      <c r="M154" t="s">
        <v>503</v>
      </c>
      <c r="N154">
        <v>30</v>
      </c>
      <c r="O154">
        <v>38</v>
      </c>
      <c r="P154">
        <v>50</v>
      </c>
      <c r="Q154">
        <v>9</v>
      </c>
      <c r="R154">
        <v>9</v>
      </c>
      <c r="S154">
        <v>80</v>
      </c>
      <c r="T154">
        <v>20</v>
      </c>
      <c r="U154">
        <v>78</v>
      </c>
      <c r="V154">
        <v>1</v>
      </c>
      <c r="W154" t="s">
        <v>365</v>
      </c>
      <c r="X154">
        <v>0</v>
      </c>
      <c r="Y154" s="2" t="s">
        <v>433</v>
      </c>
      <c r="Z154" s="2"/>
      <c r="AA154" s="2"/>
      <c r="AB154" s="2"/>
      <c r="AC154" s="2"/>
      <c r="AD154" s="2"/>
      <c r="AE154" s="2"/>
      <c r="AF154" s="2">
        <v>1</v>
      </c>
      <c r="AG154" s="2"/>
      <c r="AH154" s="2"/>
      <c r="AP154">
        <v>8</v>
      </c>
      <c r="AQ154">
        <v>1</v>
      </c>
      <c r="AS154" s="2">
        <f>(SQRT(N154*U154)*POWER((MIN(P154,20)+SQRT(MAX(P154-20,0))),0.9)*Data!$B$1)*(1-(V154-1))</f>
        <v>66.866118123314507</v>
      </c>
      <c r="AT154" s="2"/>
      <c r="AU154" s="2">
        <f>((POWER((N154*N154*U154), 0.33)*LOG10(S154)*10*Data!$B$1)*V154)+AT154</f>
        <v>56.729876046306018</v>
      </c>
      <c r="AV154" s="2">
        <f t="shared" si="76"/>
        <v>24.193548387096776</v>
      </c>
      <c r="AW154" s="2">
        <f t="shared" si="88"/>
        <v>0</v>
      </c>
      <c r="AZ154" s="2">
        <v>1</v>
      </c>
      <c r="BA154" s="2">
        <v>1</v>
      </c>
      <c r="BB154" s="2">
        <f t="shared" si="77"/>
        <v>78</v>
      </c>
      <c r="BC154" s="2">
        <f t="shared" si="78"/>
        <v>78</v>
      </c>
      <c r="BF154" s="3"/>
      <c r="BG154" s="2" t="str">
        <f>CONCATENATE(
ROUND(BD154*VLOOKUP(L154,'ID Scheme'!$A$2:$E$7,3),0), "x",
ROUND(BE154*VLOOKUP(L154,'ID Scheme'!$A$2:$E$7,5),0), "x",
ROUND(BF154*VLOOKUP(L154,'ID Scheme'!$A$2:$E$7,4),0))</f>
        <v>0x0x0</v>
      </c>
    </row>
    <row r="155" spans="1:60" x14ac:dyDescent="0.25">
      <c r="A155" t="s">
        <v>120</v>
      </c>
      <c r="B155" t="s">
        <v>240</v>
      </c>
      <c r="C155" t="s">
        <v>285</v>
      </c>
      <c r="D155">
        <f>IF(H155 &gt; 2020, ((H155-2020)*4)+1610+J155,IF(H155 &gt; 1900, ((H155-1900)*10)+400+J155, ((H155-1730)*2)+J155))+VLOOKUP(L155,'ID Scheme'!$A$2:$B$7,2, FALSE)</f>
        <v>9341</v>
      </c>
      <c r="F155">
        <v>9341</v>
      </c>
      <c r="G155" t="s">
        <v>683</v>
      </c>
      <c r="H155">
        <v>1934</v>
      </c>
      <c r="I155">
        <v>1</v>
      </c>
      <c r="J155">
        <v>1</v>
      </c>
      <c r="K155" t="s">
        <v>521</v>
      </c>
      <c r="L155" t="s">
        <v>104</v>
      </c>
      <c r="M155" t="s">
        <v>503</v>
      </c>
      <c r="N155">
        <v>35</v>
      </c>
      <c r="O155">
        <v>40</v>
      </c>
      <c r="P155">
        <v>55</v>
      </c>
      <c r="Q155">
        <v>11</v>
      </c>
      <c r="R155">
        <v>11</v>
      </c>
      <c r="S155">
        <v>114</v>
      </c>
      <c r="T155">
        <v>20</v>
      </c>
      <c r="U155">
        <v>92</v>
      </c>
      <c r="V155">
        <v>1</v>
      </c>
      <c r="W155" t="s">
        <v>365</v>
      </c>
      <c r="X155">
        <v>0</v>
      </c>
      <c r="Y155" s="2" t="s">
        <v>416</v>
      </c>
      <c r="Z155" s="2"/>
      <c r="AA155" s="2"/>
      <c r="AB155" s="2"/>
      <c r="AC155" s="2"/>
      <c r="AD155" s="2"/>
      <c r="AE155" s="2"/>
      <c r="AF155" s="2"/>
      <c r="AG155" s="2"/>
      <c r="AH155" s="2"/>
      <c r="AP155">
        <v>8</v>
      </c>
      <c r="AQ155">
        <v>1</v>
      </c>
      <c r="AS155" s="2">
        <f>(SQRT(N155*U155)*POWER((MIN(P155,20)+SQRT(MAX(P155-20,0))),0.9)*Data!$B$1)*(1-(V155-1))</f>
        <v>79.652897151473837</v>
      </c>
      <c r="AT155" s="2"/>
      <c r="AU155" s="2">
        <f>((POWER((N155*N155*U155), 0.33)*LOG10(S155)*10*Data!$B$1)*V155)+AT155</f>
        <v>71.682040289630535</v>
      </c>
      <c r="AV155" s="2">
        <f t="shared" si="76"/>
        <v>28.225806451612904</v>
      </c>
      <c r="AW155" s="2">
        <f t="shared" si="88"/>
        <v>0</v>
      </c>
      <c r="AZ155" s="2">
        <v>1</v>
      </c>
      <c r="BA155" s="2">
        <v>1</v>
      </c>
      <c r="BB155" s="2">
        <f t="shared" si="77"/>
        <v>92</v>
      </c>
      <c r="BC155" s="2">
        <f t="shared" si="78"/>
        <v>92</v>
      </c>
      <c r="BF155" s="3"/>
      <c r="BG155" s="2" t="str">
        <f>CONCATENATE(
ROUND(BD155*VLOOKUP(L155,'ID Scheme'!$A$2:$E$7,3),0), "x",
ROUND(BE155*VLOOKUP(L155,'ID Scheme'!$A$2:$E$7,5),0), "x",
ROUND(BF155*VLOOKUP(L155,'ID Scheme'!$A$2:$E$7,4),0))</f>
        <v>0x0x0</v>
      </c>
      <c r="BH155" t="s">
        <v>121</v>
      </c>
    </row>
    <row r="156" spans="1:60" x14ac:dyDescent="0.25">
      <c r="A156" t="s">
        <v>107</v>
      </c>
      <c r="B156" t="s">
        <v>244</v>
      </c>
      <c r="C156" t="s">
        <v>285</v>
      </c>
      <c r="D156">
        <f>IF(H156 &gt; 2020, ((H156-2020)*4)+1610+J156,IF(H156 &gt; 1900, ((H156-1900)*10)+400+J156, ((H156-1730)*2)+J156))+VLOOKUP(L156,'ID Scheme'!$A$2:$B$7,2, FALSE)</f>
        <v>9521</v>
      </c>
      <c r="F156">
        <v>9521</v>
      </c>
      <c r="G156" t="s">
        <v>683</v>
      </c>
      <c r="H156">
        <v>1952</v>
      </c>
      <c r="I156">
        <v>1</v>
      </c>
      <c r="J156">
        <v>1</v>
      </c>
      <c r="K156" t="s">
        <v>521</v>
      </c>
      <c r="L156" t="s">
        <v>104</v>
      </c>
      <c r="M156" t="s">
        <v>503</v>
      </c>
      <c r="N156">
        <v>40</v>
      </c>
      <c r="O156">
        <v>20</v>
      </c>
      <c r="P156">
        <v>35</v>
      </c>
      <c r="Q156">
        <v>11</v>
      </c>
      <c r="R156">
        <v>12</v>
      </c>
      <c r="S156">
        <v>180</v>
      </c>
      <c r="T156">
        <v>28</v>
      </c>
      <c r="U156">
        <v>56</v>
      </c>
      <c r="V156">
        <v>1.1000000000000001</v>
      </c>
      <c r="W156" t="s">
        <v>365</v>
      </c>
      <c r="X156">
        <v>0</v>
      </c>
      <c r="Y156" s="2" t="s">
        <v>417</v>
      </c>
      <c r="Z156" s="2"/>
      <c r="AA156" s="2"/>
      <c r="AB156" s="2"/>
      <c r="AC156" s="2"/>
      <c r="AD156" s="2"/>
      <c r="AE156" s="2"/>
      <c r="AF156" s="2"/>
      <c r="AG156" s="2"/>
      <c r="AH156" s="2"/>
      <c r="AP156">
        <v>8</v>
      </c>
      <c r="AQ156">
        <v>1</v>
      </c>
      <c r="AS156" s="2">
        <f>(SQRT(N156*U156)*POWER((MIN(P156,20)+SQRT(MAX(P156-20,0))),0.9)*Data!$B$1)*(1-(V156-1))</f>
        <v>55.532062985015898</v>
      </c>
      <c r="AT156" s="2"/>
      <c r="AU156" s="2">
        <f>((POWER((N156*N156*U156), 0.33)*LOG10(S156)*10*Data!$B$1)*V156)+AT156</f>
        <v>80.152046772075309</v>
      </c>
      <c r="AV156" s="2">
        <f t="shared" si="76"/>
        <v>32.258064516129032</v>
      </c>
      <c r="AW156" s="2">
        <f t="shared" si="88"/>
        <v>0</v>
      </c>
      <c r="AZ156" s="2">
        <v>1</v>
      </c>
      <c r="BA156" s="2">
        <v>1</v>
      </c>
      <c r="BB156" s="2">
        <f t="shared" si="77"/>
        <v>56</v>
      </c>
      <c r="BC156" s="2">
        <f t="shared" si="78"/>
        <v>56</v>
      </c>
      <c r="BF156" s="3"/>
      <c r="BG156" s="2" t="str">
        <f>CONCATENATE(
ROUND(BD156*VLOOKUP(L156,'ID Scheme'!$A$2:$E$7,3),0), "x",
ROUND(BE156*VLOOKUP(L156,'ID Scheme'!$A$2:$E$7,5),0), "x",
ROUND(BF156*VLOOKUP(L156,'ID Scheme'!$A$2:$E$7,4),0))</f>
        <v>0x0x0</v>
      </c>
      <c r="BH156" t="s">
        <v>123</v>
      </c>
    </row>
    <row r="157" spans="1:60" x14ac:dyDescent="0.25">
      <c r="A157" t="s">
        <v>132</v>
      </c>
      <c r="B157" t="s">
        <v>254</v>
      </c>
      <c r="C157" t="s">
        <v>324</v>
      </c>
      <c r="D157">
        <f>IF(H157 &gt; 2020, ((H157-2020)*4)+1610+J157,IF(H157 &gt; 1900, ((H157-1900)*10)+400+J157, ((H157-1730)*2)+J157))+VLOOKUP(L157,'ID Scheme'!$A$2:$B$7,2, FALSE)</f>
        <v>9601</v>
      </c>
      <c r="F157">
        <v>9601</v>
      </c>
      <c r="G157" t="s">
        <v>683</v>
      </c>
      <c r="H157">
        <v>1960</v>
      </c>
      <c r="I157">
        <v>1</v>
      </c>
      <c r="J157">
        <v>1</v>
      </c>
      <c r="K157" t="s">
        <v>521</v>
      </c>
      <c r="L157" t="s">
        <v>104</v>
      </c>
      <c r="M157" t="s">
        <v>503</v>
      </c>
      <c r="N157">
        <v>36</v>
      </c>
      <c r="O157">
        <v>30</v>
      </c>
      <c r="P157">
        <v>40</v>
      </c>
      <c r="Q157">
        <v>12</v>
      </c>
      <c r="R157">
        <v>15</v>
      </c>
      <c r="S157">
        <v>114</v>
      </c>
      <c r="T157">
        <v>20</v>
      </c>
      <c r="U157">
        <v>122</v>
      </c>
      <c r="V157">
        <v>1</v>
      </c>
      <c r="W157" t="s">
        <v>365</v>
      </c>
      <c r="X157">
        <v>0</v>
      </c>
      <c r="Y157" s="2" t="s">
        <v>418</v>
      </c>
      <c r="Z157" s="2"/>
      <c r="AA157" s="2"/>
      <c r="AB157" s="2"/>
      <c r="AC157" s="2"/>
      <c r="AD157" s="2"/>
      <c r="AE157" s="2"/>
      <c r="AF157" s="2"/>
      <c r="AG157" s="2"/>
      <c r="AH157" s="2"/>
      <c r="AJ157" t="s">
        <v>372</v>
      </c>
      <c r="AK157">
        <v>1</v>
      </c>
      <c r="AL157" t="s">
        <v>374</v>
      </c>
      <c r="AM157" t="s">
        <v>372</v>
      </c>
      <c r="AN157" t="s">
        <v>375</v>
      </c>
      <c r="AO157" t="s">
        <v>549</v>
      </c>
      <c r="AP157">
        <v>8</v>
      </c>
      <c r="AQ157">
        <v>1</v>
      </c>
      <c r="AS157" s="2">
        <f>(SQRT(N157*U157)*POWER((MIN(P157,20)+SQRT(MAX(P157-20,0))),0.9)*Data!$B$1)*(1-(V157-1))</f>
        <v>88.348080485686708</v>
      </c>
      <c r="AT157" s="2"/>
      <c r="AU157" s="2">
        <f>((POWER((N157*N157*U157), 0.33)*LOG10(S157)*10*Data!$B$1)*V157)+AT157</f>
        <v>80.155598368589864</v>
      </c>
      <c r="AV157" s="2">
        <f t="shared" ref="AV157:AV164" si="89">N157/1.24</f>
        <v>29.032258064516128</v>
      </c>
      <c r="AW157" s="2">
        <f t="shared" si="88"/>
        <v>0</v>
      </c>
      <c r="AX157" s="2">
        <v>2</v>
      </c>
      <c r="AZ157" s="2">
        <v>2</v>
      </c>
      <c r="BA157" s="2">
        <v>2</v>
      </c>
      <c r="BB157" s="2">
        <f t="shared" ref="BB157:BB164" si="90">U157/BA157</f>
        <v>61</v>
      </c>
      <c r="BC157" s="2">
        <f t="shared" ref="BC157:BC164" si="91">(U157)/MAX(AZ157-1, 1)</f>
        <v>122</v>
      </c>
      <c r="BF157" s="3"/>
      <c r="BG157" s="2" t="str">
        <f>CONCATENATE(
ROUND(BD157*VLOOKUP(L157,'ID Scheme'!$A$2:$E$7,3),0), "x",
ROUND(BE157*VLOOKUP(L157,'ID Scheme'!$A$2:$E$7,5),0), "x",
ROUND(BF157*VLOOKUP(L157,'ID Scheme'!$A$2:$E$7,4),0))</f>
        <v>0x0x0</v>
      </c>
      <c r="BH157" t="s">
        <v>122</v>
      </c>
    </row>
    <row r="158" spans="1:60" x14ac:dyDescent="0.25">
      <c r="A158" t="s">
        <v>112</v>
      </c>
      <c r="B158" t="s">
        <v>205</v>
      </c>
      <c r="C158" t="s">
        <v>285</v>
      </c>
      <c r="D158">
        <f>IF(H158 &gt; 2020, ((H158-2020)*4)+1610+J158,IF(H158 &gt; 1900, ((H158-1900)*10)+400+J158, ((H158-1730)*2)+J158))+VLOOKUP(L158,'ID Scheme'!$A$2:$B$7,2, FALSE)</f>
        <v>9791</v>
      </c>
      <c r="F158">
        <v>9791</v>
      </c>
      <c r="G158" t="s">
        <v>683</v>
      </c>
      <c r="H158">
        <v>1979</v>
      </c>
      <c r="I158">
        <v>6</v>
      </c>
      <c r="J158">
        <v>1</v>
      </c>
      <c r="K158" t="s">
        <v>521</v>
      </c>
      <c r="L158" t="s">
        <v>104</v>
      </c>
      <c r="M158" t="s">
        <v>503</v>
      </c>
      <c r="N158">
        <v>40</v>
      </c>
      <c r="O158">
        <v>25</v>
      </c>
      <c r="P158">
        <v>35</v>
      </c>
      <c r="Q158">
        <v>11</v>
      </c>
      <c r="R158">
        <v>12</v>
      </c>
      <c r="S158">
        <v>114</v>
      </c>
      <c r="T158">
        <v>20</v>
      </c>
      <c r="U158">
        <v>108</v>
      </c>
      <c r="V158">
        <v>1</v>
      </c>
      <c r="W158" t="s">
        <v>365</v>
      </c>
      <c r="X158">
        <v>0</v>
      </c>
      <c r="Y158" s="2" t="s">
        <v>419</v>
      </c>
      <c r="Z158" s="2"/>
      <c r="AA158" s="2"/>
      <c r="AB158" s="2"/>
      <c r="AC158" s="2"/>
      <c r="AD158" s="2"/>
      <c r="AE158" s="2"/>
      <c r="AF158" s="2"/>
      <c r="AG158" s="2"/>
      <c r="AH158" s="2"/>
      <c r="AP158">
        <v>8</v>
      </c>
      <c r="AQ158">
        <v>1</v>
      </c>
      <c r="AS158" s="2">
        <f>(SQRT(N158*U158)*POWER((MIN(P158,20)+SQRT(MAX(P158-20,0))),0.9)*Data!$B$1)*(1-(V158-1))</f>
        <v>85.687833488938395</v>
      </c>
      <c r="AT158" s="2"/>
      <c r="AU158" s="2">
        <f>((POWER((N158*N158*U158), 0.33)*LOG10(S158)*10*Data!$B$1)*V158)+AT158</f>
        <v>82.540082660234276</v>
      </c>
      <c r="AV158" s="2">
        <f t="shared" si="89"/>
        <v>32.258064516129032</v>
      </c>
      <c r="AW158" s="2">
        <f t="shared" si="88"/>
        <v>0</v>
      </c>
      <c r="AZ158" s="2">
        <v>1</v>
      </c>
      <c r="BA158" s="2">
        <v>1</v>
      </c>
      <c r="BB158" s="2">
        <f t="shared" si="90"/>
        <v>108</v>
      </c>
      <c r="BC158" s="2">
        <f t="shared" si="91"/>
        <v>108</v>
      </c>
      <c r="BF158" s="3"/>
      <c r="BG158" s="2" t="str">
        <f>CONCATENATE(
ROUND(BD158*VLOOKUP(L158,'ID Scheme'!$A$2:$E$7,3),0), "x",
ROUND(BE158*VLOOKUP(L158,'ID Scheme'!$A$2:$E$7,5),0), "x",
ROUND(BF158*VLOOKUP(L158,'ID Scheme'!$A$2:$E$7,4),0))</f>
        <v>0x0x0</v>
      </c>
      <c r="BH158" t="s">
        <v>121</v>
      </c>
    </row>
    <row r="159" spans="1:60" x14ac:dyDescent="0.25">
      <c r="A159" t="s">
        <v>113</v>
      </c>
      <c r="B159" t="s">
        <v>242</v>
      </c>
      <c r="C159" t="s">
        <v>285</v>
      </c>
      <c r="D159">
        <f>IF(H159 &gt; 2020, ((H159-2020)*4)+1610+J159,IF(H159 &gt; 1900, ((H159-1900)*10)+400+J159, ((H159-1730)*2)+J159))+VLOOKUP(L159,'ID Scheme'!$A$2:$B$7,2, FALSE)</f>
        <v>9841</v>
      </c>
      <c r="F159">
        <v>9841</v>
      </c>
      <c r="G159" t="s">
        <v>683</v>
      </c>
      <c r="H159">
        <v>1984</v>
      </c>
      <c r="I159">
        <v>1</v>
      </c>
      <c r="J159">
        <v>1</v>
      </c>
      <c r="K159" t="s">
        <v>521</v>
      </c>
      <c r="L159" t="s">
        <v>104</v>
      </c>
      <c r="M159" t="s">
        <v>503</v>
      </c>
      <c r="N159">
        <v>43</v>
      </c>
      <c r="O159">
        <v>30</v>
      </c>
      <c r="P159">
        <v>40</v>
      </c>
      <c r="Q159">
        <v>10</v>
      </c>
      <c r="R159">
        <v>8</v>
      </c>
      <c r="S159">
        <v>114</v>
      </c>
      <c r="T159">
        <v>20</v>
      </c>
      <c r="U159">
        <v>70</v>
      </c>
      <c r="V159">
        <v>1</v>
      </c>
      <c r="W159" t="s">
        <v>365</v>
      </c>
      <c r="X159">
        <v>0</v>
      </c>
      <c r="Y159" s="2" t="s">
        <v>420</v>
      </c>
      <c r="Z159" s="2"/>
      <c r="AA159" s="2"/>
      <c r="AB159" s="2"/>
      <c r="AC159" s="2"/>
      <c r="AD159" s="2"/>
      <c r="AE159" s="2"/>
      <c r="AF159" s="2"/>
      <c r="AG159" s="2"/>
      <c r="AH159" s="2"/>
      <c r="AP159">
        <v>8</v>
      </c>
      <c r="AQ159">
        <v>1</v>
      </c>
      <c r="AS159" s="2">
        <f>(SQRT(N159*U159)*POWER((MIN(P159,20)+SQRT(MAX(P159-20,0))),0.9)*Data!$B$1)*(1-(V159-1))</f>
        <v>73.139030669847884</v>
      </c>
      <c r="AT159" s="2"/>
      <c r="AU159" s="2">
        <f>((POWER((N159*N159*U159), 0.33)*LOG10(S159)*10*Data!$B$1)*V159)+AT159</f>
        <v>75.032082395822727</v>
      </c>
      <c r="AV159" s="2">
        <f t="shared" si="89"/>
        <v>34.677419354838712</v>
      </c>
      <c r="AW159" s="2">
        <f t="shared" si="88"/>
        <v>0</v>
      </c>
      <c r="AZ159" s="2">
        <v>1</v>
      </c>
      <c r="BA159" s="2">
        <v>1</v>
      </c>
      <c r="BB159" s="2">
        <f t="shared" si="90"/>
        <v>70</v>
      </c>
      <c r="BC159" s="2">
        <f t="shared" si="91"/>
        <v>70</v>
      </c>
      <c r="BF159" s="3"/>
      <c r="BG159" s="2" t="str">
        <f>CONCATENATE(
ROUND(BD159*VLOOKUP(L159,'ID Scheme'!$A$2:$E$7,3),0), "x",
ROUND(BE159*VLOOKUP(L159,'ID Scheme'!$A$2:$E$7,5),0), "x",
ROUND(BF159*VLOOKUP(L159,'ID Scheme'!$A$2:$E$7,4),0))</f>
        <v>0x0x0</v>
      </c>
      <c r="BH159" t="s">
        <v>121</v>
      </c>
    </row>
    <row r="160" spans="1:60" x14ac:dyDescent="0.25">
      <c r="A160" t="s">
        <v>114</v>
      </c>
      <c r="B160" t="s">
        <v>246</v>
      </c>
      <c r="C160" t="s">
        <v>324</v>
      </c>
      <c r="D160">
        <f>IF(H160 &gt; 2020, ((H160-2020)*4)+1610+J160,IF(H160 &gt; 1900, ((H160-1900)*10)+400+J160, ((H160-1730)*2)+J160))+VLOOKUP(L160,'ID Scheme'!$A$2:$B$7,2, FALSE)</f>
        <v>9871</v>
      </c>
      <c r="F160">
        <v>9871</v>
      </c>
      <c r="G160" t="s">
        <v>683</v>
      </c>
      <c r="H160">
        <v>1987</v>
      </c>
      <c r="I160">
        <v>1</v>
      </c>
      <c r="J160">
        <v>1</v>
      </c>
      <c r="K160" t="s">
        <v>521</v>
      </c>
      <c r="L160" t="s">
        <v>104</v>
      </c>
      <c r="M160" t="s">
        <v>503</v>
      </c>
      <c r="N160">
        <v>40</v>
      </c>
      <c r="O160">
        <v>28</v>
      </c>
      <c r="P160">
        <v>25</v>
      </c>
      <c r="Q160">
        <v>14</v>
      </c>
      <c r="R160">
        <v>18</v>
      </c>
      <c r="S160">
        <v>375</v>
      </c>
      <c r="T160">
        <v>20</v>
      </c>
      <c r="U160">
        <v>188</v>
      </c>
      <c r="V160">
        <v>1</v>
      </c>
      <c r="W160" t="s">
        <v>365</v>
      </c>
      <c r="X160">
        <v>0</v>
      </c>
      <c r="Y160" s="2" t="s">
        <v>424</v>
      </c>
      <c r="Z160" s="2"/>
      <c r="AA160" s="2"/>
      <c r="AB160" s="2"/>
      <c r="AC160" s="2"/>
      <c r="AD160" s="2"/>
      <c r="AE160" s="2"/>
      <c r="AF160" s="2"/>
      <c r="AG160" s="2"/>
      <c r="AH160" s="2"/>
      <c r="AJ160" t="s">
        <v>372</v>
      </c>
      <c r="AK160" t="s">
        <v>705</v>
      </c>
      <c r="AL160" t="s">
        <v>376</v>
      </c>
      <c r="AM160" t="s">
        <v>377</v>
      </c>
      <c r="AN160" t="s">
        <v>378</v>
      </c>
      <c r="AO160" t="s">
        <v>550</v>
      </c>
      <c r="AP160">
        <v>8</v>
      </c>
      <c r="AQ160">
        <v>1</v>
      </c>
      <c r="AS160" s="2">
        <f>(SQRT(N160*U160)*POWER((MIN(P160,20)+SQRT(MAX(P160-20,0))),0.9)*Data!$B$1)*(1-(V160-1))</f>
        <v>106.05285816833118</v>
      </c>
      <c r="AT160" s="2"/>
      <c r="AU160" s="2">
        <f>((POWER((N160*N160*U160), 0.33)*LOG10(S160)*10*Data!$B$1)*V160)+AT160</f>
        <v>124.02429472574501</v>
      </c>
      <c r="AV160" s="2">
        <f t="shared" si="89"/>
        <v>32.258064516129032</v>
      </c>
      <c r="AW160" s="2">
        <f t="shared" si="88"/>
        <v>0</v>
      </c>
      <c r="AX160" s="2">
        <v>4</v>
      </c>
      <c r="AZ160" s="2">
        <v>4</v>
      </c>
      <c r="BA160" s="2">
        <v>4</v>
      </c>
      <c r="BB160" s="2">
        <f t="shared" si="90"/>
        <v>47</v>
      </c>
      <c r="BC160" s="2">
        <f t="shared" si="91"/>
        <v>62.666666666666664</v>
      </c>
      <c r="BD160">
        <v>28</v>
      </c>
      <c r="BE160">
        <v>2.65</v>
      </c>
      <c r="BF160" s="3">
        <v>3.47</v>
      </c>
      <c r="BG160" s="2" t="str">
        <f>CONCATENATE(
ROUND(BD160*VLOOKUP(L160,'ID Scheme'!$A$2:$E$7,3),0), "x",
ROUND(BE160*VLOOKUP(L160,'ID Scheme'!$A$2:$E$7,5),0), "x",
ROUND(BF160*VLOOKUP(L160,'ID Scheme'!$A$2:$E$7,4),0))</f>
        <v>262x38x34</v>
      </c>
      <c r="BH160" t="s">
        <v>128</v>
      </c>
    </row>
    <row r="161" spans="1:60" x14ac:dyDescent="0.25">
      <c r="A161" t="s">
        <v>126</v>
      </c>
      <c r="B161" t="s">
        <v>241</v>
      </c>
      <c r="C161" t="s">
        <v>324</v>
      </c>
      <c r="D161">
        <f>IF(H161 &gt; 2020, ((H161-2020)*4)+1610+J161,IF(H161 &gt; 1900, ((H161-1900)*10)+400+J161, ((H161-1730)*2)+J161))+VLOOKUP(L161,'ID Scheme'!$A$2:$B$7,2, FALSE)</f>
        <v>9981</v>
      </c>
      <c r="F161">
        <v>9981</v>
      </c>
      <c r="G161" t="s">
        <v>683</v>
      </c>
      <c r="H161">
        <v>1998</v>
      </c>
      <c r="I161">
        <v>9</v>
      </c>
      <c r="J161">
        <v>1</v>
      </c>
      <c r="K161" t="s">
        <v>521</v>
      </c>
      <c r="L161" t="s">
        <v>104</v>
      </c>
      <c r="M161" t="s">
        <v>503</v>
      </c>
      <c r="N161">
        <v>50</v>
      </c>
      <c r="O161">
        <v>-1</v>
      </c>
      <c r="P161">
        <v>25</v>
      </c>
      <c r="Q161">
        <v>14</v>
      </c>
      <c r="R161">
        <v>36</v>
      </c>
      <c r="S161">
        <v>480</v>
      </c>
      <c r="T161">
        <v>20</v>
      </c>
      <c r="U161">
        <v>208</v>
      </c>
      <c r="V161">
        <v>1</v>
      </c>
      <c r="W161" t="s">
        <v>365</v>
      </c>
      <c r="X161">
        <v>0</v>
      </c>
      <c r="Y161" s="2" t="s">
        <v>421</v>
      </c>
      <c r="Z161" s="2"/>
      <c r="AA161" s="2"/>
      <c r="AB161" s="2"/>
      <c r="AC161" s="2"/>
      <c r="AD161" s="2"/>
      <c r="AE161" s="2"/>
      <c r="AF161" s="2"/>
      <c r="AG161" s="2"/>
      <c r="AH161" s="2"/>
      <c r="AJ161" t="s">
        <v>372</v>
      </c>
      <c r="AK161" t="s">
        <v>380</v>
      </c>
      <c r="AL161" s="5">
        <v>104104</v>
      </c>
      <c r="AM161" t="s">
        <v>372</v>
      </c>
      <c r="AN161" t="s">
        <v>375</v>
      </c>
      <c r="AO161" t="s">
        <v>551</v>
      </c>
      <c r="AP161">
        <v>8</v>
      </c>
      <c r="AQ161">
        <v>1</v>
      </c>
      <c r="AS161" s="2">
        <f>(SQRT(N161*U161)*POWER((MIN(P161,20)+SQRT(MAX(P161-20,0))),0.9)*Data!$B$1)*(1-(V161-1))</f>
        <v>124.71828400555908</v>
      </c>
      <c r="AT161" s="2"/>
      <c r="AU161" s="2">
        <f>((POWER((N161*N161*U161), 0.33)*LOG10(S161)*10*Data!$B$1)*V161)+AT161</f>
        <v>154.76696175306753</v>
      </c>
      <c r="AV161" s="2">
        <f t="shared" si="89"/>
        <v>40.322580645161288</v>
      </c>
      <c r="AW161" s="2">
        <f t="shared" si="88"/>
        <v>0</v>
      </c>
      <c r="AX161" s="2">
        <v>2</v>
      </c>
      <c r="AZ161" s="2">
        <v>2</v>
      </c>
      <c r="BA161" s="2">
        <v>2</v>
      </c>
      <c r="BB161" s="2">
        <f t="shared" si="90"/>
        <v>104</v>
      </c>
      <c r="BC161" s="2">
        <f t="shared" si="91"/>
        <v>208</v>
      </c>
      <c r="BD161">
        <v>30</v>
      </c>
      <c r="BE161">
        <v>2.65</v>
      </c>
      <c r="BF161" s="3">
        <v>3.67</v>
      </c>
      <c r="BG161" s="2" t="str">
        <f>CONCATENATE(
ROUND(BD161*VLOOKUP(L161,'ID Scheme'!$A$2:$E$7,3),0), "x",
ROUND(BE161*VLOOKUP(L161,'ID Scheme'!$A$2:$E$7,5),0), "x",
ROUND(BF161*VLOOKUP(L161,'ID Scheme'!$A$2:$E$7,4),0))</f>
        <v>280x38x36</v>
      </c>
      <c r="BH161" t="s">
        <v>127</v>
      </c>
    </row>
    <row r="162" spans="1:60" x14ac:dyDescent="0.25">
      <c r="A162" t="s">
        <v>115</v>
      </c>
      <c r="B162" t="s">
        <v>245</v>
      </c>
      <c r="C162" t="s">
        <v>324</v>
      </c>
      <c r="D162">
        <f>IF(H162 &gt; 2020, ((H162-2020)*4)+1610+J162,IF(H162 &gt; 1900, ((H162-1900)*10)+400+J162, ((H162-1730)*2)+J162))+VLOOKUP(L162,'ID Scheme'!$A$2:$B$7,2, FALSE)</f>
        <v>10082</v>
      </c>
      <c r="F162">
        <v>10082</v>
      </c>
      <c r="G162" t="s">
        <v>683</v>
      </c>
      <c r="H162">
        <v>2008</v>
      </c>
      <c r="I162">
        <v>1</v>
      </c>
      <c r="J162">
        <v>2</v>
      </c>
      <c r="K162" t="s">
        <v>521</v>
      </c>
      <c r="L162" t="s">
        <v>104</v>
      </c>
      <c r="M162" t="s">
        <v>503</v>
      </c>
      <c r="N162">
        <v>62</v>
      </c>
      <c r="O162">
        <v>-1</v>
      </c>
      <c r="P162">
        <v>25</v>
      </c>
      <c r="Q162">
        <v>14</v>
      </c>
      <c r="R162">
        <v>36</v>
      </c>
      <c r="S162">
        <v>375</v>
      </c>
      <c r="T162">
        <v>20</v>
      </c>
      <c r="U162">
        <v>284</v>
      </c>
      <c r="V162">
        <v>1</v>
      </c>
      <c r="W162" t="s">
        <v>365</v>
      </c>
      <c r="X162">
        <v>0</v>
      </c>
      <c r="Y162" s="2" t="s">
        <v>426</v>
      </c>
      <c r="Z162" s="2"/>
      <c r="AA162" s="2"/>
      <c r="AB162" s="2"/>
      <c r="AC162" s="2"/>
      <c r="AD162" s="2"/>
      <c r="AE162" s="2"/>
      <c r="AF162" s="2"/>
      <c r="AG162" s="2"/>
      <c r="AH162" s="2"/>
      <c r="AJ162" t="s">
        <v>372</v>
      </c>
      <c r="AK162" t="s">
        <v>400</v>
      </c>
      <c r="AL162" t="s">
        <v>381</v>
      </c>
      <c r="AM162" t="s">
        <v>382</v>
      </c>
      <c r="AN162" t="s">
        <v>383</v>
      </c>
      <c r="AO162" t="s">
        <v>552</v>
      </c>
      <c r="AP162">
        <v>8</v>
      </c>
      <c r="AQ162">
        <v>1</v>
      </c>
      <c r="AS162" s="2">
        <f>(SQRT(N162*U162)*POWER((MIN(P162,20)+SQRT(MAX(P162-20,0))),0.9)*Data!$B$1)*(1-(V162-1))</f>
        <v>162.28129769016738</v>
      </c>
      <c r="AT162" s="2"/>
      <c r="AU162" s="2">
        <f>((POWER((N162*N162*U162), 0.33)*LOG10(S162)*10*Data!$B$1)*V162)+AT162</f>
        <v>189.77921627665754</v>
      </c>
      <c r="AV162" s="2">
        <f t="shared" si="89"/>
        <v>50</v>
      </c>
      <c r="AW162" s="2">
        <f t="shared" si="88"/>
        <v>0</v>
      </c>
      <c r="AX162" s="2">
        <v>6</v>
      </c>
      <c r="AZ162" s="2">
        <v>6</v>
      </c>
      <c r="BA162" s="2">
        <v>6</v>
      </c>
      <c r="BB162" s="2">
        <f t="shared" si="90"/>
        <v>47.333333333333336</v>
      </c>
      <c r="BC162" s="2">
        <f t="shared" si="91"/>
        <v>56.8</v>
      </c>
      <c r="BD162">
        <v>32</v>
      </c>
      <c r="BE162">
        <v>2.65</v>
      </c>
      <c r="BF162" s="3">
        <v>3.42</v>
      </c>
      <c r="BG162" s="2" t="str">
        <f>CONCATENATE(
ROUND(BD162*VLOOKUP(L162,'ID Scheme'!$A$2:$E$7,3),0), "x",
ROUND(BE162*VLOOKUP(L162,'ID Scheme'!$A$2:$E$7,5),0), "x",
ROUND(BF162*VLOOKUP(L162,'ID Scheme'!$A$2:$E$7,4),0))</f>
        <v>299x38x33</v>
      </c>
      <c r="BH162" t="s">
        <v>129</v>
      </c>
    </row>
    <row r="163" spans="1:60" x14ac:dyDescent="0.25">
      <c r="A163" t="s">
        <v>135</v>
      </c>
      <c r="B163" t="s">
        <v>248</v>
      </c>
      <c r="C163" t="s">
        <v>324</v>
      </c>
      <c r="D163">
        <f>IF(H163 &gt; 2020, ((H163-2020)*4)+1610+J163,IF(H163 &gt; 1900, ((H163-1900)*10)+400+J163, ((H163-1730)*2)+J163))+VLOOKUP(L163,'ID Scheme'!$A$2:$B$7,2, FALSE)</f>
        <v>10101</v>
      </c>
      <c r="F163">
        <v>10101</v>
      </c>
      <c r="G163" t="s">
        <v>683</v>
      </c>
      <c r="H163">
        <v>2010</v>
      </c>
      <c r="I163">
        <v>11</v>
      </c>
      <c r="J163">
        <v>1</v>
      </c>
      <c r="K163" t="s">
        <v>521</v>
      </c>
      <c r="L163" t="s">
        <v>104</v>
      </c>
      <c r="M163" t="s">
        <v>503</v>
      </c>
      <c r="N163">
        <v>44</v>
      </c>
      <c r="O163">
        <v>-1</v>
      </c>
      <c r="P163">
        <v>25</v>
      </c>
      <c r="Q163">
        <v>14</v>
      </c>
      <c r="R163">
        <v>41</v>
      </c>
      <c r="S163">
        <v>640</v>
      </c>
      <c r="T163">
        <v>20</v>
      </c>
      <c r="U163">
        <v>225</v>
      </c>
      <c r="V163">
        <v>1</v>
      </c>
      <c r="W163" t="s">
        <v>365</v>
      </c>
      <c r="X163">
        <v>0</v>
      </c>
      <c r="Y163" s="2" t="s">
        <v>422</v>
      </c>
      <c r="Z163" s="2"/>
      <c r="AA163" s="2"/>
      <c r="AB163" s="2"/>
      <c r="AC163" s="2"/>
      <c r="AD163" s="2"/>
      <c r="AE163" s="2"/>
      <c r="AF163" s="2"/>
      <c r="AG163" s="2"/>
      <c r="AH163" s="2"/>
      <c r="AJ163" t="s">
        <v>384</v>
      </c>
      <c r="AK163" t="s">
        <v>401</v>
      </c>
      <c r="AL163" t="s">
        <v>385</v>
      </c>
      <c r="AM163" t="s">
        <v>386</v>
      </c>
      <c r="AN163" t="s">
        <v>387</v>
      </c>
      <c r="AO163" t="s">
        <v>577</v>
      </c>
      <c r="AP163">
        <v>6</v>
      </c>
      <c r="AQ163">
        <v>1</v>
      </c>
      <c r="AS163" s="2">
        <f>(SQRT(N163*U163)*POWER((MIN(P163,20)+SQRT(MAX(P163-20,0))),0.9)*Data!$B$1)*(1-(V163-1))</f>
        <v>121.68332110930714</v>
      </c>
      <c r="AT163" s="2"/>
      <c r="AU163" s="2">
        <f>((POWER((N163*N163*U163), 0.33)*LOG10(S163)*10*Data!$B$1)*V163)+AT163</f>
        <v>152.78326328641526</v>
      </c>
      <c r="AV163" s="2">
        <f t="shared" si="89"/>
        <v>35.483870967741936</v>
      </c>
      <c r="AW163" s="2">
        <f t="shared" si="88"/>
        <v>0</v>
      </c>
      <c r="AX163" s="2">
        <v>5</v>
      </c>
      <c r="AZ163" s="2">
        <v>5</v>
      </c>
      <c r="BA163" s="2">
        <v>5</v>
      </c>
      <c r="BB163" s="2">
        <f t="shared" si="90"/>
        <v>45</v>
      </c>
      <c r="BC163" s="2">
        <f t="shared" si="91"/>
        <v>56.25</v>
      </c>
      <c r="BF163" s="3"/>
      <c r="BG163" s="2" t="str">
        <f>CONCATENATE(
ROUND(BD163*VLOOKUP(L163,'ID Scheme'!$A$2:$E$7,3),0), "x",
ROUND(BE163*VLOOKUP(L163,'ID Scheme'!$A$2:$E$7,5),0), "x",
ROUND(BF163*VLOOKUP(L163,'ID Scheme'!$A$2:$E$7,4),0))</f>
        <v>0x0x0</v>
      </c>
      <c r="BH163" t="s">
        <v>136</v>
      </c>
    </row>
    <row r="164" spans="1:60" x14ac:dyDescent="0.25">
      <c r="A164" t="s">
        <v>133</v>
      </c>
      <c r="B164" t="s">
        <v>256</v>
      </c>
      <c r="C164" t="s">
        <v>324</v>
      </c>
      <c r="D164">
        <f>IF(H164 &gt; 2020, ((H164-2020)*4)+1610+J164,IF(H164 &gt; 1900, ((H164-1900)*10)+400+J164, ((H164-1730)*2)+J164))+VLOOKUP(L164,'ID Scheme'!$A$2:$B$7,2, FALSE)</f>
        <v>10171</v>
      </c>
      <c r="F164">
        <v>10171</v>
      </c>
      <c r="G164" t="s">
        <v>683</v>
      </c>
      <c r="H164">
        <v>2017</v>
      </c>
      <c r="I164">
        <v>1</v>
      </c>
      <c r="J164">
        <v>1</v>
      </c>
      <c r="K164" t="s">
        <v>521</v>
      </c>
      <c r="L164" t="s">
        <v>104</v>
      </c>
      <c r="M164" t="s">
        <v>503</v>
      </c>
      <c r="N164">
        <v>62</v>
      </c>
      <c r="O164">
        <v>-1</v>
      </c>
      <c r="P164">
        <v>30</v>
      </c>
      <c r="Q164">
        <v>12</v>
      </c>
      <c r="R164">
        <v>63</v>
      </c>
      <c r="S164">
        <v>1180</v>
      </c>
      <c r="T164">
        <v>20</v>
      </c>
      <c r="U164">
        <v>238</v>
      </c>
      <c r="V164">
        <v>1</v>
      </c>
      <c r="W164" t="s">
        <v>365</v>
      </c>
      <c r="X164">
        <v>0</v>
      </c>
      <c r="Y164" s="2" t="s">
        <v>425</v>
      </c>
      <c r="Z164" s="2"/>
      <c r="AA164" s="2"/>
      <c r="AB164" s="2"/>
      <c r="AC164" s="2"/>
      <c r="AD164" s="2"/>
      <c r="AE164" s="2"/>
      <c r="AF164" s="2"/>
      <c r="AG164" s="2"/>
      <c r="AH164" s="2"/>
      <c r="AJ164" t="s">
        <v>388</v>
      </c>
      <c r="AK164" t="s">
        <v>402</v>
      </c>
      <c r="AL164" t="s">
        <v>389</v>
      </c>
      <c r="AM164" t="s">
        <v>388</v>
      </c>
      <c r="AN164" t="s">
        <v>390</v>
      </c>
      <c r="AO164" t="s">
        <v>553</v>
      </c>
      <c r="AP164">
        <v>8</v>
      </c>
      <c r="AQ164">
        <v>1</v>
      </c>
      <c r="AS164" s="2">
        <f>(SQRT(N164*U164)*POWER((MIN(P164,20)+SQRT(MAX(P164-20,0))),0.9)*Data!$B$1)*(1-(V164-1))</f>
        <v>154.11635315507084</v>
      </c>
      <c r="AT164" s="2"/>
      <c r="AU164" s="2">
        <f>((POWER((N164*N164*U164), 0.33)*LOG10(S164)*10*Data!$B$1)*V164)+AT164</f>
        <v>213.65580865997862</v>
      </c>
      <c r="AV164" s="2">
        <f t="shared" si="89"/>
        <v>50</v>
      </c>
      <c r="AW164" s="2">
        <f t="shared" si="88"/>
        <v>0</v>
      </c>
      <c r="AX164" s="2">
        <v>3</v>
      </c>
      <c r="AZ164" s="2">
        <v>3</v>
      </c>
      <c r="BA164" s="2">
        <v>3</v>
      </c>
      <c r="BB164" s="2">
        <f t="shared" si="90"/>
        <v>79.333333333333329</v>
      </c>
      <c r="BC164" s="2">
        <f t="shared" si="91"/>
        <v>119</v>
      </c>
      <c r="BD164">
        <v>37.200000000000003</v>
      </c>
      <c r="BE164">
        <v>2.65</v>
      </c>
      <c r="BF164" s="3">
        <v>3.6</v>
      </c>
      <c r="BG164" s="2" t="str">
        <f>CONCATENATE(
ROUND(BD164*VLOOKUP(L164,'ID Scheme'!$A$2:$E$7,3),0), "x",
ROUND(BE164*VLOOKUP(L164,'ID Scheme'!$A$2:$E$7,5),0), "x",
ROUND(BF164*VLOOKUP(L164,'ID Scheme'!$A$2:$E$7,4),0))</f>
        <v>347x38x35</v>
      </c>
      <c r="BH164" t="s">
        <v>134</v>
      </c>
    </row>
  </sheetData>
  <autoFilter ref="A1:BH164" xr:uid="{56F55A87-583C-464E-B7D6-67124107F553}">
    <sortState xmlns:xlrd2="http://schemas.microsoft.com/office/spreadsheetml/2017/richdata2" ref="A2:BH164">
      <sortCondition ref="D1:D164"/>
    </sortState>
  </autoFilter>
  <sortState xmlns:xlrd2="http://schemas.microsoft.com/office/spreadsheetml/2017/richdata2" ref="A3:BH164">
    <sortCondition ref="D99"/>
  </sortState>
  <dataValidations count="1">
    <dataValidation showDropDown="1" showInputMessage="1" showErrorMessage="1" sqref="M1:M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L27:L43 L45:L1048576 L1:L25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5" x14ac:dyDescent="0.25"/>
  <cols>
    <col min="1" max="1" width="22.28515625" bestFit="1" customWidth="1"/>
  </cols>
  <sheetData>
    <row r="1" spans="1:2" x14ac:dyDescent="0.25">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5" x14ac:dyDescent="0.25"/>
  <cols>
    <col min="1" max="1" width="12.42578125" bestFit="1" customWidth="1"/>
    <col min="2" max="2" width="7.42578125" bestFit="1" customWidth="1"/>
    <col min="3" max="3" width="12" bestFit="1" customWidth="1"/>
    <col min="4" max="4" width="11.85546875" bestFit="1" customWidth="1"/>
    <col min="5" max="5" width="11.5703125" bestFit="1" customWidth="1"/>
  </cols>
  <sheetData>
    <row r="1" spans="1:5" x14ac:dyDescent="0.25">
      <c r="A1" s="1" t="s">
        <v>10</v>
      </c>
      <c r="B1" s="1" t="s">
        <v>11</v>
      </c>
      <c r="C1" s="1" t="s">
        <v>67</v>
      </c>
      <c r="D1" s="1" t="s">
        <v>68</v>
      </c>
      <c r="E1" s="1" t="s">
        <v>69</v>
      </c>
    </row>
    <row r="2" spans="1:5" x14ac:dyDescent="0.25">
      <c r="A2" t="s">
        <v>12</v>
      </c>
      <c r="B2">
        <v>600</v>
      </c>
      <c r="C2">
        <v>9.34</v>
      </c>
      <c r="D2">
        <v>9.68</v>
      </c>
      <c r="E2">
        <v>14.4</v>
      </c>
    </row>
    <row r="3" spans="1:5" x14ac:dyDescent="0.25">
      <c r="A3" t="s">
        <v>13</v>
      </c>
      <c r="B3">
        <f t="shared" ref="B3:B6" si="0">B2+2000</f>
        <v>2600</v>
      </c>
      <c r="C3">
        <v>9.34</v>
      </c>
      <c r="D3">
        <v>9.68</v>
      </c>
      <c r="E3">
        <v>14.4</v>
      </c>
    </row>
    <row r="4" spans="1:5" x14ac:dyDescent="0.25">
      <c r="A4" t="s">
        <v>14</v>
      </c>
      <c r="B4">
        <f t="shared" si="0"/>
        <v>4600</v>
      </c>
      <c r="C4">
        <v>9.34</v>
      </c>
      <c r="D4">
        <v>9.68</v>
      </c>
      <c r="E4">
        <v>14.4</v>
      </c>
    </row>
    <row r="5" spans="1:5" x14ac:dyDescent="0.25">
      <c r="A5" t="s">
        <v>48</v>
      </c>
      <c r="B5">
        <f t="shared" si="0"/>
        <v>6600</v>
      </c>
      <c r="C5">
        <v>9.34</v>
      </c>
      <c r="D5">
        <v>9.68</v>
      </c>
      <c r="E5">
        <v>14.4</v>
      </c>
    </row>
    <row r="6" spans="1:5" x14ac:dyDescent="0.25">
      <c r="A6" t="s">
        <v>104</v>
      </c>
      <c r="B6">
        <f t="shared" si="0"/>
        <v>8600</v>
      </c>
      <c r="C6">
        <v>9.34</v>
      </c>
      <c r="D6">
        <v>9.68</v>
      </c>
      <c r="E6">
        <v>14.4</v>
      </c>
    </row>
    <row r="7" spans="1:5" x14ac:dyDescent="0.25">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2025-04-21T11:36:57Z</dcterms:modified>
</cp:coreProperties>
</file>