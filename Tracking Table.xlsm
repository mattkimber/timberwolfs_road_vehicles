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F06ED608-8F57-4C04-B424-14E7E5111E9F}" xr6:coauthVersionLast="47" xr6:coauthVersionMax="47" xr10:uidLastSave="{00000000-0000-0000-0000-000000000000}"/>
  <bookViews>
    <workbookView xWindow="7220" yWindow="2220" windowWidth="18010" windowHeight="12490" tabRatio="1000" xr2:uid="{00000000-000D-0000-FFFF-FFFF00000000}"/>
  </bookViews>
  <sheets>
    <sheet name="table" sheetId="1" r:id="rId1"/>
    <sheet name="Data" sheetId="3" r:id="rId2"/>
    <sheet name="ID Scheme" sheetId="2" r:id="rId3"/>
  </sheets>
  <definedNames>
    <definedName name="_xlnm._FilterDatabase" localSheetId="0" hidden="1">table!$A$1:$BM$202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35" i="1" l="1"/>
  <c r="BH135" i="1"/>
  <c r="BG135" i="1"/>
  <c r="BB135" i="1"/>
  <c r="BA135" i="1"/>
  <c r="AZ135" i="1"/>
  <c r="AX135" i="1"/>
  <c r="D135" i="1"/>
  <c r="BH129" i="1"/>
  <c r="BL132" i="1"/>
  <c r="BH132" i="1"/>
  <c r="BG132" i="1"/>
  <c r="BB132" i="1"/>
  <c r="BA132" i="1"/>
  <c r="AZ132" i="1"/>
  <c r="AX132" i="1"/>
  <c r="D132" i="1"/>
  <c r="BL131" i="1"/>
  <c r="BH131" i="1"/>
  <c r="BG131" i="1"/>
  <c r="BB131" i="1"/>
  <c r="BA131" i="1"/>
  <c r="AZ131" i="1"/>
  <c r="AX131" i="1"/>
  <c r="D131" i="1"/>
  <c r="BL138" i="1"/>
  <c r="BH138" i="1"/>
  <c r="BG138" i="1"/>
  <c r="BB138" i="1"/>
  <c r="BA138" i="1"/>
  <c r="AZ138" i="1"/>
  <c r="AX138" i="1"/>
  <c r="D138" i="1"/>
  <c r="BH136" i="1"/>
  <c r="BH124" i="1"/>
  <c r="BL126" i="1"/>
  <c r="BH126" i="1"/>
  <c r="BG126" i="1"/>
  <c r="BB126" i="1"/>
  <c r="BA126" i="1"/>
  <c r="AZ126" i="1"/>
  <c r="AX126" i="1"/>
  <c r="D126" i="1"/>
  <c r="BL120" i="1"/>
  <c r="BH120" i="1"/>
  <c r="BG120" i="1"/>
  <c r="BB120" i="1"/>
  <c r="BA120" i="1"/>
  <c r="AZ120" i="1"/>
  <c r="AX120" i="1"/>
  <c r="D120" i="1"/>
  <c r="BL127" i="1"/>
  <c r="BH127" i="1"/>
  <c r="BG127" i="1"/>
  <c r="BB127" i="1"/>
  <c r="BA127" i="1"/>
  <c r="AZ127" i="1"/>
  <c r="AX127" i="1"/>
  <c r="D127" i="1"/>
  <c r="BL118" i="1"/>
  <c r="BH118" i="1"/>
  <c r="BG118" i="1"/>
  <c r="BB118" i="1"/>
  <c r="BA118" i="1"/>
  <c r="AZ118" i="1"/>
  <c r="AX118" i="1"/>
  <c r="D118" i="1"/>
  <c r="BL117" i="1"/>
  <c r="BH117" i="1"/>
  <c r="BG117" i="1"/>
  <c r="BB117" i="1"/>
  <c r="BA117" i="1"/>
  <c r="AZ117" i="1"/>
  <c r="AX117" i="1"/>
  <c r="D117" i="1"/>
  <c r="BL115" i="1"/>
  <c r="BH115" i="1"/>
  <c r="BG115" i="1"/>
  <c r="BB115" i="1"/>
  <c r="BA115" i="1"/>
  <c r="AZ115" i="1"/>
  <c r="AX115" i="1"/>
  <c r="D115" i="1"/>
  <c r="BL63" i="1"/>
  <c r="BH63" i="1"/>
  <c r="BG63" i="1"/>
  <c r="BB63" i="1"/>
  <c r="BA63" i="1"/>
  <c r="AZ63" i="1"/>
  <c r="AX63" i="1"/>
  <c r="D63" i="1"/>
  <c r="BL62" i="1"/>
  <c r="BH62" i="1"/>
  <c r="BG62" i="1"/>
  <c r="BB62" i="1"/>
  <c r="BA62" i="1"/>
  <c r="AZ62" i="1"/>
  <c r="AX62" i="1"/>
  <c r="D62" i="1"/>
  <c r="BH123" i="1"/>
  <c r="BH113" i="1"/>
  <c r="BL123" i="1"/>
  <c r="BG123" i="1"/>
  <c r="BB123" i="1"/>
  <c r="BA123" i="1"/>
  <c r="AZ123" i="1"/>
  <c r="AX123" i="1"/>
  <c r="D123" i="1"/>
  <c r="AZ52" i="1"/>
  <c r="AX52" i="1"/>
  <c r="BL52" i="1"/>
  <c r="BH52" i="1"/>
  <c r="BG52" i="1"/>
  <c r="BB52" i="1"/>
  <c r="BA52" i="1"/>
  <c r="D52" i="1"/>
  <c r="BH51" i="1"/>
  <c r="BL199" i="1"/>
  <c r="BH199" i="1"/>
  <c r="BG199" i="1"/>
  <c r="BB199" i="1"/>
  <c r="BA199" i="1"/>
  <c r="AZ199" i="1"/>
  <c r="AX199" i="1"/>
  <c r="D199" i="1"/>
  <c r="BL198" i="1"/>
  <c r="BH198" i="1"/>
  <c r="BG198" i="1"/>
  <c r="BB198" i="1"/>
  <c r="BA198" i="1"/>
  <c r="AZ198" i="1"/>
  <c r="AX198" i="1"/>
  <c r="D198" i="1"/>
  <c r="BL195" i="1"/>
  <c r="BH195" i="1"/>
  <c r="BG195" i="1"/>
  <c r="BB195" i="1"/>
  <c r="BA195" i="1"/>
  <c r="AZ195" i="1"/>
  <c r="AX195" i="1"/>
  <c r="D195" i="1"/>
  <c r="BL194" i="1"/>
  <c r="BH194" i="1"/>
  <c r="BG194" i="1"/>
  <c r="BB194" i="1"/>
  <c r="BA194" i="1"/>
  <c r="AZ194" i="1"/>
  <c r="AX194" i="1"/>
  <c r="D194" i="1"/>
  <c r="BH202" i="1"/>
  <c r="BH201" i="1"/>
  <c r="BH200" i="1"/>
  <c r="BH197" i="1"/>
  <c r="BH196"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34" i="1"/>
  <c r="BH133" i="1"/>
  <c r="BH140" i="1"/>
  <c r="BH139" i="1"/>
  <c r="BH130" i="1"/>
  <c r="BH137" i="1"/>
  <c r="BH125" i="1"/>
  <c r="BH122" i="1"/>
  <c r="BH121" i="1"/>
  <c r="BH128" i="1"/>
  <c r="BH119" i="1"/>
  <c r="BH116" i="1"/>
  <c r="BH114" i="1"/>
  <c r="BH58" i="1"/>
  <c r="BH57" i="1"/>
  <c r="BH112" i="1"/>
  <c r="BH111"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1" i="1"/>
  <c r="BH60" i="1"/>
  <c r="BH59" i="1"/>
  <c r="BH56" i="1"/>
  <c r="BH55" i="1"/>
  <c r="BH54" i="1"/>
  <c r="BH53"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5" i="1"/>
  <c r="BH6" i="1"/>
  <c r="BH7" i="1"/>
  <c r="BH8" i="1"/>
  <c r="BL15" i="1"/>
  <c r="BG15" i="1"/>
  <c r="BB15" i="1"/>
  <c r="BA15" i="1"/>
  <c r="AZ15" i="1"/>
  <c r="AX15" i="1"/>
  <c r="D15" i="1"/>
  <c r="BL14" i="1"/>
  <c r="BG14" i="1"/>
  <c r="BB14" i="1"/>
  <c r="BA14" i="1"/>
  <c r="AZ14" i="1"/>
  <c r="AX14" i="1"/>
  <c r="D14" i="1"/>
  <c r="BL13" i="1"/>
  <c r="BG13" i="1"/>
  <c r="BB13" i="1"/>
  <c r="BA13" i="1"/>
  <c r="AZ13" i="1"/>
  <c r="AX13" i="1"/>
  <c r="D13" i="1"/>
  <c r="BL16" i="1"/>
  <c r="BG16" i="1"/>
  <c r="BB16" i="1"/>
  <c r="BA16" i="1"/>
  <c r="AZ16" i="1"/>
  <c r="AX16" i="1"/>
  <c r="D16" i="1"/>
  <c r="BL27" i="1"/>
  <c r="BG27" i="1"/>
  <c r="BB27" i="1"/>
  <c r="BA27" i="1"/>
  <c r="AZ27" i="1"/>
  <c r="AX27" i="1"/>
  <c r="D27" i="1"/>
  <c r="BL26" i="1"/>
  <c r="BG26" i="1"/>
  <c r="BB26" i="1"/>
  <c r="BA26" i="1"/>
  <c r="AZ26" i="1"/>
  <c r="AX26" i="1"/>
  <c r="D26" i="1"/>
  <c r="BL25" i="1"/>
  <c r="BG25" i="1"/>
  <c r="BB25" i="1"/>
  <c r="BA25" i="1"/>
  <c r="AZ25" i="1"/>
  <c r="AX25" i="1"/>
  <c r="D25" i="1"/>
  <c r="BL28" i="1"/>
  <c r="BG28" i="1"/>
  <c r="BB28" i="1"/>
  <c r="BA28" i="1"/>
  <c r="AZ28" i="1"/>
  <c r="AX28" i="1"/>
  <c r="D28" i="1"/>
  <c r="BL22" i="1"/>
  <c r="BG22" i="1"/>
  <c r="BB22" i="1"/>
  <c r="BA22" i="1"/>
  <c r="AZ22" i="1"/>
  <c r="AX22" i="1"/>
  <c r="D22" i="1"/>
  <c r="BL21" i="1"/>
  <c r="BG21" i="1"/>
  <c r="BB21" i="1"/>
  <c r="BA21" i="1"/>
  <c r="AZ21" i="1"/>
  <c r="AX21" i="1"/>
  <c r="D21" i="1"/>
  <c r="BL23" i="1"/>
  <c r="BG23" i="1"/>
  <c r="BB23" i="1"/>
  <c r="BA23" i="1"/>
  <c r="AZ23" i="1"/>
  <c r="AX23" i="1"/>
  <c r="D23" i="1"/>
  <c r="BL24" i="1"/>
  <c r="BG24" i="1"/>
  <c r="BB24" i="1"/>
  <c r="BA24" i="1"/>
  <c r="AZ24" i="1"/>
  <c r="AX24" i="1"/>
  <c r="D24" i="1"/>
  <c r="BL20" i="1"/>
  <c r="BG20" i="1"/>
  <c r="BB20" i="1"/>
  <c r="BA20" i="1"/>
  <c r="AZ20" i="1"/>
  <c r="AX20" i="1"/>
  <c r="D20" i="1"/>
  <c r="BL18" i="1"/>
  <c r="BG18" i="1"/>
  <c r="BB18" i="1"/>
  <c r="BA18" i="1"/>
  <c r="AZ18" i="1"/>
  <c r="AX18" i="1"/>
  <c r="D18" i="1"/>
  <c r="BL17" i="1"/>
  <c r="BG17" i="1"/>
  <c r="BB17" i="1"/>
  <c r="BA17" i="1"/>
  <c r="AZ17" i="1"/>
  <c r="AX17" i="1"/>
  <c r="D17" i="1"/>
  <c r="BL10" i="1"/>
  <c r="BG10" i="1"/>
  <c r="BB10" i="1"/>
  <c r="BA10" i="1"/>
  <c r="AZ10" i="1"/>
  <c r="AX10" i="1"/>
  <c r="D10" i="1"/>
  <c r="BL11" i="1"/>
  <c r="BG11" i="1"/>
  <c r="BB11" i="1"/>
  <c r="BA11" i="1"/>
  <c r="AZ11" i="1"/>
  <c r="AX11" i="1"/>
  <c r="D11" i="1"/>
  <c r="BL12" i="1"/>
  <c r="BG12" i="1"/>
  <c r="BB12" i="1"/>
  <c r="BA12" i="1"/>
  <c r="AZ12" i="1"/>
  <c r="AX12" i="1"/>
  <c r="D12" i="1"/>
  <c r="BL6" i="1"/>
  <c r="BG6" i="1"/>
  <c r="BB6" i="1"/>
  <c r="BA6" i="1"/>
  <c r="D6" i="1"/>
  <c r="BL7" i="1"/>
  <c r="BG7" i="1"/>
  <c r="BB7" i="1"/>
  <c r="BA7" i="1"/>
  <c r="D7" i="1"/>
  <c r="BL8" i="1"/>
  <c r="BG8" i="1"/>
  <c r="BB8" i="1"/>
  <c r="BA8" i="1"/>
  <c r="D8" i="1"/>
  <c r="BL68" i="1"/>
  <c r="BG68" i="1"/>
  <c r="BB68" i="1"/>
  <c r="BA68" i="1"/>
  <c r="AZ68" i="1"/>
  <c r="AX68" i="1"/>
  <c r="D68" i="1"/>
  <c r="BL69" i="1"/>
  <c r="BG69" i="1"/>
  <c r="BB69" i="1"/>
  <c r="BA69" i="1"/>
  <c r="AZ69" i="1"/>
  <c r="AX69" i="1"/>
  <c r="D69" i="1"/>
  <c r="BL156" i="1"/>
  <c r="BG156" i="1"/>
  <c r="BB156" i="1"/>
  <c r="BA156" i="1"/>
  <c r="AZ156" i="1"/>
  <c r="AX156" i="1"/>
  <c r="D156" i="1"/>
  <c r="BL48" i="1"/>
  <c r="BG48" i="1"/>
  <c r="BB48" i="1"/>
  <c r="BA48" i="1"/>
  <c r="AZ48" i="1"/>
  <c r="AX48" i="1"/>
  <c r="D48" i="1"/>
  <c r="D5" i="1"/>
  <c r="BL5" i="1"/>
  <c r="BG5" i="1"/>
  <c r="BB5" i="1"/>
  <c r="BA5" i="1"/>
  <c r="BL109" i="1"/>
  <c r="BG109" i="1"/>
  <c r="BB109" i="1"/>
  <c r="BA109" i="1"/>
  <c r="AZ109" i="1"/>
  <c r="AX109" i="1"/>
  <c r="D109" i="1"/>
  <c r="BL112" i="1"/>
  <c r="BG112" i="1"/>
  <c r="BB112" i="1"/>
  <c r="BA112" i="1"/>
  <c r="AZ112" i="1"/>
  <c r="AX112" i="1"/>
  <c r="D112" i="1"/>
  <c r="BL97" i="1"/>
  <c r="BG97" i="1"/>
  <c r="BB97" i="1"/>
  <c r="BA97" i="1"/>
  <c r="AZ97" i="1"/>
  <c r="AX97" i="1"/>
  <c r="D97" i="1"/>
  <c r="BL163" i="1"/>
  <c r="BG163" i="1"/>
  <c r="BB163" i="1"/>
  <c r="BA163" i="1"/>
  <c r="AZ163" i="1"/>
  <c r="AX163" i="1"/>
  <c r="D163" i="1"/>
  <c r="BL71" i="1"/>
  <c r="BG71" i="1"/>
  <c r="BB71" i="1"/>
  <c r="BA71" i="1"/>
  <c r="AZ71" i="1"/>
  <c r="AX71" i="1"/>
  <c r="D71" i="1"/>
  <c r="BL159" i="1"/>
  <c r="BG159" i="1"/>
  <c r="BB159" i="1"/>
  <c r="BA159" i="1"/>
  <c r="AZ159" i="1"/>
  <c r="AX159" i="1"/>
  <c r="D159" i="1"/>
  <c r="BL61" i="1"/>
  <c r="BG61" i="1"/>
  <c r="BB61" i="1"/>
  <c r="BA61" i="1"/>
  <c r="AZ61" i="1"/>
  <c r="AX61" i="1"/>
  <c r="D61" i="1"/>
  <c r="BL155" i="1"/>
  <c r="BG155" i="1"/>
  <c r="BB155" i="1"/>
  <c r="BA155" i="1"/>
  <c r="AZ155" i="1"/>
  <c r="AX155" i="1"/>
  <c r="D155" i="1"/>
  <c r="BL108" i="1"/>
  <c r="BG108" i="1"/>
  <c r="BB108" i="1"/>
  <c r="BA108" i="1"/>
  <c r="AZ108" i="1"/>
  <c r="AX108" i="1"/>
  <c r="D108" i="1"/>
  <c r="BL101" i="1"/>
  <c r="BG101" i="1"/>
  <c r="BB101" i="1"/>
  <c r="BA101" i="1"/>
  <c r="AZ101" i="1"/>
  <c r="AX101" i="1"/>
  <c r="D101" i="1"/>
  <c r="BL32" i="1"/>
  <c r="BG32" i="1"/>
  <c r="BB32" i="1"/>
  <c r="BA32" i="1"/>
  <c r="AZ32" i="1"/>
  <c r="AX32" i="1"/>
  <c r="D32" i="1"/>
  <c r="BG65" i="1"/>
  <c r="BB65" i="1"/>
  <c r="BA65" i="1"/>
  <c r="BG41" i="1"/>
  <c r="BB41" i="1"/>
  <c r="BA41" i="1"/>
  <c r="BL152" i="1"/>
  <c r="BG152" i="1"/>
  <c r="BB152" i="1"/>
  <c r="BA152" i="1"/>
  <c r="AZ152" i="1"/>
  <c r="AX152" i="1"/>
  <c r="D152" i="1"/>
  <c r="BL150" i="1"/>
  <c r="BG150" i="1"/>
  <c r="BB150" i="1"/>
  <c r="BA150" i="1"/>
  <c r="AZ150" i="1"/>
  <c r="AX150" i="1"/>
  <c r="D150" i="1"/>
  <c r="BL36" i="1"/>
  <c r="BG36" i="1"/>
  <c r="BB36" i="1"/>
  <c r="BA36" i="1"/>
  <c r="AZ36" i="1"/>
  <c r="AX36" i="1"/>
  <c r="D36" i="1"/>
  <c r="BL143" i="1"/>
  <c r="BG143" i="1"/>
  <c r="BB143" i="1"/>
  <c r="BA143" i="1"/>
  <c r="AZ143" i="1"/>
  <c r="AX143" i="1"/>
  <c r="D143" i="1"/>
  <c r="BL144" i="1"/>
  <c r="BG144" i="1"/>
  <c r="BB144" i="1"/>
  <c r="BA144" i="1"/>
  <c r="AZ144" i="1"/>
  <c r="AX144" i="1"/>
  <c r="D144" i="1"/>
  <c r="BL111" i="1"/>
  <c r="BG111" i="1"/>
  <c r="BB111" i="1"/>
  <c r="BA111" i="1"/>
  <c r="AZ111" i="1"/>
  <c r="AX111" i="1"/>
  <c r="D111" i="1"/>
  <c r="BL125" i="1" l="1"/>
  <c r="BG125" i="1"/>
  <c r="BB125" i="1"/>
  <c r="BA125" i="1"/>
  <c r="AZ125" i="1"/>
  <c r="AX125" i="1"/>
  <c r="D125" i="1"/>
  <c r="BL119" i="1"/>
  <c r="BG119" i="1"/>
  <c r="BB119" i="1"/>
  <c r="BA119" i="1"/>
  <c r="AZ119" i="1"/>
  <c r="AX119" i="1"/>
  <c r="D119" i="1"/>
  <c r="BL66" i="1" l="1"/>
  <c r="BG66" i="1"/>
  <c r="BB66" i="1"/>
  <c r="BA66" i="1"/>
  <c r="AZ66" i="1"/>
  <c r="AX66" i="1"/>
  <c r="D66" i="1"/>
  <c r="BL50" i="1"/>
  <c r="BG50" i="1"/>
  <c r="BB50" i="1"/>
  <c r="BA50" i="1"/>
  <c r="AZ50" i="1"/>
  <c r="AX50" i="1"/>
  <c r="D50" i="1"/>
  <c r="BL84" i="1" l="1"/>
  <c r="BG84" i="1"/>
  <c r="BB84" i="1"/>
  <c r="BA84" i="1"/>
  <c r="AZ84" i="1"/>
  <c r="AX84" i="1"/>
  <c r="D84" i="1"/>
  <c r="BL89" i="1"/>
  <c r="BG89" i="1"/>
  <c r="BB89" i="1"/>
  <c r="BA89" i="1"/>
  <c r="AZ89" i="1"/>
  <c r="AX89" i="1"/>
  <c r="D89" i="1"/>
  <c r="BL60" i="1" l="1"/>
  <c r="BG60" i="1"/>
  <c r="BB60" i="1"/>
  <c r="BA60" i="1"/>
  <c r="AZ60" i="1"/>
  <c r="AX60" i="1"/>
  <c r="D60" i="1"/>
  <c r="BL56" i="1"/>
  <c r="BG56" i="1"/>
  <c r="BB56" i="1"/>
  <c r="BA56" i="1"/>
  <c r="AZ56" i="1"/>
  <c r="AX56" i="1"/>
  <c r="D56" i="1"/>
  <c r="AZ75" i="1"/>
  <c r="AZ76" i="1"/>
  <c r="AZ77" i="1"/>
  <c r="AZ78" i="1"/>
  <c r="AZ79" i="1"/>
  <c r="AZ80" i="1"/>
  <c r="AZ81" i="1"/>
  <c r="AZ82" i="1"/>
  <c r="AZ83" i="1"/>
  <c r="AZ85" i="1"/>
  <c r="AZ86" i="1"/>
  <c r="AZ87" i="1"/>
  <c r="AZ88" i="1"/>
  <c r="AZ90" i="1"/>
  <c r="AZ91" i="1"/>
  <c r="AZ92" i="1"/>
  <c r="AZ93" i="1"/>
  <c r="AZ94" i="1"/>
  <c r="AZ95" i="1"/>
  <c r="AZ96" i="1"/>
  <c r="AZ98" i="1"/>
  <c r="AZ99" i="1"/>
  <c r="AZ100" i="1"/>
  <c r="AZ102" i="1"/>
  <c r="AZ103" i="1"/>
  <c r="AZ104" i="1"/>
  <c r="AZ105" i="1"/>
  <c r="AZ106" i="1"/>
  <c r="AZ107" i="1"/>
  <c r="AZ110" i="1"/>
  <c r="AZ57" i="1"/>
  <c r="AZ58" i="1"/>
  <c r="AZ114" i="1"/>
  <c r="AZ116" i="1"/>
  <c r="AZ128" i="1"/>
  <c r="AZ121" i="1"/>
  <c r="AZ122" i="1"/>
  <c r="AZ137" i="1"/>
  <c r="AZ130" i="1"/>
  <c r="AZ139" i="1"/>
  <c r="AZ140" i="1"/>
  <c r="AZ133" i="1"/>
  <c r="AZ134" i="1"/>
  <c r="AZ141" i="1"/>
  <c r="AZ142" i="1"/>
  <c r="AZ145" i="1"/>
  <c r="AZ146" i="1"/>
  <c r="AZ147" i="1"/>
  <c r="AZ148" i="1"/>
  <c r="AZ149" i="1"/>
  <c r="AZ151" i="1"/>
  <c r="AZ153" i="1"/>
  <c r="AZ154" i="1"/>
  <c r="AZ157" i="1"/>
  <c r="AZ158" i="1"/>
  <c r="AZ160" i="1"/>
  <c r="AZ161" i="1"/>
  <c r="AZ162"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6" i="1"/>
  <c r="AZ197" i="1"/>
  <c r="AZ200" i="1"/>
  <c r="AZ201" i="1"/>
  <c r="AZ202" i="1"/>
  <c r="AZ9" i="1"/>
  <c r="AZ19" i="1"/>
  <c r="AZ30" i="1"/>
  <c r="AZ31" i="1"/>
  <c r="AZ34" i="1"/>
  <c r="AZ35" i="1"/>
  <c r="AZ37" i="1"/>
  <c r="AZ38" i="1"/>
  <c r="AZ39" i="1"/>
  <c r="AZ42" i="1"/>
  <c r="AZ43" i="1"/>
  <c r="AZ44" i="1"/>
  <c r="AZ45" i="1"/>
  <c r="AZ46" i="1"/>
  <c r="AZ54" i="1"/>
  <c r="AZ67" i="1"/>
  <c r="AZ70" i="1"/>
  <c r="AZ72" i="1"/>
  <c r="AZ73" i="1"/>
  <c r="AZ74" i="1"/>
  <c r="BL178" i="1" l="1"/>
  <c r="BG178" i="1"/>
  <c r="BB178" i="1"/>
  <c r="BA178" i="1"/>
  <c r="AX178" i="1"/>
  <c r="D178" i="1"/>
  <c r="BL72" i="1" l="1"/>
  <c r="BG72" i="1"/>
  <c r="BB72" i="1"/>
  <c r="BA72" i="1"/>
  <c r="AX72" i="1"/>
  <c r="D72" i="1"/>
  <c r="BL75" i="1" l="1"/>
  <c r="BA74" i="1"/>
  <c r="BB74" i="1"/>
  <c r="BG74" i="1"/>
  <c r="BA75" i="1"/>
  <c r="BB75" i="1"/>
  <c r="BG75" i="1"/>
  <c r="BA76" i="1"/>
  <c r="BB76" i="1"/>
  <c r="BG76" i="1"/>
  <c r="AX75" i="1"/>
  <c r="D75" i="1"/>
  <c r="BG134" i="1" l="1"/>
  <c r="BG34" i="1"/>
  <c r="BG141" i="1"/>
  <c r="BG142" i="1"/>
  <c r="BG38" i="1"/>
  <c r="BG37" i="1"/>
  <c r="BG39" i="1"/>
  <c r="BG145" i="1"/>
  <c r="BG146" i="1"/>
  <c r="BG147" i="1"/>
  <c r="BG148" i="1"/>
  <c r="BG42" i="1"/>
  <c r="BG149" i="1"/>
  <c r="BG43" i="1"/>
  <c r="BG151" i="1"/>
  <c r="BG45" i="1"/>
  <c r="BG153" i="1"/>
  <c r="BG44" i="1"/>
  <c r="BG154" i="1"/>
  <c r="BG46" i="1"/>
  <c r="BG157" i="1"/>
  <c r="BG158" i="1"/>
  <c r="BG160" i="1"/>
  <c r="BG161" i="1"/>
  <c r="BG162" i="1"/>
  <c r="BG164" i="1"/>
  <c r="BG165" i="1"/>
  <c r="BG166" i="1"/>
  <c r="BG167" i="1"/>
  <c r="BG168" i="1"/>
  <c r="BG169" i="1"/>
  <c r="BG170" i="1"/>
  <c r="BG171" i="1"/>
  <c r="BG172" i="1"/>
  <c r="BG173" i="1"/>
  <c r="BG174" i="1"/>
  <c r="BG175" i="1"/>
  <c r="BG176" i="1"/>
  <c r="BG177" i="1"/>
  <c r="BG179" i="1"/>
  <c r="BG180" i="1"/>
  <c r="BG181" i="1"/>
  <c r="BG182" i="1"/>
  <c r="BG183" i="1"/>
  <c r="BG184" i="1"/>
  <c r="BG185" i="1"/>
  <c r="BG186" i="1"/>
  <c r="BG187" i="1"/>
  <c r="BG188" i="1"/>
  <c r="BG189" i="1"/>
  <c r="BG190" i="1"/>
  <c r="BG191" i="1"/>
  <c r="BG192" i="1"/>
  <c r="BG193" i="1"/>
  <c r="BG196" i="1"/>
  <c r="BG197" i="1"/>
  <c r="BG200" i="1"/>
  <c r="BG201" i="1"/>
  <c r="BG202" i="1"/>
  <c r="BG9" i="1"/>
  <c r="BG19" i="1"/>
  <c r="BG67" i="1"/>
  <c r="BG70" i="1"/>
  <c r="BG73" i="1"/>
  <c r="BG77" i="1"/>
  <c r="BG78" i="1"/>
  <c r="BG79" i="1"/>
  <c r="BG80" i="1"/>
  <c r="BG81" i="1"/>
  <c r="BG82" i="1"/>
  <c r="BG83" i="1"/>
  <c r="BG85" i="1"/>
  <c r="BG86" i="1"/>
  <c r="BG87" i="1"/>
  <c r="BG88" i="1"/>
  <c r="BG90" i="1"/>
  <c r="BG91" i="1"/>
  <c r="BG92" i="1"/>
  <c r="BG93" i="1"/>
  <c r="BG94" i="1"/>
  <c r="BG95" i="1"/>
  <c r="BG96" i="1"/>
  <c r="BG98" i="1"/>
  <c r="BG99" i="1"/>
  <c r="BG100" i="1"/>
  <c r="BG102" i="1"/>
  <c r="BG103" i="1"/>
  <c r="BG104" i="1"/>
  <c r="BG105" i="1"/>
  <c r="BG106" i="1"/>
  <c r="BG107" i="1"/>
  <c r="BG110" i="1"/>
  <c r="BG54" i="1"/>
  <c r="BG57" i="1"/>
  <c r="BG58" i="1"/>
  <c r="BG114" i="1"/>
  <c r="BG116" i="1"/>
  <c r="BG30" i="1"/>
  <c r="BG128" i="1"/>
  <c r="BG31" i="1"/>
  <c r="BG121" i="1"/>
  <c r="BG122" i="1"/>
  <c r="BG137" i="1"/>
  <c r="BG130" i="1"/>
  <c r="BG139" i="1"/>
  <c r="BG140" i="1"/>
  <c r="BG133" i="1"/>
  <c r="BG35" i="1"/>
  <c r="BL140" i="1" l="1"/>
  <c r="BB140" i="1"/>
  <c r="BA140" i="1"/>
  <c r="AX140" i="1"/>
  <c r="D140" i="1"/>
  <c r="BL31" i="1"/>
  <c r="BB31" i="1"/>
  <c r="BA31" i="1"/>
  <c r="AX31" i="1"/>
  <c r="D31" i="1"/>
  <c r="AX105" i="1" l="1"/>
  <c r="AX106" i="1"/>
  <c r="AX107" i="1"/>
  <c r="AX54" i="1"/>
  <c r="AX57" i="1"/>
  <c r="AX58" i="1"/>
  <c r="AX114" i="1"/>
  <c r="AX116" i="1"/>
  <c r="AX30" i="1"/>
  <c r="AX128" i="1"/>
  <c r="AX121" i="1"/>
  <c r="AX122" i="1"/>
  <c r="AX137" i="1"/>
  <c r="AX130" i="1"/>
  <c r="AX139" i="1"/>
  <c r="AX133" i="1"/>
  <c r="AX35" i="1"/>
  <c r="AX134" i="1"/>
  <c r="AX34" i="1"/>
  <c r="AX141" i="1"/>
  <c r="AX142" i="1"/>
  <c r="AX38" i="1"/>
  <c r="AX37" i="1"/>
  <c r="AX39" i="1"/>
  <c r="AX145" i="1"/>
  <c r="AX146" i="1"/>
  <c r="AX147" i="1"/>
  <c r="AX148" i="1"/>
  <c r="AX42" i="1"/>
  <c r="AX149" i="1"/>
  <c r="AX43" i="1"/>
  <c r="AX151" i="1"/>
  <c r="AX45" i="1"/>
  <c r="AX153" i="1"/>
  <c r="AX44" i="1"/>
  <c r="AX154" i="1"/>
  <c r="AX46" i="1"/>
  <c r="AX157" i="1"/>
  <c r="AX158" i="1"/>
  <c r="AX160" i="1"/>
  <c r="AX161" i="1"/>
  <c r="AX162" i="1"/>
  <c r="AX164" i="1"/>
  <c r="AX165" i="1"/>
  <c r="AX166" i="1"/>
  <c r="AX167" i="1"/>
  <c r="AX168" i="1"/>
  <c r="AX169" i="1"/>
  <c r="AX170" i="1"/>
  <c r="AX171" i="1"/>
  <c r="AX172" i="1"/>
  <c r="AX173" i="1"/>
  <c r="AX174" i="1"/>
  <c r="AX175" i="1"/>
  <c r="AX176" i="1"/>
  <c r="AX177" i="1"/>
  <c r="AX179" i="1"/>
  <c r="AX180" i="1"/>
  <c r="AX181" i="1"/>
  <c r="AX182" i="1"/>
  <c r="AX183" i="1"/>
  <c r="AX184" i="1"/>
  <c r="AX185" i="1"/>
  <c r="AX186" i="1"/>
  <c r="AX187" i="1"/>
  <c r="AX188" i="1"/>
  <c r="AX189" i="1"/>
  <c r="AX190" i="1"/>
  <c r="AX191" i="1"/>
  <c r="AX192" i="1"/>
  <c r="AX193" i="1"/>
  <c r="AX196" i="1"/>
  <c r="AX197" i="1"/>
  <c r="AX200" i="1"/>
  <c r="AX201" i="1"/>
  <c r="AX202" i="1"/>
  <c r="AX9" i="1"/>
  <c r="AX19" i="1"/>
  <c r="AX67" i="1"/>
  <c r="AX70" i="1"/>
  <c r="AX73" i="1"/>
  <c r="AX74" i="1"/>
  <c r="AX76" i="1"/>
  <c r="AX77" i="1"/>
  <c r="AX78" i="1"/>
  <c r="AX79" i="1"/>
  <c r="AX80" i="1"/>
  <c r="AX81" i="1"/>
  <c r="AX82" i="1"/>
  <c r="AX83" i="1"/>
  <c r="AX85" i="1"/>
  <c r="AX86" i="1"/>
  <c r="AX87" i="1"/>
  <c r="AX88" i="1"/>
  <c r="AX90" i="1"/>
  <c r="AX91" i="1"/>
  <c r="AX92" i="1"/>
  <c r="AX93" i="1"/>
  <c r="AX94" i="1"/>
  <c r="AX95" i="1"/>
  <c r="AX96" i="1"/>
  <c r="AX98" i="1"/>
  <c r="AX100" i="1"/>
  <c r="AX99" i="1"/>
  <c r="AX102" i="1"/>
  <c r="AX103" i="1"/>
  <c r="AX104" i="1"/>
  <c r="AX110" i="1"/>
  <c r="BL110" i="1"/>
  <c r="BB110" i="1"/>
  <c r="BA110" i="1"/>
  <c r="D110" i="1"/>
  <c r="BL99" i="1" l="1"/>
  <c r="BL102" i="1"/>
  <c r="BA95" i="1"/>
  <c r="BB95" i="1"/>
  <c r="BA96" i="1"/>
  <c r="BB96" i="1"/>
  <c r="BA98" i="1"/>
  <c r="BB98" i="1"/>
  <c r="BA100" i="1"/>
  <c r="BB100" i="1"/>
  <c r="BA99" i="1"/>
  <c r="BB99" i="1"/>
  <c r="D99" i="1"/>
  <c r="D102" i="1"/>
  <c r="D103" i="1"/>
  <c r="BL95" i="1" l="1"/>
  <c r="D94" i="1"/>
  <c r="D95" i="1"/>
  <c r="D96" i="1"/>
  <c r="D98" i="1"/>
  <c r="D100" i="1"/>
  <c r="BA87" i="1" l="1"/>
  <c r="BB87" i="1"/>
  <c r="BA88" i="1"/>
  <c r="BB88" i="1"/>
  <c r="BA90" i="1"/>
  <c r="BB90" i="1"/>
  <c r="BA91" i="1"/>
  <c r="BB91" i="1"/>
  <c r="BA92" i="1"/>
  <c r="BB92" i="1"/>
  <c r="BA93" i="1"/>
  <c r="BB93" i="1"/>
  <c r="BA94" i="1"/>
  <c r="BB94" i="1"/>
  <c r="BA102" i="1"/>
  <c r="BB102" i="1"/>
  <c r="BA103" i="1"/>
  <c r="BB103" i="1"/>
  <c r="BA104" i="1"/>
  <c r="BB104" i="1"/>
  <c r="BA105" i="1"/>
  <c r="BB105" i="1"/>
  <c r="BA106" i="1"/>
  <c r="BB106" i="1"/>
  <c r="BA107" i="1"/>
  <c r="BB107" i="1"/>
  <c r="BA54" i="1"/>
  <c r="BB54" i="1"/>
  <c r="BA57" i="1"/>
  <c r="BB57" i="1"/>
  <c r="BA58" i="1"/>
  <c r="BB58" i="1"/>
  <c r="BA114" i="1"/>
  <c r="BB114" i="1"/>
  <c r="BA116" i="1"/>
  <c r="BB116" i="1"/>
  <c r="BA30" i="1"/>
  <c r="BB30" i="1"/>
  <c r="BA128" i="1"/>
  <c r="BB128" i="1"/>
  <c r="BA121" i="1"/>
  <c r="BB121" i="1"/>
  <c r="BA122" i="1"/>
  <c r="BB122" i="1"/>
  <c r="BA137" i="1"/>
  <c r="BB137" i="1"/>
  <c r="BA130" i="1"/>
  <c r="BB130" i="1"/>
  <c r="BA139" i="1"/>
  <c r="BB139" i="1"/>
  <c r="BA133" i="1"/>
  <c r="BB133" i="1"/>
  <c r="BA35" i="1"/>
  <c r="BB35" i="1"/>
  <c r="BA134" i="1"/>
  <c r="BB134" i="1"/>
  <c r="BA34" i="1"/>
  <c r="BB34" i="1"/>
  <c r="BA141" i="1"/>
  <c r="BB141" i="1"/>
  <c r="BA142" i="1"/>
  <c r="BB142" i="1"/>
  <c r="BA38" i="1"/>
  <c r="BB38" i="1"/>
  <c r="BA37" i="1"/>
  <c r="BB37" i="1"/>
  <c r="BA39" i="1"/>
  <c r="BB39" i="1"/>
  <c r="BA145" i="1"/>
  <c r="BB145" i="1"/>
  <c r="BA146" i="1"/>
  <c r="BB146" i="1"/>
  <c r="BA147" i="1"/>
  <c r="BB147" i="1"/>
  <c r="BA148" i="1"/>
  <c r="BB148" i="1"/>
  <c r="BA42" i="1"/>
  <c r="BB42" i="1"/>
  <c r="BA149" i="1"/>
  <c r="BB149" i="1"/>
  <c r="BA43" i="1"/>
  <c r="BB43" i="1"/>
  <c r="BA151" i="1"/>
  <c r="BB151" i="1"/>
  <c r="BA45" i="1"/>
  <c r="BB45" i="1"/>
  <c r="BA153" i="1"/>
  <c r="BB153" i="1"/>
  <c r="BA44" i="1"/>
  <c r="BB44" i="1"/>
  <c r="BA154" i="1"/>
  <c r="BB154" i="1"/>
  <c r="BA46" i="1"/>
  <c r="BB46" i="1"/>
  <c r="BA157" i="1"/>
  <c r="BB157" i="1"/>
  <c r="BA158" i="1"/>
  <c r="BB158" i="1"/>
  <c r="BA160" i="1"/>
  <c r="BB160" i="1"/>
  <c r="BA161" i="1"/>
  <c r="BB161" i="1"/>
  <c r="BA162" i="1"/>
  <c r="BB162" i="1"/>
  <c r="BA164" i="1"/>
  <c r="BB164" i="1"/>
  <c r="BA165" i="1"/>
  <c r="BB165" i="1"/>
  <c r="BA166" i="1"/>
  <c r="BB166" i="1"/>
  <c r="BA167" i="1"/>
  <c r="BB167" i="1"/>
  <c r="BA168" i="1"/>
  <c r="BB168" i="1"/>
  <c r="BA169" i="1"/>
  <c r="BB169" i="1"/>
  <c r="BA170" i="1"/>
  <c r="BB170" i="1"/>
  <c r="BA171" i="1"/>
  <c r="BB171" i="1"/>
  <c r="BA172" i="1"/>
  <c r="BB172" i="1"/>
  <c r="BA173" i="1"/>
  <c r="BB173" i="1"/>
  <c r="BA174" i="1"/>
  <c r="BB174" i="1"/>
  <c r="BA175" i="1"/>
  <c r="BB175" i="1"/>
  <c r="BA176" i="1"/>
  <c r="BB176" i="1"/>
  <c r="BA177" i="1"/>
  <c r="BB177" i="1"/>
  <c r="BA179" i="1"/>
  <c r="BB179" i="1"/>
  <c r="BA180" i="1"/>
  <c r="BB180" i="1"/>
  <c r="BA181" i="1"/>
  <c r="BB181" i="1"/>
  <c r="BA182" i="1"/>
  <c r="BB182" i="1"/>
  <c r="BA183" i="1"/>
  <c r="BB183" i="1"/>
  <c r="BA184" i="1"/>
  <c r="BB184" i="1"/>
  <c r="BA185" i="1"/>
  <c r="BB185" i="1"/>
  <c r="BA186" i="1"/>
  <c r="BB186" i="1"/>
  <c r="BA187" i="1"/>
  <c r="BB187" i="1"/>
  <c r="BA188" i="1"/>
  <c r="BB188" i="1"/>
  <c r="BA189" i="1"/>
  <c r="BB189" i="1"/>
  <c r="BA190" i="1"/>
  <c r="BB190" i="1"/>
  <c r="BA191" i="1"/>
  <c r="BB191" i="1"/>
  <c r="BA192" i="1"/>
  <c r="BB192" i="1"/>
  <c r="BA193" i="1"/>
  <c r="BB193" i="1"/>
  <c r="BA196" i="1"/>
  <c r="BB196" i="1"/>
  <c r="BA197" i="1"/>
  <c r="BB197" i="1"/>
  <c r="BA200" i="1"/>
  <c r="BB200" i="1"/>
  <c r="BA201" i="1"/>
  <c r="BB201" i="1"/>
  <c r="BA202" i="1"/>
  <c r="BB202" i="1"/>
  <c r="BA9" i="1"/>
  <c r="BB9" i="1"/>
  <c r="BA19" i="1"/>
  <c r="BB19" i="1"/>
  <c r="BA70" i="1"/>
  <c r="BB70" i="1"/>
  <c r="BA73" i="1"/>
  <c r="BB73" i="1"/>
  <c r="BA77" i="1"/>
  <c r="BB77" i="1"/>
  <c r="BA78" i="1"/>
  <c r="BB78" i="1"/>
  <c r="BA79" i="1"/>
  <c r="BB79" i="1"/>
  <c r="BA80" i="1"/>
  <c r="BB80" i="1"/>
  <c r="BA81" i="1"/>
  <c r="BB81" i="1"/>
  <c r="BA82" i="1"/>
  <c r="BB82" i="1"/>
  <c r="BA83" i="1"/>
  <c r="BB83" i="1"/>
  <c r="BA85" i="1"/>
  <c r="BB85" i="1"/>
  <c r="BA86" i="1"/>
  <c r="BB86" i="1"/>
  <c r="BB67" i="1"/>
  <c r="BA67" i="1"/>
  <c r="D70" i="1"/>
  <c r="D73" i="1"/>
  <c r="D74" i="1"/>
  <c r="D76" i="1"/>
  <c r="D77" i="1"/>
  <c r="D78" i="1"/>
  <c r="D79" i="1"/>
  <c r="D80" i="1"/>
  <c r="D81" i="1"/>
  <c r="D82" i="1"/>
  <c r="D83" i="1"/>
  <c r="D85" i="1"/>
  <c r="D86" i="1"/>
  <c r="D87" i="1"/>
  <c r="D88" i="1"/>
  <c r="D90" i="1"/>
  <c r="D91" i="1"/>
  <c r="D92" i="1"/>
  <c r="D93" i="1"/>
  <c r="D104" i="1"/>
  <c r="D105" i="1"/>
  <c r="D106" i="1"/>
  <c r="D107" i="1"/>
  <c r="D54" i="1"/>
  <c r="D57" i="1"/>
  <c r="D58" i="1"/>
  <c r="D114" i="1"/>
  <c r="D116" i="1"/>
  <c r="D30" i="1"/>
  <c r="D128" i="1"/>
  <c r="D121" i="1"/>
  <c r="D122" i="1"/>
  <c r="D137" i="1"/>
  <c r="D130" i="1"/>
  <c r="D139" i="1"/>
  <c r="D133" i="1"/>
  <c r="D35" i="1"/>
  <c r="D134" i="1"/>
  <c r="D34" i="1"/>
  <c r="D141" i="1"/>
  <c r="D142" i="1"/>
  <c r="D38" i="1"/>
  <c r="D37" i="1"/>
  <c r="D39" i="1"/>
  <c r="D145" i="1"/>
  <c r="D146" i="1"/>
  <c r="D147" i="1"/>
  <c r="D148" i="1"/>
  <c r="D42" i="1"/>
  <c r="D149" i="1"/>
  <c r="D43" i="1"/>
  <c r="D151" i="1"/>
  <c r="D45" i="1"/>
  <c r="D153" i="1"/>
  <c r="D44" i="1"/>
  <c r="D154" i="1"/>
  <c r="D46" i="1"/>
  <c r="D157" i="1"/>
  <c r="D158" i="1"/>
  <c r="D160" i="1"/>
  <c r="D161" i="1"/>
  <c r="D162" i="1"/>
  <c r="D164" i="1"/>
  <c r="D165" i="1"/>
  <c r="D166" i="1"/>
  <c r="D167" i="1"/>
  <c r="D168" i="1"/>
  <c r="D169" i="1"/>
  <c r="D170" i="1"/>
  <c r="D171" i="1"/>
  <c r="D172" i="1"/>
  <c r="D173" i="1"/>
  <c r="D174" i="1"/>
  <c r="D175" i="1"/>
  <c r="D176" i="1"/>
  <c r="D177" i="1"/>
  <c r="D179" i="1"/>
  <c r="D180" i="1"/>
  <c r="D181" i="1"/>
  <c r="D182" i="1"/>
  <c r="D183" i="1"/>
  <c r="D184" i="1"/>
  <c r="D185" i="1"/>
  <c r="D186" i="1"/>
  <c r="D187" i="1"/>
  <c r="D188" i="1"/>
  <c r="D189" i="1"/>
  <c r="D190" i="1"/>
  <c r="D191" i="1"/>
  <c r="D192" i="1"/>
  <c r="D193" i="1"/>
  <c r="D196" i="1"/>
  <c r="D197" i="1"/>
  <c r="D200" i="1"/>
  <c r="D201" i="1"/>
  <c r="D202" i="1"/>
  <c r="D9" i="1"/>
  <c r="D19" i="1"/>
  <c r="D67" i="1"/>
  <c r="BL67" i="1"/>
  <c r="BL177" i="1"/>
  <c r="B3" i="2" l="1"/>
  <c r="B4" i="2"/>
  <c r="B5" i="2"/>
  <c r="B6" i="2"/>
  <c r="B7" i="2" s="1"/>
  <c r="BL19" i="1" l="1"/>
  <c r="BL9" i="1" l="1"/>
  <c r="BL70" i="1"/>
  <c r="BL73" i="1"/>
  <c r="BL74" i="1"/>
  <c r="BL78" i="1"/>
  <c r="BL76" i="1"/>
  <c r="BL77" i="1"/>
  <c r="BL79" i="1"/>
  <c r="BL80" i="1"/>
  <c r="BL81" i="1"/>
  <c r="BL82" i="1"/>
  <c r="BL83" i="1"/>
  <c r="BL85" i="1"/>
  <c r="BL86" i="1"/>
  <c r="BL87" i="1"/>
  <c r="BL88" i="1"/>
  <c r="BL90" i="1"/>
  <c r="BL91" i="1"/>
  <c r="BL92" i="1"/>
  <c r="BL93" i="1"/>
  <c r="BL94" i="1"/>
  <c r="BL96" i="1"/>
  <c r="BL98" i="1"/>
  <c r="BL100" i="1"/>
  <c r="BL103" i="1"/>
  <c r="BL104" i="1"/>
  <c r="BL105" i="1"/>
  <c r="BL106" i="1"/>
  <c r="BL107" i="1"/>
  <c r="BL54" i="1"/>
  <c r="BL57" i="1"/>
  <c r="BL58" i="1"/>
  <c r="BL114" i="1"/>
  <c r="BL116" i="1"/>
  <c r="BL30" i="1"/>
  <c r="BL128" i="1"/>
  <c r="BL121" i="1"/>
  <c r="BL122" i="1"/>
  <c r="BL137" i="1"/>
  <c r="BL130" i="1"/>
  <c r="BL139" i="1"/>
  <c r="BL133" i="1"/>
  <c r="BL35" i="1"/>
  <c r="BL134" i="1"/>
  <c r="BL34" i="1"/>
  <c r="BL141" i="1"/>
  <c r="BL142" i="1"/>
  <c r="BL38" i="1"/>
  <c r="BL37" i="1"/>
  <c r="BL39" i="1"/>
  <c r="BL145" i="1"/>
  <c r="BL146" i="1"/>
  <c r="BL147" i="1"/>
  <c r="BL148" i="1"/>
  <c r="BL42" i="1"/>
  <c r="BL149" i="1"/>
  <c r="BL43" i="1"/>
  <c r="BL151" i="1"/>
  <c r="BL45" i="1"/>
  <c r="BL153" i="1"/>
  <c r="BL44" i="1"/>
  <c r="BL154" i="1"/>
  <c r="BL46" i="1"/>
  <c r="BL157" i="1"/>
  <c r="BL158" i="1"/>
  <c r="BL160" i="1"/>
  <c r="BL161" i="1"/>
  <c r="BL162" i="1"/>
  <c r="BL164" i="1"/>
  <c r="BL165" i="1"/>
  <c r="BL166" i="1"/>
  <c r="BL167" i="1"/>
  <c r="BL168" i="1"/>
  <c r="BL169" i="1"/>
  <c r="BL170" i="1"/>
  <c r="BL171" i="1"/>
  <c r="BL172" i="1"/>
  <c r="BL173" i="1"/>
  <c r="BL174" i="1"/>
  <c r="BL175" i="1"/>
  <c r="BL176" i="1"/>
  <c r="BL179" i="1"/>
  <c r="BL180" i="1"/>
  <c r="BL181" i="1"/>
  <c r="BL182" i="1"/>
  <c r="BL183" i="1"/>
  <c r="BL184" i="1"/>
  <c r="BL185" i="1"/>
  <c r="BL186" i="1"/>
  <c r="BL187" i="1"/>
  <c r="BL188" i="1"/>
  <c r="BL189" i="1"/>
  <c r="BL190" i="1"/>
  <c r="BL191" i="1"/>
  <c r="BL192" i="1"/>
  <c r="BL193" i="1"/>
  <c r="BL196" i="1"/>
  <c r="BL197" i="1"/>
  <c r="BL200" i="1"/>
  <c r="BL201" i="1"/>
  <c r="BL202" i="1"/>
</calcChain>
</file>

<file path=xl/sharedStrings.xml><?xml version="1.0" encoding="utf-8"?>
<sst xmlns="http://schemas.openxmlformats.org/spreadsheetml/2006/main" count="2477" uniqueCount="819">
  <si>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</si>
  <si>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</si>
  <si>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</si>
  <si>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</si>
  <si>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</si>
  <si>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</si>
  <si>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</si>
  <si>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</si>
  <si>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</si>
  <si>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</si>
  <si>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</si>
  <si>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</si>
  <si>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</si>
  <si>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</si>
  <si>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</si>
  <si>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</si>
  <si>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</si>
  <si>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</si>
  <si>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</si>
  <si>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</si>
  <si>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</si>
  <si>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</si>
  <si>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</si>
  <si>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</si>
  <si>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</si>
  <si>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</si>
  <si>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</si>
  <si>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</si>
  <si>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</si>
  <si>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</si>
  <si>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</si>
  <si>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</si>
  <si>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</si>
  <si>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</si>
  <si>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</si>
  <si>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</si>
  <si>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</si>
  <si>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</si>
  <si>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</si>
  <si>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</si>
  <si>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</si>
  <si>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</si>
  <si>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</si>
  <si>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</si>
  <si>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</si>
  <si>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</si>
  <si>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</si>
  <si>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</si>
  <si>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</si>
  <si>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</si>
  <si>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</si>
  <si>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</si>
  <si>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</si>
  <si>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</si>
  <si>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</si>
  <si>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</si>
  <si>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</si>
  <si>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</si>
  <si>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</si>
  <si>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</si>
  <si>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</si>
  <si>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</si>
  <si>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</si>
  <si>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</si>
  <si>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</si>
  <si>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</si>
  <si>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</si>
  <si>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</si>
  <si>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</si>
  <si>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</si>
  <si>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</si>
  <si>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</si>
  <si>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</si>
  <si>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</si>
  <si>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</si>
  <si>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</si>
  <si>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</si>
  <si>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</si>
  <si>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</si>
  <si>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</si>
  <si>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</si>
  <si>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</si>
  <si>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</si>
  <si>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</si>
  <si>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</si>
  <si>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</si>
  <si>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</si>
  <si>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</si>
  <si>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</si>
  <si>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</si>
  <si>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</si>
  <si>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</si>
  <si>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</si>
  <si>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</si>
  <si>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</si>
  <si>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</si>
  <si>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</si>
  <si>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</si>
  <si>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</si>
  <si>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</si>
  <si>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</si>
  <si>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</si>
  <si>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</si>
  <si>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</si>
  <si>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</si>
  <si>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</si>
  <si>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</si>
  <si>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</si>
  <si>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</si>
  <si>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</si>
  <si>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</si>
  <si>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</si>
  <si>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</si>
  <si>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</si>
  <si>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</si>
  <si>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</si>
  <si>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</si>
  <si>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</si>
  <si>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</si>
  <si>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</si>
  <si>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</si>
  <si>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</si>
  <si>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</si>
  <si>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</si>
  <si>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</si>
  <si>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</si>
  <si>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</si>
  <si>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</si>
  <si>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</si>
  <si>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</si>
  <si>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</si>
  <si>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</si>
  <si>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</si>
  <si>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</si>
  <si>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</si>
  <si>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</si>
  <si>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</si>
  <si>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</si>
  <si>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</si>
  <si>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</si>
  <si>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</si>
  <si>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</si>
  <si>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</si>
  <si>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</si>
  <si>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</si>
  <si>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</si>
  <si>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</si>
  <si>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</si>
  <si>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</si>
  <si>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</si>
  <si>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</si>
  <si>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</si>
  <si>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</si>
  <si>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</si>
  <si>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</si>
  <si>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</si>
  <si>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</si>
  <si>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</si>
  <si>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</si>
  <si>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</si>
  <si>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</si>
  <si>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</si>
  <si>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</si>
  <si>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</si>
  <si>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</si>
  <si>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</si>
  <si>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</si>
  <si>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</si>
  <si>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</si>
  <si>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</si>
  <si>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</si>
  <si>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</si>
  <si>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</si>
  <si>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</si>
  <si>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</si>
  <si>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</si>
  <si>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</si>
  <si>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</si>
  <si>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</si>
  <si>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</si>
  <si>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</si>
  <si>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</si>
  <si>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</si>
  <si>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</si>
  <si>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</si>
  <si>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</si>
  <si>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</si>
  <si>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</si>
  <si>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</si>
  <si>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</si>
  <si>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</si>
  <si>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</si>
  <si>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</si>
  <si>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</si>
  <si>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</si>
  <si>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</si>
  <si>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</si>
  <si>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</si>
  <si>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</si>
  <si>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</si>
  <si>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</si>
  <si>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</si>
  <si>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</si>
  <si>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</si>
  <si>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</si>
  <si>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</si>
  <si>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</si>
  <si>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</si>
  <si>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</si>
  <si>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</si>
  <si>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</si>
  <si>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</si>
  <si>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</si>
  <si>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</si>
  <si>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</si>
  <si>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</si>
  <si>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</si>
  <si>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</si>
  <si>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</si>
  <si>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</si>
  <si>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</si>
  <si>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</si>
  <si>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</si>
  <si>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</si>
  <si>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</si>
  <si>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</si>
  <si>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</si>
  <si>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</si>
  <si>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</si>
  <si>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</si>
  <si>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</si>
  <si>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</si>
  <si>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</si>
  <si>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</si>
  <si>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</si>
  <si>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</si>
  <si>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</si>
  <si>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</si>
  <si>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</si>
  <si>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</si>
  <si>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</si>
  <si>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</si>
  <si>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</si>
  <si>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</si>
  <si>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</si>
  <si>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</si>
  <si>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</si>
  <si>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</si>
  <si>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</si>
  <si>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</si>
  <si>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</si>
  <si>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</si>
  <si>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</si>
  <si>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</si>
  <si>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</si>
  <si>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</si>
  <si>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</si>
  <si>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</si>
  <si>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</si>
  <si>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</si>
  <si>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</si>
  <si>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</si>
  <si>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</si>
  <si>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</si>
  <si>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</si>
  <si>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</si>
  <si>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</si>
  <si>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</si>
  <si>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</si>
  <si>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</si>
  <si>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</si>
  <si>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</si>
  <si>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</si>
  <si>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</si>
  <si>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</si>
  <si>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</si>
  <si>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</si>
  <si>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</si>
  <si>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</si>
  <si>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</si>
  <si>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</si>
  <si>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</si>
  <si>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</si>
  <si>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</si>
  <si>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</si>
  <si>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</si>
  <si>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</si>
  <si>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</si>
  <si>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</si>
  <si>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</si>
  <si>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</si>
  <si>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</si>
  <si>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</si>
  <si>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</si>
  <si>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</si>
  <si>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</si>
  <si>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</si>
  <si>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</si>
  <si>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</si>
  <si>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</si>
  <si>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</si>
  <si>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</si>
  <si>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</si>
  <si>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</si>
  <si>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</si>
  <si>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</si>
  <si>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</si>
  <si>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</si>
  <si>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</si>
  <si>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</si>
  <si>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</si>
  <si>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</si>
  <si>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</si>
  <si>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</si>
  <si>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</si>
  <si>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</si>
  <si>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</si>
  <si>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</si>
  <si>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</si>
  <si>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</si>
  <si>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</si>
  <si>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</si>
  <si>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</si>
  <si>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</si>
  <si>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</si>
  <si>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</si>
  <si>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</si>
  <si>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</si>
  <si>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</si>
  <si>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</si>
  <si>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</si>
  <si>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</si>
  <si>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</si>
  <si>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</si>
  <si>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</si>
  <si>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</si>
  <si>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</si>
  <si>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</si>
  <si>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</si>
  <si>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</si>
  <si>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</si>
  <si>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</si>
  <si>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</si>
  <si>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</si>
  <si>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</si>
  <si>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</si>
  <si>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</si>
  <si>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</si>
  <si>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</si>
  <si>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</si>
  <si>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</si>
  <si>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</si>
  <si>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</si>
  <si>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</si>
  <si>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</si>
  <si>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</si>
  <si>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</si>
  <si>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</si>
  <si>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</si>
  <si>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</si>
  <si>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</si>
  <si>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</si>
  <si>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</si>
  <si>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</si>
  <si>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</si>
  <si>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</si>
  <si>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</si>
  <si>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</si>
  <si>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</si>
  <si>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</si>
  <si>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</si>
  <si>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</si>
  <si>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</si>
  <si>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</si>
  <si>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</si>
  <si>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</si>
  <si>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</si>
  <si>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</si>
  <si>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</si>
  <si>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</si>
  <si>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</si>
  <si>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</si>
  <si>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</si>
  <si>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</si>
  <si>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</si>
  <si>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</si>
  <si>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</si>
  <si>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</si>
  <si>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</si>
  <si>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</si>
  <si>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</si>
  <si>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</si>
  <si>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</si>
  <si>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</si>
  <si>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</si>
  <si>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</si>
  <si>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</si>
  <si>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</si>
  <si>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</si>
  <si>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</si>
  <si>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</si>
  <si>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</si>
  <si>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</si>
  <si>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</si>
  <si>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</si>
  <si>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</si>
  <si>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</si>
  <si>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</si>
  <si>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</si>
  <si>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</si>
  <si>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</si>
  <si>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</si>
  <si>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</si>
  <si>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</si>
  <si>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</si>
  <si>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</si>
  <si>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</si>
  <si>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</si>
  <si>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</si>
  <si>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</si>
  <si>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</si>
  <si>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</si>
  <si>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</si>
  <si>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</si>
  <si>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</si>
  <si>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</si>
  <si>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</si>
  <si>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</si>
  <si>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</si>
  <si>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</si>
  <si>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</si>
  <si>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</si>
  <si>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</si>
  <si>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</si>
  <si>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</si>
  <si>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</si>
  <si>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</si>
  <si>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</si>
  <si>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</si>
  <si>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</si>
  <si>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</si>
  <si>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</si>
  <si>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</si>
  <si>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</si>
  <si>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</si>
  <si>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</si>
  <si>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</si>
  <si>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</si>
  <si>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</si>
  <si>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</si>
  <si>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</si>
  <si>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</si>
  <si>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</si>
  <si>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</si>
  <si>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</si>
  <si>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</si>
  <si>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</si>
  <si>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</si>
  <si>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</si>
  <si>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</si>
  <si>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</si>
  <si>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</si>
  <si>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</si>
  <si>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</si>
  <si>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</si>
  <si>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</si>
  <si>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</si>
  <si>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</si>
  <si>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</si>
  <si>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</si>
  <si>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</si>
  <si>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</si>
  <si>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</si>
  <si>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</si>
  <si>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</si>
  <si>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</si>
  <si>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</si>
  <si>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</si>
  <si>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</si>
  <si>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</si>
  <si>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</si>
  <si>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</si>
  <si>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</si>
  <si>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</si>
  <si>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</si>
  <si>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</si>
  <si>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</si>
  <si>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</si>
  <si>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</si>
  <si>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</si>
  <si>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</si>
  <si>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</si>
  <si>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</si>
  <si>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</si>
  <si>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</si>
  <si>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</si>
  <si>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</si>
  <si>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</si>
  <si>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</si>
  <si>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</si>
  <si>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</si>
  <si>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</si>
  <si>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</si>
  <si>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</si>
  <si>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</si>
  <si>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</si>
  <si>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</si>
  <si>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</si>
  <si>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</si>
  <si>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</si>
  <si>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</si>
  <si>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</si>
  <si>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</si>
  <si>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</si>
  <si>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</si>
  <si>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</si>
  <si>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</si>
  <si>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</si>
  <si>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</si>
  <si>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</si>
  <si>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</si>
  <si>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</si>
  <si>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</si>
  <si>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</si>
  <si>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</si>
  <si>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</si>
  <si>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</si>
  <si>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</si>
  <si>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</si>
  <si>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</si>
  <si>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</si>
  <si>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</si>
  <si>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</si>
  <si>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</si>
  <si>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</si>
  <si>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</si>
  <si>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</si>
  <si>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</si>
  <si>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</si>
  <si>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</si>
  <si>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</si>
  <si>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</si>
  <si>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</si>
  <si>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</si>
  <si>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</si>
  <si>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</si>
  <si>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</si>
  <si>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</si>
  <si>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</si>
  <si>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</si>
  <si>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</si>
  <si>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</si>
  <si>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</si>
  <si>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</si>
  <si>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</si>
  <si>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</si>
  <si>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</si>
  <si>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</si>
  <si>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</si>
  <si>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</si>
  <si>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</si>
  <si>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</si>
  <si>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</si>
  <si>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</si>
  <si>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</si>
  <si>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</si>
  <si>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</si>
  <si>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</si>
  <si>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</si>
  <si>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</si>
  <si>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</si>
  <si>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</si>
  <si>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</si>
  <si>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</si>
  <si>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</si>
  <si>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</si>
  <si>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</si>
  <si>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</si>
  <si>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</si>
  <si>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</si>
  <si>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</si>
  <si>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</si>
  <si>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</si>
  <si>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</si>
  <si>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</si>
  <si>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</si>
  <si>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</si>
  <si>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</si>
  <si>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</si>
  <si>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</si>
  <si>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</si>
  <si>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</si>
  <si>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</si>
  <si>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</si>
  <si>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</si>
  <si>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</si>
  <si>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</si>
  <si>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</si>
  <si>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</si>
  <si>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</si>
  <si>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</si>
  <si>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</si>
  <si>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</si>
  <si>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</si>
  <si>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</si>
  <si>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</si>
  <si>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</si>
  <si>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</si>
  <si>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</si>
  <si>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</si>
  <si>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</si>
  <si>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</si>
  <si>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</si>
  <si>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</si>
  <si>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</si>
  <si>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</si>
  <si>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</si>
  <si>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</si>
  <si>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</si>
  <si>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</si>
  <si>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</si>
  <si>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</si>
  <si>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</si>
  <si>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</si>
  <si>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</si>
  <si>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</si>
  <si>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</si>
  <si>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</si>
  <si>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</si>
  <si>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</si>
  <si>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</si>
  <si>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</si>
  <si>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</si>
  <si>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</si>
  <si>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</si>
  <si>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</si>
  <si>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</si>
  <si>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</si>
  <si>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</si>
  <si>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</si>
  <si>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</si>
  <si>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</si>
  <si>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</si>
  <si>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</si>
  <si>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</si>
  <si>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</si>
  <si>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</si>
  <si>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</si>
  <si>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</si>
  <si>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</si>
  <si>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</si>
  <si>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</si>
  <si>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</si>
  <si>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</si>
  <si>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</si>
  <si>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</si>
  <si>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</si>
  <si>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</si>
  <si>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</si>
  <si>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</si>
  <si>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</si>
  <si>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</si>
  <si>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</si>
  <si>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</si>
  <si>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</si>
  <si>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</si>
  <si>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</si>
  <si>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</si>
  <si>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</si>
  <si>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</si>
  <si>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</si>
  <si>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</si>
  <si>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</si>
  <si>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</si>
  <si>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</si>
  <si>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</si>
  <si>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</si>
  <si>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</si>
  <si>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</si>
  <si>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</si>
  <si>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</si>
  <si>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</si>
  <si>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</si>
  <si>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</si>
  <si>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</si>
  <si>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</si>
  <si>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</si>
  <si>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</si>
  <si>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</si>
  <si>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</si>
  <si>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</si>
  <si>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</si>
  <si>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</si>
  <si>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</si>
  <si>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</si>
  <si>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</si>
  <si>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</si>
  <si>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</si>
  <si>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</si>
  <si>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</si>
  <si>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</si>
  <si>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</si>
  <si>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</si>
  <si>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</si>
  <si>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</si>
  <si>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</si>
  <si>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</si>
  <si>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</si>
  <si>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</si>
  <si>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</si>
  <si>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</si>
  <si>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</si>
  <si>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</si>
  <si>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</si>
  <si>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</si>
  <si>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</si>
  <si>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</si>
  <si>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</si>
  <si>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</si>
  <si>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</si>
  <si>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</si>
  <si>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</si>
  <si>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</si>
  <si>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</si>
  <si>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</si>
  <si>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</si>
  <si>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</si>
  <si>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</si>
  <si>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</si>
  <si>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</si>
  <si>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</si>
  <si>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</si>
  <si>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</si>
  <si>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</si>
  <si>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</si>
  <si>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</si>
  <si>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</si>
  <si>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</si>
  <si>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</si>
  <si>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</si>
  <si>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</si>
  <si>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</si>
  <si>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</si>
  <si>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</si>
  <si>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</si>
  <si>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</si>
  <si>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</si>
  <si>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</si>
  <si>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</si>
  <si>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</si>
  <si>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</si>
  <si>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</si>
  <si>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</si>
  <si>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</si>
  <si>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</si>
  <si>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</si>
  <si>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</si>
  <si>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</si>
  <si>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</si>
  <si>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</si>
  <si>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</si>
  <si>
    <t>leyland_badger_trailer</t>
  </si>
  <si>
    <t>drawbar_trailer_old</t>
  </si>
  <si>
    <t>Drawbar Trailer (old)</t>
  </si>
  <si>
    <t>7,5</t>
  </si>
  <si>
    <t>8,5</t>
  </si>
  <si>
    <t>6,5</t>
  </si>
  <si>
    <t>5,5</t>
  </si>
  <si>
    <t>drawbar_trailer_old_flatbed</t>
  </si>
  <si>
    <t>engine_carries_load</t>
  </si>
  <si>
    <t>20,12</t>
  </si>
  <si>
    <t>leyland_steam_van_trailer</t>
  </si>
  <si>
    <t>foden_5t_trailer</t>
  </si>
  <si>
    <t>leyland_x_type_trailer</t>
  </si>
  <si>
    <t>thornycroft_type_j_trailer</t>
  </si>
  <si>
    <t>vulcan_lorry_trailer</t>
  </si>
  <si>
    <t>sentinel_dg4_trailer</t>
  </si>
  <si>
    <t>mammoth_major_8_trailer</t>
  </si>
  <si>
    <t>13,5</t>
  </si>
  <si>
    <t>16,6</t>
  </si>
  <si>
    <t>18,8</t>
  </si>
  <si>
    <t>15,7</t>
  </si>
  <si>
    <t>24,10</t>
  </si>
  <si>
    <t>mammoth_major_8,drawbar_trailer_old</t>
  </si>
  <si>
    <t>leyland_badger,drawbar_trailer_old</t>
  </si>
  <si>
    <t>vulcan_lorry,drawbar_trailer_old</t>
  </si>
  <si>
    <t>thornycroft_type_j,drawbar_trailer_old</t>
  </si>
  <si>
    <t>leyland_x_type,drawbar_trailer_old</t>
  </si>
  <si>
    <t>foden_5t,rubber_tyred_cart</t>
  </si>
  <si>
    <t>leyland_steam_van,rubber_tyred_cart</t>
  </si>
  <si>
    <t>no_goods_recolour</t>
  </si>
  <si>
    <t>has_piece_goods_switch</t>
  </si>
  <si>
    <t>sentinel_dg4,drawbar_trailer_old_metal</t>
  </si>
  <si>
    <t>vulcan_mk2_trailer</t>
  </si>
  <si>
    <t>19,9</t>
  </si>
  <si>
    <t>vulcan_mk2,drawbar_trailer_old_metal</t>
  </si>
  <si>
    <t>Drawbar Trailer (old metal)</t>
  </si>
  <si>
    <t>drawbar_trailer_old_metal</t>
  </si>
  <si>
    <t>drawbar_trailer_old_metal_flatbed</t>
  </si>
  <si>
    <t>1960s Drawbar</t>
  </si>
  <si>
    <t>drawbar_trailer</t>
  </si>
  <si>
    <t>drawbar_trailer_goods</t>
  </si>
  <si>
    <t>leyland_octopus_trailer</t>
  </si>
  <si>
    <t>25,7</t>
  </si>
  <si>
    <t>6,6</t>
  </si>
  <si>
    <t>leyland_octopus,drawbar_trailer</t>
  </si>
  <si>
    <t>7,6</t>
  </si>
  <si>
    <t>foden_s20_trailer</t>
  </si>
  <si>
    <t>foden_s21_trailer</t>
  </si>
  <si>
    <t>21,7</t>
  </si>
  <si>
    <t>24,6</t>
  </si>
  <si>
    <t>foden_s21,drawbar_trailer_50s</t>
  </si>
  <si>
    <t>foden_s20,drawbar_trailer_50s</t>
  </si>
  <si>
    <t>drawbar_trailer_50s</t>
  </si>
  <si>
    <t>1950s drawbar</t>
  </si>
  <si>
    <t>drawbar_trailer_50s_goods</t>
  </si>
  <si>
    <t>guy_big_j6_trailer</t>
  </si>
  <si>
    <t>22,6</t>
  </si>
  <si>
    <t>guy_big_j6,drawbar_trailer_50s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</si>
</sst>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202"/>
  <sheetViews>
    <sheetView tabSelected="1" zoomScaleNormal="100" workbookViewId="0">
      <pane xSplit="2910" ySplit="600" topLeftCell="S115" activePane="bottomRight"/>
      <selection pane="topRight" activeCell="AA1" sqref="AA1"/>
      <selection pane="bottomLeft" activeCell="A135" sqref="A135:XFD135"/>
      <selection pane="bottomRight" activeCell="X130" sqref="X130"/>
    </sheetView>
  </sheetViews>
  <sheetFormatPr defaultRowHeight="14.5" x14ac:dyDescent="0.35"/>
  <cols>
    <col min="1" max="1" width="24" bestFit="1" customWidth="1"/>
    <col min="2" max="3" width="24" customWidth="1"/>
    <col min="4" max="4" width="13.26953125" bestFit="1" customWidth="1"/>
    <col min="5" max="7" width="13.26953125" customWidth="1"/>
    <col min="8" max="8" width="12" bestFit="1" customWidth="1"/>
    <col min="9" max="9" width="12" customWidth="1"/>
    <col min="10" max="11" width="12.81640625" customWidth="1"/>
    <col min="12" max="13" width="12.453125" customWidth="1"/>
    <col min="14" max="14" width="12.54296875" customWidth="1"/>
    <col min="15" max="15" width="15.7265625" customWidth="1"/>
    <col min="16" max="16" width="13.7265625" bestFit="1" customWidth="1"/>
    <col min="17" max="17" width="15.7265625" customWidth="1"/>
    <col min="18" max="18" width="10.453125" customWidth="1"/>
    <col min="19" max="19" width="9" bestFit="1" customWidth="1"/>
    <col min="20" max="20" width="5.7265625" customWidth="1"/>
    <col min="21" max="21" width="15.7265625" customWidth="1"/>
    <col min="22" max="22" width="19.1796875" customWidth="1"/>
    <col min="23" max="23" width="11.54296875" customWidth="1"/>
    <col min="24" max="24" width="17.453125" customWidth="1"/>
    <col min="25" max="25" width="200.1796875" bestFit="1" customWidth="1"/>
    <col min="26" max="28" width="14.81640625" customWidth="1"/>
    <col min="29" max="31" width="21" customWidth="1"/>
    <col min="32" max="36" width="23.7265625" customWidth="1"/>
    <col min="37" max="37" width="15.81640625" bestFit="1" customWidth="1"/>
    <col min="38" max="38" width="20.54296875" customWidth="1"/>
    <col min="39" max="39" width="29.1796875" customWidth="1"/>
    <col min="40" max="42" width="20.54296875" customWidth="1"/>
    <col min="43" max="43" width="60.26953125" customWidth="1"/>
    <col min="44" max="44" width="20.54296875" customWidth="1"/>
    <col min="45" max="45" width="9.81640625" bestFit="1" customWidth="1"/>
    <col min="46" max="49" width="9.81640625" customWidth="1"/>
    <col min="50" max="50" width="7.1796875" bestFit="1" customWidth="1"/>
    <col min="51" max="51" width="12.453125" customWidth="1"/>
    <col min="52" max="52" width="14.81640625" bestFit="1" customWidth="1"/>
    <col min="53" max="54" width="14.81640625" style="2" customWidth="1"/>
    <col min="55" max="55" width="6.7265625" style="2" bestFit="1" customWidth="1"/>
    <col min="56" max="56" width="6.7265625" style="2" customWidth="1"/>
    <col min="57" max="57" width="18.453125" bestFit="1" customWidth="1"/>
    <col min="58" max="58" width="14.81640625" customWidth="1"/>
    <col min="59" max="59" width="19.1796875" bestFit="1" customWidth="1"/>
    <col min="60" max="60" width="21.1796875" bestFit="1" customWidth="1"/>
    <col min="61" max="64" width="12.54296875" customWidth="1"/>
  </cols>
  <sheetData>
    <row r="1" spans="1:65" x14ac:dyDescent="0.3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790</v>
      </c>
      <c r="AB1" s="1" t="s">
        <v>791</v>
      </c>
      <c r="AC1" s="1" t="s">
        <v>343</v>
      </c>
      <c r="AD1" s="1" t="s">
        <v>392</v>
      </c>
      <c r="AE1" s="1" t="s">
        <v>525</v>
      </c>
      <c r="AF1" s="1" t="s">
        <v>487</v>
      </c>
      <c r="AG1" s="1" t="s">
        <v>346</v>
      </c>
      <c r="AH1" s="1" t="s">
        <v>367</v>
      </c>
      <c r="AI1" s="1" t="s">
        <v>349</v>
      </c>
      <c r="AJ1" s="1" t="s">
        <v>362</v>
      </c>
      <c r="AK1" s="1" t="s">
        <v>297</v>
      </c>
      <c r="AL1" s="1" t="s">
        <v>379</v>
      </c>
      <c r="AM1" s="1" t="s">
        <v>397</v>
      </c>
      <c r="AN1" s="1" t="s">
        <v>369</v>
      </c>
      <c r="AO1" s="1" t="s">
        <v>371</v>
      </c>
      <c r="AP1" s="1" t="s">
        <v>562</v>
      </c>
      <c r="AQ1" s="1" t="s">
        <v>529</v>
      </c>
      <c r="AR1" s="1" t="s">
        <v>512</v>
      </c>
      <c r="AS1" s="1" t="s">
        <v>364</v>
      </c>
      <c r="AT1" s="1" t="s">
        <v>366</v>
      </c>
      <c r="AU1" s="1" t="s">
        <v>716</v>
      </c>
      <c r="AV1" s="1" t="s">
        <v>769</v>
      </c>
      <c r="AW1" s="1" t="s">
        <v>750</v>
      </c>
      <c r="AX1" s="1" t="s">
        <v>153</v>
      </c>
      <c r="AY1" s="1" t="s">
        <v>563</v>
      </c>
      <c r="AZ1" s="1" t="s">
        <v>154</v>
      </c>
      <c r="BA1" s="4" t="s">
        <v>282</v>
      </c>
      <c r="BB1" s="4" t="s">
        <v>298</v>
      </c>
      <c r="BC1" s="4" t="s">
        <v>528</v>
      </c>
      <c r="BD1" s="4" t="s">
        <v>707</v>
      </c>
      <c r="BE1" s="1" t="s">
        <v>283</v>
      </c>
      <c r="BF1" s="1" t="s">
        <v>499</v>
      </c>
      <c r="BG1" s="1" t="s">
        <v>284</v>
      </c>
      <c r="BH1" s="1" t="s">
        <v>394</v>
      </c>
      <c r="BI1" s="1" t="s">
        <v>155</v>
      </c>
      <c r="BJ1" s="1" t="s">
        <v>156</v>
      </c>
      <c r="BK1" s="1" t="s">
        <v>157</v>
      </c>
      <c r="BL1" s="1" t="s">
        <v>158</v>
      </c>
      <c r="BM1" s="1" t="s">
        <v>159</v>
      </c>
    </row>
    <row r="2" spans="1:65" x14ac:dyDescent="0.35">
      <c r="A2" t="s">
        <v>587</v>
      </c>
      <c r="B2" t="s">
        <v>287</v>
      </c>
      <c r="C2" t="s">
        <v>276</v>
      </c>
      <c r="D2">
        <v>0</v>
      </c>
      <c r="F2">
        <v>-1</v>
      </c>
      <c r="Y2" s="2"/>
      <c r="Z2" s="2"/>
      <c r="AA2" s="2"/>
      <c r="AB2" s="2"/>
      <c r="AC2" s="2"/>
      <c r="AD2" s="2"/>
      <c r="AE2" s="2"/>
      <c r="AF2" s="2"/>
      <c r="AG2" s="2"/>
      <c r="AH2" s="2"/>
      <c r="AI2" s="2"/>
      <c r="AJ2" s="2"/>
      <c r="AR2">
        <v>5</v>
      </c>
      <c r="AX2" s="2"/>
      <c r="AY2" s="2"/>
      <c r="AZ2" s="2"/>
      <c r="BE2" s="2"/>
      <c r="BF2" s="2"/>
      <c r="BG2" s="2"/>
      <c r="BH2" s="2"/>
      <c r="BI2" s="3"/>
      <c r="BJ2" s="3"/>
      <c r="BK2" s="3"/>
      <c r="BL2" s="2"/>
    </row>
    <row r="3" spans="1:65" x14ac:dyDescent="0.35">
      <c r="A3" t="s">
        <v>513</v>
      </c>
      <c r="B3" t="s">
        <v>276</v>
      </c>
      <c r="C3" t="s">
        <v>276</v>
      </c>
      <c r="D3">
        <v>0</v>
      </c>
      <c r="F3">
        <v>-1</v>
      </c>
      <c r="Y3" s="2"/>
      <c r="Z3" s="2"/>
      <c r="AA3" s="2"/>
      <c r="AB3" s="2"/>
      <c r="AC3" s="2"/>
      <c r="AD3" s="2"/>
      <c r="AE3" s="2"/>
      <c r="AF3" s="2"/>
      <c r="AG3" s="2"/>
      <c r="AH3" s="2"/>
      <c r="AI3" s="2"/>
      <c r="AJ3" s="2"/>
      <c r="AR3">
        <v>5</v>
      </c>
      <c r="AX3" s="2"/>
      <c r="AY3" s="2"/>
      <c r="AZ3" s="2"/>
      <c r="BE3" s="2"/>
      <c r="BF3" s="2"/>
      <c r="BG3" s="2"/>
      <c r="BH3" s="2"/>
      <c r="BI3" s="3"/>
      <c r="BJ3" s="3"/>
      <c r="BK3" s="3"/>
      <c r="BL3" s="2"/>
    </row>
    <row r="4" spans="1:65" x14ac:dyDescent="0.35">
      <c r="A4" t="s">
        <v>393</v>
      </c>
      <c r="B4" t="s">
        <v>391</v>
      </c>
      <c r="C4" t="s">
        <v>349</v>
      </c>
      <c r="D4">
        <v>0</v>
      </c>
      <c r="F4">
        <v>-1</v>
      </c>
      <c r="Z4" t="s">
        <v>331</v>
      </c>
      <c r="AD4" t="s">
        <v>331</v>
      </c>
      <c r="AE4" t="s">
        <v>331</v>
      </c>
      <c r="AQ4" t="s">
        <v>554</v>
      </c>
      <c r="AR4">
        <v>5</v>
      </c>
    </row>
    <row r="5" spans="1:65" x14ac:dyDescent="0.3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c r="AC5" s="2"/>
      <c r="AD5" s="2" t="s">
        <v>331</v>
      </c>
      <c r="AE5" s="2" t="s">
        <v>331</v>
      </c>
      <c r="AF5" s="2"/>
      <c r="AG5" s="2"/>
      <c r="AH5" s="2"/>
      <c r="AI5" s="2" t="s">
        <v>391</v>
      </c>
      <c r="AJ5" s="2"/>
      <c r="AO5" t="s">
        <v>408</v>
      </c>
      <c r="AP5" t="s">
        <v>514</v>
      </c>
      <c r="AQ5" t="s">
        <v>560</v>
      </c>
      <c r="AR5">
        <v>5</v>
      </c>
      <c r="AS5">
        <v>1</v>
      </c>
      <c r="AT5" t="s">
        <v>276</v>
      </c>
      <c r="AU5" t="s">
        <v>276</v>
      </c>
      <c r="AX5" s="2">
        <v>20</v>
      </c>
      <c r="AY5" s="2"/>
      <c r="AZ5" s="2">
        <v>20</v>
      </c>
      <c r="BA5" s="2">
        <f t="shared" ref="BA5:BA7" si="0">N5/1.24</f>
        <v>12.903225806451614</v>
      </c>
      <c r="BB5" s="2">
        <f t="shared" ref="BB5:BB7" si="1">AK5/1.24</f>
        <v>0</v>
      </c>
      <c r="BC5" s="2">
        <v>2</v>
      </c>
      <c r="BE5" s="2">
        <v>3</v>
      </c>
      <c r="BF5" s="2">
        <v>3</v>
      </c>
      <c r="BG5" s="2">
        <f t="shared" ref="BG5:BG7" si="2">U5/BF5</f>
        <v>6</v>
      </c>
      <c r="BH5" s="2">
        <f>(U5)/MAX(BE5-(1+BD5), 1)</f>
        <v>9</v>
      </c>
      <c r="BK5" s="3"/>
      <c r="BL5" s="2" t="str">
        <f>CONCATENATE(
ROUND(BI5*VLOOKUP(L5,'ID Scheme'!$A$2:$E$7,3),0), "x",
ROUND(BJ5*VLOOKUP(L5,'ID Scheme'!$A$2:$E$7,5),0), "x",
ROUND(BK5*VLOOKUP(L5,'ID Scheme'!$A$2:$E$7,4),0))</f>
        <v>0x0x0</v>
      </c>
    </row>
    <row r="6" spans="1:65" x14ac:dyDescent="0.3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c r="AC6" s="2"/>
      <c r="AD6" s="2" t="s">
        <v>331</v>
      </c>
      <c r="AE6" s="2" t="s">
        <v>331</v>
      </c>
      <c r="AF6" s="2"/>
      <c r="AG6" s="2"/>
      <c r="AH6" s="2"/>
      <c r="AI6" s="2" t="s">
        <v>391</v>
      </c>
      <c r="AJ6" s="2"/>
      <c r="AO6" t="s">
        <v>396</v>
      </c>
      <c r="AP6" t="s">
        <v>701</v>
      </c>
      <c r="AQ6" t="s">
        <v>696</v>
      </c>
      <c r="AR6">
        <v>5</v>
      </c>
      <c r="AS6">
        <v>1</v>
      </c>
      <c r="AT6" t="s">
        <v>276</v>
      </c>
      <c r="AU6" t="s">
        <v>276</v>
      </c>
      <c r="AX6" s="2">
        <v>24</v>
      </c>
      <c r="AY6" s="2"/>
      <c r="AZ6" s="2">
        <v>24</v>
      </c>
      <c r="BA6" s="2">
        <f t="shared" ref="BA6" si="3">N6/1.24</f>
        <v>12.903225806451614</v>
      </c>
      <c r="BB6" s="2">
        <f t="shared" ref="BB6" si="4">AK6/1.24</f>
        <v>0</v>
      </c>
      <c r="BC6" s="2">
        <v>3</v>
      </c>
      <c r="BE6" s="2">
        <v>4</v>
      </c>
      <c r="BF6" s="2">
        <v>4</v>
      </c>
      <c r="BG6" s="2">
        <f t="shared" ref="BG6" si="5">U6/BF6</f>
        <v>6.75</v>
      </c>
      <c r="BH6" s="2">
        <f>(U6)/MAX(BE6-(1+BD6), 1)</f>
        <v>9</v>
      </c>
      <c r="BK6" s="3"/>
      <c r="BL6" s="2" t="str">
        <f>CONCATENATE(
ROUND(BI6*VLOOKUP(L6,'ID Scheme'!$A$2:$E$7,3),0), "x",
ROUND(BJ6*VLOOKUP(L6,'ID Scheme'!$A$2:$E$7,5),0), "x",
ROUND(BK6*VLOOKUP(L6,'ID Scheme'!$A$2:$E$7,4),0))</f>
        <v>0x0x0</v>
      </c>
    </row>
    <row r="7" spans="1:65" x14ac:dyDescent="0.3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c r="AC7" s="2"/>
      <c r="AD7" s="2" t="s">
        <v>331</v>
      </c>
      <c r="AE7" s="2" t="s">
        <v>331</v>
      </c>
      <c r="AF7" s="2"/>
      <c r="AG7" s="2"/>
      <c r="AH7" s="2"/>
      <c r="AI7" s="2" t="s">
        <v>391</v>
      </c>
      <c r="AJ7" s="2"/>
      <c r="AO7" t="s">
        <v>395</v>
      </c>
      <c r="AP7" t="s">
        <v>526</v>
      </c>
      <c r="AQ7" t="s">
        <v>700</v>
      </c>
      <c r="AR7">
        <v>5</v>
      </c>
      <c r="AS7">
        <v>1</v>
      </c>
      <c r="AT7" t="s">
        <v>276</v>
      </c>
      <c r="AU7" t="s">
        <v>276</v>
      </c>
      <c r="AX7" s="2">
        <v>28</v>
      </c>
      <c r="AY7" s="2"/>
      <c r="AZ7" s="2">
        <v>28</v>
      </c>
      <c r="BA7" s="2">
        <f t="shared" si="0"/>
        <v>12.903225806451614</v>
      </c>
      <c r="BB7" s="2">
        <f t="shared" si="1"/>
        <v>0</v>
      </c>
      <c r="BC7" s="2">
        <v>4</v>
      </c>
      <c r="BD7" s="2">
        <v>1</v>
      </c>
      <c r="BE7" s="2">
        <v>6</v>
      </c>
      <c r="BF7" s="2">
        <v>6</v>
      </c>
      <c r="BG7" s="2">
        <f t="shared" si="2"/>
        <v>6</v>
      </c>
      <c r="BH7" s="2">
        <f>(U7)/MAX(BE7-(1+BD7), 1)</f>
        <v>9</v>
      </c>
      <c r="BK7" s="3"/>
      <c r="BL7" s="2" t="str">
        <f>CONCATENATE(
ROUND(BI7*VLOOKUP(L7,'ID Scheme'!$A$2:$E$7,3),0), "x",
ROUND(BJ7*VLOOKUP(L7,'ID Scheme'!$A$2:$E$7,5),0), "x",
ROUND(BK7*VLOOKUP(L7,'ID Scheme'!$A$2:$E$7,4),0))</f>
        <v>0x0x0</v>
      </c>
    </row>
    <row r="8" spans="1:65" x14ac:dyDescent="0.3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c r="AC8" s="2"/>
      <c r="AD8" s="2" t="s">
        <v>331</v>
      </c>
      <c r="AE8" s="2" t="s">
        <v>331</v>
      </c>
      <c r="AF8" s="2"/>
      <c r="AG8" s="2"/>
      <c r="AH8" s="2"/>
      <c r="AI8" s="2" t="s">
        <v>391</v>
      </c>
      <c r="AJ8" s="2"/>
      <c r="AO8" t="s">
        <v>698</v>
      </c>
      <c r="AP8" t="s">
        <v>702</v>
      </c>
      <c r="AQ8" t="s">
        <v>699</v>
      </c>
      <c r="AR8">
        <v>5</v>
      </c>
      <c r="AS8">
        <v>1</v>
      </c>
      <c r="AT8" t="s">
        <v>276</v>
      </c>
      <c r="AU8" t="s">
        <v>276</v>
      </c>
      <c r="AX8" s="2">
        <v>32</v>
      </c>
      <c r="AY8" s="2"/>
      <c r="AZ8" s="2">
        <v>32</v>
      </c>
      <c r="BA8" s="2">
        <f t="shared" ref="BA8" si="6">N8/1.24</f>
        <v>12.903225806451614</v>
      </c>
      <c r="BB8" s="2">
        <f t="shared" ref="BB8" si="7">AK8/1.24</f>
        <v>0</v>
      </c>
      <c r="BC8" s="2">
        <v>5</v>
      </c>
      <c r="BD8" s="2">
        <v>1</v>
      </c>
      <c r="BE8" s="2">
        <v>7</v>
      </c>
      <c r="BF8" s="2">
        <v>7</v>
      </c>
      <c r="BG8" s="2">
        <f t="shared" ref="BG8" si="8">U8/BF8</f>
        <v>6.4285714285714288</v>
      </c>
      <c r="BH8" s="2">
        <f>(U8)/MAX(BE8-(1+BD8), 1)</f>
        <v>9</v>
      </c>
      <c r="BK8" s="3"/>
      <c r="BL8" s="2" t="str">
        <f>CONCATENATE(
ROUND(BI8*VLOOKUP(L8,'ID Scheme'!$A$2:$E$7,3),0), "x",
ROUND(BJ8*VLOOKUP(L8,'ID Scheme'!$A$2:$E$7,5),0), "x",
ROUND(BK8*VLOOKUP(L8,'ID Scheme'!$A$2:$E$7,4),0))</f>
        <v>0x0x0</v>
      </c>
    </row>
    <row r="9" spans="1:65" x14ac:dyDescent="0.3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c r="AC9" s="2"/>
      <c r="AD9" s="2" t="s">
        <v>331</v>
      </c>
      <c r="AE9" s="2" t="s">
        <v>331</v>
      </c>
      <c r="AF9" s="2"/>
      <c r="AG9" s="2"/>
      <c r="AH9" s="2"/>
      <c r="AI9" s="2" t="s">
        <v>391</v>
      </c>
      <c r="AJ9" s="2"/>
      <c r="AM9">
        <v>1</v>
      </c>
      <c r="AO9" t="s">
        <v>396</v>
      </c>
      <c r="AP9" t="s">
        <v>527</v>
      </c>
      <c r="AQ9" t="s">
        <v>530</v>
      </c>
      <c r="AR9">
        <v>4</v>
      </c>
      <c r="AS9">
        <v>1</v>
      </c>
      <c r="AX9" s="2">
        <f>(SQRT(N9*U9)*POWER((MIN(P9,20)+SQRT(MAX(P9-20,0))),0.9)*Data!$B$1)*(1-(V9-1))</f>
        <v>35.704831781745895</v>
      </c>
      <c r="AY9" s="2"/>
      <c r="AZ9" s="2">
        <f>((POWER((N9*N9*U9), 0.33)*LOG10(S9)*10*Data!$B$1)*V9)+AY9</f>
        <v>31.97612031589599</v>
      </c>
      <c r="BA9" s="2">
        <f t="shared" ref="BA9:BA25" si="9">N9/1.24</f>
        <v>17.741935483870968</v>
      </c>
      <c r="BB9" s="2">
        <f t="shared" ref="BB9:BB25" si="10">AK9/1.24</f>
        <v>0</v>
      </c>
      <c r="BC9" s="2">
        <v>3</v>
      </c>
      <c r="BE9" s="2">
        <v>4</v>
      </c>
      <c r="BF9" s="2">
        <v>4</v>
      </c>
      <c r="BG9" s="2">
        <f t="shared" ref="BG9:BG25" si="11">U9/BF9</f>
        <v>9</v>
      </c>
      <c r="BH9" s="2">
        <f t="shared" ref="BH9:BH78" si="12">(U9)/MAX(BE9-(1+BD9), 1)</f>
        <v>12</v>
      </c>
      <c r="BI9">
        <v>6</v>
      </c>
      <c r="BK9" s="3"/>
      <c r="BL9" s="2" t="str">
        <f>CONCATENATE(
ROUND(BI9*VLOOKUP(L9,'ID Scheme'!$A$2:$E$7,3),0), "x",
ROUND(BJ9*VLOOKUP(L9,'ID Scheme'!$A$2:$E$7,5),0), "x",
ROUND(BK9*VLOOKUP(L9,'ID Scheme'!$A$2:$E$7,4),0))</f>
        <v>56x0x0</v>
      </c>
    </row>
    <row r="10" spans="1:65" x14ac:dyDescent="0.3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c r="AC10" s="2"/>
      <c r="AD10" s="2" t="s">
        <v>331</v>
      </c>
      <c r="AE10" s="2" t="s">
        <v>331</v>
      </c>
      <c r="AF10" s="2"/>
      <c r="AG10" s="2"/>
      <c r="AH10" s="2"/>
      <c r="AI10" s="2" t="s">
        <v>391</v>
      </c>
      <c r="AJ10" s="2"/>
      <c r="AM10">
        <v>1</v>
      </c>
      <c r="AO10" t="s">
        <v>408</v>
      </c>
      <c r="AP10" t="s">
        <v>711</v>
      </c>
      <c r="AQ10" t="s">
        <v>713</v>
      </c>
      <c r="AR10">
        <v>4</v>
      </c>
      <c r="AS10">
        <v>1</v>
      </c>
      <c r="AU10" t="s">
        <v>239</v>
      </c>
      <c r="AX10" s="2">
        <f>(SQRT(N10*U10)*POWER((MIN(P10,20)+SQRT(MAX(P10-20,0))),0.9)*Data!$B$1)*(1-(V10-1))</f>
        <v>29.152873072395135</v>
      </c>
      <c r="AY10" s="2"/>
      <c r="AZ10" s="2">
        <f>((POWER((N10*N10*U10), 0.33)*LOG10(S10)*10*Data!$B$1)*V10)+AY10</f>
        <v>27.971493391902687</v>
      </c>
      <c r="BA10" s="2">
        <f t="shared" si="9"/>
        <v>17.741935483870968</v>
      </c>
      <c r="BB10" s="2">
        <f t="shared" si="10"/>
        <v>0</v>
      </c>
      <c r="BC10" s="2">
        <v>2</v>
      </c>
      <c r="BE10" s="2">
        <v>3</v>
      </c>
      <c r="BF10" s="2">
        <v>3</v>
      </c>
      <c r="BG10" s="2">
        <f t="shared" si="11"/>
        <v>8</v>
      </c>
      <c r="BH10" s="2">
        <f t="shared" si="12"/>
        <v>12</v>
      </c>
      <c r="BI10">
        <v>6</v>
      </c>
      <c r="BK10" s="3"/>
      <c r="BL10" s="2" t="str">
        <f>CONCATENATE(
ROUND(BI10*VLOOKUP(L10,'ID Scheme'!$A$2:$E$7,3),0), "x",
ROUND(BJ10*VLOOKUP(L10,'ID Scheme'!$A$2:$E$7,5),0), "x",
ROUND(BK10*VLOOKUP(L10,'ID Scheme'!$A$2:$E$7,4),0))</f>
        <v>56x0x0</v>
      </c>
    </row>
    <row r="11" spans="1:65" x14ac:dyDescent="0.3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c r="AC11" s="2"/>
      <c r="AD11" s="2" t="s">
        <v>331</v>
      </c>
      <c r="AE11" s="2" t="s">
        <v>331</v>
      </c>
      <c r="AF11" s="2"/>
      <c r="AG11" s="2"/>
      <c r="AH11" s="2"/>
      <c r="AI11" s="2" t="s">
        <v>391</v>
      </c>
      <c r="AJ11" s="2"/>
      <c r="AM11">
        <v>1</v>
      </c>
      <c r="AO11" t="s">
        <v>697</v>
      </c>
      <c r="AP11" t="s">
        <v>712</v>
      </c>
      <c r="AQ11" t="s">
        <v>714</v>
      </c>
      <c r="AR11">
        <v>4</v>
      </c>
      <c r="AS11">
        <v>1</v>
      </c>
      <c r="AU11" t="s">
        <v>239</v>
      </c>
      <c r="AX11" s="2">
        <f>(SQRT(N11*U11)*POWER((MIN(P11,20)+SQRT(MAX(P11-20,0))),0.9)*Data!$B$1)*(1-(V11-1))</f>
        <v>41.2283884811226</v>
      </c>
      <c r="AY11" s="2"/>
      <c r="AZ11" s="2">
        <f>((POWER((N11*N11*U11), 0.33)*LOG10(S11)*10*Data!$B$1)*V11)+AY11</f>
        <v>35.160541298970635</v>
      </c>
      <c r="BA11" s="2">
        <f t="shared" ref="BA11" si="13">N11/1.24</f>
        <v>17.741935483870968</v>
      </c>
      <c r="BB11" s="2">
        <f t="shared" ref="BB11" si="14">AK11/1.24</f>
        <v>0</v>
      </c>
      <c r="BC11" s="2">
        <v>4</v>
      </c>
      <c r="BE11" s="2">
        <v>5</v>
      </c>
      <c r="BF11" s="2">
        <v>5</v>
      </c>
      <c r="BG11" s="2">
        <f t="shared" ref="BG11" si="15">U11/BF11</f>
        <v>9.6</v>
      </c>
      <c r="BH11" s="2">
        <f t="shared" si="12"/>
        <v>12</v>
      </c>
      <c r="BI11">
        <v>6</v>
      </c>
      <c r="BK11" s="3"/>
      <c r="BL11" s="2" t="str">
        <f>CONCATENATE(
ROUND(BI11*VLOOKUP(L11,'ID Scheme'!$A$2:$E$7,3),0), "x",
ROUND(BJ11*VLOOKUP(L11,'ID Scheme'!$A$2:$E$7,5),0), "x",
ROUND(BK11*VLOOKUP(L11,'ID Scheme'!$A$2:$E$7,4),0))</f>
        <v>56x0x0</v>
      </c>
    </row>
    <row r="12" spans="1:65" x14ac:dyDescent="0.3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c r="AC12" s="2"/>
      <c r="AD12" s="2" t="s">
        <v>331</v>
      </c>
      <c r="AE12" s="2" t="s">
        <v>331</v>
      </c>
      <c r="AF12" s="2"/>
      <c r="AG12" s="2"/>
      <c r="AH12" s="2"/>
      <c r="AI12" s="2" t="s">
        <v>391</v>
      </c>
      <c r="AJ12" s="2"/>
      <c r="AM12">
        <v>1</v>
      </c>
      <c r="AO12" t="s">
        <v>395</v>
      </c>
      <c r="AP12" t="s">
        <v>404</v>
      </c>
      <c r="AQ12" t="s">
        <v>715</v>
      </c>
      <c r="AR12">
        <v>4</v>
      </c>
      <c r="AS12">
        <v>1</v>
      </c>
      <c r="AU12" t="s">
        <v>239</v>
      </c>
      <c r="AX12" s="2">
        <f>(SQRT(N12*U12)*POWER((MIN(P12,20)+SQRT(MAX(P12-20,0))),0.9)*Data!$B$1)*(1-(V12-1))</f>
        <v>46.094739623279715</v>
      </c>
      <c r="AY12" s="2"/>
      <c r="AZ12" s="2">
        <f>((POWER((N12*N12*U12), 0.33)*LOG10(S12)*10*Data!$B$1)*V12)+AY12</f>
        <v>37.847383143548683</v>
      </c>
      <c r="BA12" s="2">
        <f t="shared" ref="BA12:BA16" si="16">N12/1.24</f>
        <v>17.741935483870968</v>
      </c>
      <c r="BB12" s="2">
        <f t="shared" ref="BB12:BB16" si="17">AK12/1.24</f>
        <v>0</v>
      </c>
      <c r="BC12" s="2">
        <v>5</v>
      </c>
      <c r="BE12" s="2">
        <v>6</v>
      </c>
      <c r="BF12" s="2">
        <v>6</v>
      </c>
      <c r="BG12" s="2">
        <f t="shared" ref="BG12:BG16" si="18">U12/BF12</f>
        <v>10</v>
      </c>
      <c r="BH12" s="2">
        <f t="shared" si="12"/>
        <v>12</v>
      </c>
      <c r="BI12">
        <v>6</v>
      </c>
      <c r="BK12" s="3"/>
      <c r="BL12" s="2" t="str">
        <f>CONCATENATE(
ROUND(BI12*VLOOKUP(L12,'ID Scheme'!$A$2:$E$7,3),0), "x",
ROUND(BJ12*VLOOKUP(L12,'ID Scheme'!$A$2:$E$7,5),0), "x",
ROUND(BK12*VLOOKUP(L12,'ID Scheme'!$A$2:$E$7,4),0))</f>
        <v>56x0x0</v>
      </c>
    </row>
    <row r="13" spans="1:65" x14ac:dyDescent="0.3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c r="AC13" s="2"/>
      <c r="AD13" s="2" t="s">
        <v>331</v>
      </c>
      <c r="AE13" s="2" t="s">
        <v>331</v>
      </c>
      <c r="AF13" s="2"/>
      <c r="AG13" s="2"/>
      <c r="AH13" s="2"/>
      <c r="AI13" s="2" t="s">
        <v>391</v>
      </c>
      <c r="AJ13" s="2"/>
      <c r="AM13">
        <v>1</v>
      </c>
      <c r="AO13" t="s">
        <v>395</v>
      </c>
      <c r="AP13" t="s">
        <v>404</v>
      </c>
      <c r="AQ13" t="s">
        <v>531</v>
      </c>
      <c r="AR13">
        <v>4</v>
      </c>
      <c r="AS13">
        <v>1</v>
      </c>
      <c r="AX13" s="2">
        <f>(SQRT(N13*U13)*POWER((MIN(P13,20)+SQRT(MAX(P13-20,0))),0.9)*Data!$B$1)*(1-(V13-1))</f>
        <v>46.094739623279715</v>
      </c>
      <c r="AY13" s="2"/>
      <c r="AZ13" s="2">
        <f>((POWER((N13*N13*U13), 0.33)*LOG10(S13)*10*Data!$B$1)*V13)+AY13</f>
        <v>39.61127712007552</v>
      </c>
      <c r="BA13" s="2">
        <f t="shared" ref="BA13:BA15" si="19">N13/1.24</f>
        <v>17.741935483870968</v>
      </c>
      <c r="BB13" s="2">
        <f t="shared" ref="BB13:BB15" si="20">AK13/1.24</f>
        <v>0</v>
      </c>
      <c r="BC13" s="2">
        <v>5</v>
      </c>
      <c r="BE13" s="2">
        <v>6</v>
      </c>
      <c r="BF13" s="2">
        <v>6</v>
      </c>
      <c r="BG13" s="2">
        <f t="shared" ref="BG13:BG15" si="21">U13/BF13</f>
        <v>10</v>
      </c>
      <c r="BH13" s="2">
        <f t="shared" si="12"/>
        <v>12</v>
      </c>
      <c r="BI13">
        <v>6</v>
      </c>
      <c r="BK13" s="3"/>
      <c r="BL13" s="2" t="str">
        <f>CONCATENATE(
ROUND(BI13*VLOOKUP(L13,'ID Scheme'!$A$2:$E$7,3),0), "x",
ROUND(BJ13*VLOOKUP(L13,'ID Scheme'!$A$2:$E$7,5),0), "x",
ROUND(BK13*VLOOKUP(L13,'ID Scheme'!$A$2:$E$7,4),0))</f>
        <v>56x0x0</v>
      </c>
    </row>
    <row r="14" spans="1:65" x14ac:dyDescent="0.3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c r="AC14" s="2"/>
      <c r="AD14" s="2" t="s">
        <v>331</v>
      </c>
      <c r="AE14" s="2" t="s">
        <v>331</v>
      </c>
      <c r="AF14" s="2"/>
      <c r="AG14" s="2"/>
      <c r="AH14" s="2"/>
      <c r="AI14" s="2" t="s">
        <v>391</v>
      </c>
      <c r="AJ14" s="2"/>
      <c r="AM14">
        <v>1</v>
      </c>
      <c r="AO14" t="s">
        <v>408</v>
      </c>
      <c r="AP14" t="s">
        <v>711</v>
      </c>
      <c r="AQ14" t="s">
        <v>729</v>
      </c>
      <c r="AR14">
        <v>4</v>
      </c>
      <c r="AS14">
        <v>1</v>
      </c>
      <c r="AU14" t="s">
        <v>237</v>
      </c>
      <c r="AX14" s="2">
        <f>(SQRT(N14*U14)*POWER((MIN(P14,20)+SQRT(MAX(P14-20,0))),0.9)*Data!$B$1)*(1-(V14-1))</f>
        <v>29.152873072395135</v>
      </c>
      <c r="AY14" s="2"/>
      <c r="AZ14" s="2">
        <f>((POWER((N14*N14*U14), 0.33)*LOG10(S14)*10*Data!$B$1)*V14)+AY14</f>
        <v>29.275117172741208</v>
      </c>
      <c r="BA14" s="2">
        <f t="shared" si="19"/>
        <v>17.741935483870968</v>
      </c>
      <c r="BB14" s="2">
        <f t="shared" si="20"/>
        <v>0</v>
      </c>
      <c r="BC14" s="2">
        <v>2</v>
      </c>
      <c r="BE14" s="2">
        <v>3</v>
      </c>
      <c r="BF14" s="2">
        <v>3</v>
      </c>
      <c r="BG14" s="2">
        <f t="shared" si="21"/>
        <v>8</v>
      </c>
      <c r="BH14" s="2">
        <f t="shared" si="12"/>
        <v>12</v>
      </c>
      <c r="BI14">
        <v>6</v>
      </c>
      <c r="BK14" s="3"/>
      <c r="BL14" s="2" t="str">
        <f>CONCATENATE(
ROUND(BI14*VLOOKUP(L14,'ID Scheme'!$A$2:$E$7,3),0), "x",
ROUND(BJ14*VLOOKUP(L14,'ID Scheme'!$A$2:$E$7,5),0), "x",
ROUND(BK14*VLOOKUP(L14,'ID Scheme'!$A$2:$E$7,4),0))</f>
        <v>56x0x0</v>
      </c>
    </row>
    <row r="15" spans="1:65" x14ac:dyDescent="0.3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c r="AC15" s="2"/>
      <c r="AD15" s="2" t="s">
        <v>331</v>
      </c>
      <c r="AE15" s="2" t="s">
        <v>331</v>
      </c>
      <c r="AF15" s="2"/>
      <c r="AG15" s="2"/>
      <c r="AH15" s="2"/>
      <c r="AI15" s="2" t="s">
        <v>391</v>
      </c>
      <c r="AJ15" s="2"/>
      <c r="AM15">
        <v>1</v>
      </c>
      <c r="AO15" t="s">
        <v>396</v>
      </c>
      <c r="AP15" t="s">
        <v>527</v>
      </c>
      <c r="AQ15" t="s">
        <v>730</v>
      </c>
      <c r="AR15">
        <v>4</v>
      </c>
      <c r="AS15">
        <v>1</v>
      </c>
      <c r="AU15" t="s">
        <v>237</v>
      </c>
      <c r="AX15" s="2">
        <f>(SQRT(N15*U15)*POWER((MIN(P15,20)+SQRT(MAX(P15-20,0))),0.9)*Data!$B$1)*(1-(V15-1))</f>
        <v>35.704831781745895</v>
      </c>
      <c r="AY15" s="2"/>
      <c r="AZ15" s="2">
        <f>((POWER((N15*N15*U15), 0.33)*LOG10(S15)*10*Data!$B$1)*V15)+AY15</f>
        <v>33.466381499977885</v>
      </c>
      <c r="BA15" s="2">
        <f t="shared" si="19"/>
        <v>17.741935483870968</v>
      </c>
      <c r="BB15" s="2">
        <f t="shared" si="20"/>
        <v>0</v>
      </c>
      <c r="BC15" s="2">
        <v>3</v>
      </c>
      <c r="BE15" s="2">
        <v>4</v>
      </c>
      <c r="BF15" s="2">
        <v>4</v>
      </c>
      <c r="BG15" s="2">
        <f t="shared" si="21"/>
        <v>9</v>
      </c>
      <c r="BH15" s="2">
        <f t="shared" si="12"/>
        <v>12</v>
      </c>
      <c r="BI15">
        <v>6</v>
      </c>
      <c r="BK15" s="3"/>
      <c r="BL15" s="2" t="str">
        <f>CONCATENATE(
ROUND(BI15*VLOOKUP(L15,'ID Scheme'!$A$2:$E$7,3),0), "x",
ROUND(BJ15*VLOOKUP(L15,'ID Scheme'!$A$2:$E$7,5),0), "x",
ROUND(BK15*VLOOKUP(L15,'ID Scheme'!$A$2:$E$7,4),0))</f>
        <v>56x0x0</v>
      </c>
    </row>
    <row r="16" spans="1:65" x14ac:dyDescent="0.3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c r="AC16" s="2"/>
      <c r="AD16" s="2" t="s">
        <v>331</v>
      </c>
      <c r="AE16" s="2" t="s">
        <v>331</v>
      </c>
      <c r="AF16" s="2"/>
      <c r="AG16" s="2"/>
      <c r="AH16" s="2"/>
      <c r="AI16" s="2" t="s">
        <v>391</v>
      </c>
      <c r="AJ16" s="2"/>
      <c r="AM16">
        <v>1</v>
      </c>
      <c r="AO16" t="s">
        <v>697</v>
      </c>
      <c r="AP16" t="s">
        <v>712</v>
      </c>
      <c r="AQ16" t="s">
        <v>731</v>
      </c>
      <c r="AR16">
        <v>4</v>
      </c>
      <c r="AS16">
        <v>1</v>
      </c>
      <c r="AU16" t="s">
        <v>237</v>
      </c>
      <c r="AX16" s="2">
        <f>(SQRT(N16*U16)*POWER((MIN(P16,20)+SQRT(MAX(P16-20,0))),0.9)*Data!$B$1)*(1-(V16-1))</f>
        <v>41.2283884811226</v>
      </c>
      <c r="AY16" s="2"/>
      <c r="AZ16" s="2">
        <f>((POWER((N16*N16*U16), 0.33)*LOG10(S16)*10*Data!$B$1)*V16)+AY16</f>
        <v>36.799213826829366</v>
      </c>
      <c r="BA16" s="2">
        <f t="shared" si="16"/>
        <v>17.741935483870968</v>
      </c>
      <c r="BB16" s="2">
        <f t="shared" si="17"/>
        <v>0</v>
      </c>
      <c r="BC16" s="2">
        <v>4</v>
      </c>
      <c r="BE16" s="2">
        <v>5</v>
      </c>
      <c r="BF16" s="2">
        <v>5</v>
      </c>
      <c r="BG16" s="2">
        <f t="shared" si="18"/>
        <v>9.6</v>
      </c>
      <c r="BH16" s="2">
        <f t="shared" si="12"/>
        <v>12</v>
      </c>
      <c r="BI16">
        <v>6</v>
      </c>
      <c r="BK16" s="3"/>
      <c r="BL16" s="2" t="str">
        <f>CONCATENATE(
ROUND(BI16*VLOOKUP(L16,'ID Scheme'!$A$2:$E$7,3),0), "x",
ROUND(BJ16*VLOOKUP(L16,'ID Scheme'!$A$2:$E$7,5),0), "x",
ROUND(BK16*VLOOKUP(L16,'ID Scheme'!$A$2:$E$7,4),0))</f>
        <v>56x0x0</v>
      </c>
    </row>
    <row r="17" spans="1:64" x14ac:dyDescent="0.3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c r="AC17" s="2"/>
      <c r="AD17" s="2" t="s">
        <v>331</v>
      </c>
      <c r="AE17" s="2" t="s">
        <v>331</v>
      </c>
      <c r="AF17" s="2"/>
      <c r="AG17" s="2"/>
      <c r="AH17" s="2"/>
      <c r="AI17" s="2" t="s">
        <v>391</v>
      </c>
      <c r="AJ17" s="2"/>
      <c r="AM17">
        <v>1</v>
      </c>
      <c r="AO17" t="s">
        <v>395</v>
      </c>
      <c r="AP17" t="s">
        <v>404</v>
      </c>
      <c r="AQ17" t="s">
        <v>532</v>
      </c>
      <c r="AR17">
        <v>5</v>
      </c>
      <c r="AS17">
        <v>1</v>
      </c>
      <c r="AX17" s="2">
        <f>(SQRT(N17*U17)*POWER((MIN(P17,20)+SQRT(MAX(P17-20,0))),0.9)*Data!$B$1)*(1-(V17-1))</f>
        <v>46.808889320396581</v>
      </c>
      <c r="AY17" s="2"/>
      <c r="AZ17" s="2">
        <f>((POWER((N17*N17*U17), 0.33)*LOG10(S17)*10*Data!$B$1)*V17)+AY17</f>
        <v>54.289129200123334</v>
      </c>
      <c r="BA17" s="2">
        <f t="shared" ref="BA17:BA18" si="22">N17/1.24</f>
        <v>19.35483870967742</v>
      </c>
      <c r="BB17" s="2">
        <f t="shared" ref="BB17:BB18" si="23">AK17/1.24</f>
        <v>0</v>
      </c>
      <c r="BC17" s="2">
        <v>5</v>
      </c>
      <c r="BE17" s="2">
        <v>6</v>
      </c>
      <c r="BF17" s="2">
        <v>6</v>
      </c>
      <c r="BG17" s="2">
        <f t="shared" ref="BG17:BG18" si="24">U17/BF17</f>
        <v>10</v>
      </c>
      <c r="BH17" s="2">
        <f t="shared" si="12"/>
        <v>12</v>
      </c>
      <c r="BI17">
        <v>7</v>
      </c>
      <c r="BK17" s="3"/>
      <c r="BL17" s="2" t="str">
        <f>CONCATENATE(
ROUND(BI17*VLOOKUP(L17,'ID Scheme'!$A$2:$E$7,3),0), "x",
ROUND(BJ17*VLOOKUP(L17,'ID Scheme'!$A$2:$E$7,5),0), "x",
ROUND(BK17*VLOOKUP(L17,'ID Scheme'!$A$2:$E$7,4),0))</f>
        <v>65x0x0</v>
      </c>
    </row>
    <row r="18" spans="1:64" x14ac:dyDescent="0.3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c r="AC18" s="2"/>
      <c r="AD18" s="2" t="s">
        <v>331</v>
      </c>
      <c r="AE18" s="2" t="s">
        <v>331</v>
      </c>
      <c r="AF18" s="2"/>
      <c r="AG18" s="2"/>
      <c r="AH18" s="2"/>
      <c r="AI18" s="2" t="s">
        <v>391</v>
      </c>
      <c r="AJ18" s="2"/>
      <c r="AM18">
        <v>1</v>
      </c>
      <c r="AO18" t="s">
        <v>408</v>
      </c>
      <c r="AP18" t="s">
        <v>711</v>
      </c>
      <c r="AQ18" t="s">
        <v>732</v>
      </c>
      <c r="AR18">
        <v>5</v>
      </c>
      <c r="AS18">
        <v>1</v>
      </c>
      <c r="AU18" t="s">
        <v>238</v>
      </c>
      <c r="AX18" s="2">
        <f>(SQRT(N18*U18)*POWER((MIN(P18,20)+SQRT(MAX(P18-20,0))),0.9)*Data!$B$1)*(1-(V18-1))</f>
        <v>29.604540999036871</v>
      </c>
      <c r="AY18" s="2"/>
      <c r="AZ18" s="2">
        <f>((POWER((N18*N18*U18), 0.33)*LOG10(S18)*10*Data!$B$1)*V18)+AY18</f>
        <v>40.122933015310657</v>
      </c>
      <c r="BA18" s="2">
        <f t="shared" si="22"/>
        <v>19.35483870967742</v>
      </c>
      <c r="BB18" s="2">
        <f t="shared" si="23"/>
        <v>0</v>
      </c>
      <c r="BC18" s="2">
        <v>2</v>
      </c>
      <c r="BE18" s="2">
        <v>3</v>
      </c>
      <c r="BF18" s="2">
        <v>3</v>
      </c>
      <c r="BG18" s="2">
        <f t="shared" si="24"/>
        <v>8</v>
      </c>
      <c r="BH18" s="2">
        <f t="shared" si="12"/>
        <v>12</v>
      </c>
      <c r="BI18">
        <v>7</v>
      </c>
      <c r="BK18" s="3"/>
      <c r="BL18" s="2" t="str">
        <f>CONCATENATE(
ROUND(BI18*VLOOKUP(L18,'ID Scheme'!$A$2:$E$7,3),0), "x",
ROUND(BJ18*VLOOKUP(L18,'ID Scheme'!$A$2:$E$7,5),0), "x",
ROUND(BK18*VLOOKUP(L18,'ID Scheme'!$A$2:$E$7,4),0))</f>
        <v>65x0x0</v>
      </c>
    </row>
    <row r="19" spans="1:64" x14ac:dyDescent="0.3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c r="AC19" s="2"/>
      <c r="AD19" s="2" t="s">
        <v>331</v>
      </c>
      <c r="AE19" s="2" t="s">
        <v>331</v>
      </c>
      <c r="AF19" s="2"/>
      <c r="AG19" s="2"/>
      <c r="AH19" s="2"/>
      <c r="AI19" s="2" t="s">
        <v>391</v>
      </c>
      <c r="AJ19" s="2"/>
      <c r="AM19">
        <v>1</v>
      </c>
      <c r="AO19" t="s">
        <v>396</v>
      </c>
      <c r="AP19" t="s">
        <v>527</v>
      </c>
      <c r="AQ19" t="s">
        <v>733</v>
      </c>
      <c r="AR19">
        <v>5</v>
      </c>
      <c r="AS19">
        <v>1</v>
      </c>
      <c r="AU19" t="s">
        <v>238</v>
      </c>
      <c r="AX19" s="2">
        <f>(SQRT(N19*U19)*POWER((MIN(P19,20)+SQRT(MAX(P19-20,0))),0.9)*Data!$B$1)*(1-(V19-1))</f>
        <v>36.25800975847244</v>
      </c>
      <c r="AY19" s="2"/>
      <c r="AZ19" s="2">
        <f>((POWER((N19*N19*U19), 0.33)*LOG10(S19)*10*Data!$B$1)*V19)+AY19</f>
        <v>45.867259053662472</v>
      </c>
      <c r="BA19" s="2">
        <f t="shared" si="9"/>
        <v>19.35483870967742</v>
      </c>
      <c r="BB19" s="2">
        <f t="shared" si="10"/>
        <v>0</v>
      </c>
      <c r="BC19" s="2">
        <v>3</v>
      </c>
      <c r="BE19" s="2">
        <v>4</v>
      </c>
      <c r="BF19" s="2">
        <v>4</v>
      </c>
      <c r="BG19" s="2">
        <f t="shared" si="11"/>
        <v>9</v>
      </c>
      <c r="BH19" s="2">
        <f t="shared" si="12"/>
        <v>12</v>
      </c>
      <c r="BI19">
        <v>7</v>
      </c>
      <c r="BK19" s="3"/>
      <c r="BL19" s="2" t="str">
        <f>CONCATENATE(
ROUND(BI19*VLOOKUP(L19,'ID Scheme'!$A$2:$E$7,3),0), "x",
ROUND(BJ19*VLOOKUP(L19,'ID Scheme'!$A$2:$E$7,5),0), "x",
ROUND(BK19*VLOOKUP(L19,'ID Scheme'!$A$2:$E$7,4),0))</f>
        <v>65x0x0</v>
      </c>
    </row>
    <row r="20" spans="1:64" x14ac:dyDescent="0.3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c r="AC20" s="2"/>
      <c r="AD20" s="2" t="s">
        <v>331</v>
      </c>
      <c r="AE20" s="2" t="s">
        <v>331</v>
      </c>
      <c r="AF20" s="2"/>
      <c r="AG20" s="2"/>
      <c r="AH20" s="2"/>
      <c r="AI20" s="2" t="s">
        <v>391</v>
      </c>
      <c r="AJ20" s="2"/>
      <c r="AM20">
        <v>1</v>
      </c>
      <c r="AO20" t="s">
        <v>697</v>
      </c>
      <c r="AP20" t="s">
        <v>712</v>
      </c>
      <c r="AQ20" t="s">
        <v>734</v>
      </c>
      <c r="AR20">
        <v>5</v>
      </c>
      <c r="AS20">
        <v>1</v>
      </c>
      <c r="AU20" t="s">
        <v>238</v>
      </c>
      <c r="AX20" s="2">
        <f>(SQRT(N20*U20)*POWER((MIN(P20,20)+SQRT(MAX(P20-20,0))),0.9)*Data!$B$1)*(1-(V20-1))</f>
        <v>41.867143388668268</v>
      </c>
      <c r="AY20" s="2"/>
      <c r="AZ20" s="2">
        <f>((POWER((N20*N20*U20), 0.33)*LOG10(S20)*10*Data!$B$1)*V20)+AY20</f>
        <v>50.435063425288909</v>
      </c>
      <c r="BA20" s="2">
        <f t="shared" si="9"/>
        <v>19.35483870967742</v>
      </c>
      <c r="BB20" s="2">
        <f t="shared" si="10"/>
        <v>0</v>
      </c>
      <c r="BC20" s="2">
        <v>4</v>
      </c>
      <c r="BE20" s="2">
        <v>5</v>
      </c>
      <c r="BF20" s="2">
        <v>5</v>
      </c>
      <c r="BG20" s="2">
        <f t="shared" si="11"/>
        <v>9.6</v>
      </c>
      <c r="BH20" s="2">
        <f t="shared" si="12"/>
        <v>12</v>
      </c>
      <c r="BI20">
        <v>7</v>
      </c>
      <c r="BK20" s="3"/>
      <c r="BL20" s="2" t="str">
        <f>CONCATENATE(
ROUND(BI20*VLOOKUP(L20,'ID Scheme'!$A$2:$E$7,3),0), "x",
ROUND(BJ20*VLOOKUP(L20,'ID Scheme'!$A$2:$E$7,5),0), "x",
ROUND(BK20*VLOOKUP(L20,'ID Scheme'!$A$2:$E$7,4),0))</f>
        <v>65x0x0</v>
      </c>
    </row>
    <row r="21" spans="1:64" x14ac:dyDescent="0.3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c r="AC21" s="2"/>
      <c r="AD21" s="2" t="s">
        <v>331</v>
      </c>
      <c r="AE21" s="2" t="s">
        <v>331</v>
      </c>
      <c r="AF21" s="2"/>
      <c r="AG21" s="2"/>
      <c r="AH21" s="2"/>
      <c r="AI21" s="2" t="s">
        <v>391</v>
      </c>
      <c r="AJ21" s="2"/>
      <c r="AM21">
        <v>1</v>
      </c>
      <c r="AO21" t="s">
        <v>395</v>
      </c>
      <c r="AP21" t="s">
        <v>404</v>
      </c>
      <c r="AQ21" t="s">
        <v>533</v>
      </c>
      <c r="AR21">
        <v>4</v>
      </c>
      <c r="AS21">
        <v>1</v>
      </c>
      <c r="AX21" s="2">
        <f>(SQRT(N21*U21)*POWER((MIN(P21,20)+SQRT(MAX(P21-20,0))),0.9)*Data!$B$1)*(1-(V21-1))</f>
        <v>49.137157539542891</v>
      </c>
      <c r="AY21" s="2"/>
      <c r="AZ21" s="2">
        <f>((POWER((N21*N21*U21), 0.33)*LOG10(S21)*10*Data!$B$1)*V21)+AY21</f>
        <v>50.654513648978117</v>
      </c>
      <c r="BA21" s="2">
        <f t="shared" ref="BA21:BA24" si="25">N21/1.24</f>
        <v>20.161290322580644</v>
      </c>
      <c r="BB21" s="2">
        <f t="shared" ref="BB21:BB24" si="26">AK21/1.24</f>
        <v>0</v>
      </c>
      <c r="BC21" s="2">
        <v>5</v>
      </c>
      <c r="BE21" s="2">
        <v>6</v>
      </c>
      <c r="BF21" s="2">
        <v>6</v>
      </c>
      <c r="BG21" s="2">
        <f t="shared" ref="BG21:BG24" si="27">U21/BF21</f>
        <v>10</v>
      </c>
      <c r="BH21" s="2">
        <f t="shared" si="12"/>
        <v>12</v>
      </c>
      <c r="BI21">
        <v>6</v>
      </c>
      <c r="BK21" s="3"/>
      <c r="BL21" s="2" t="str">
        <f>CONCATENATE(
ROUND(BI21*VLOOKUP(L21,'ID Scheme'!$A$2:$E$7,3),0), "x",
ROUND(BJ21*VLOOKUP(L21,'ID Scheme'!$A$2:$E$7,5),0), "x",
ROUND(BK21*VLOOKUP(L21,'ID Scheme'!$A$2:$E$7,4),0))</f>
        <v>56x0x0</v>
      </c>
    </row>
    <row r="22" spans="1:64" x14ac:dyDescent="0.3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c r="AC22" s="2"/>
      <c r="AD22" s="2" t="s">
        <v>331</v>
      </c>
      <c r="AE22" s="2" t="s">
        <v>331</v>
      </c>
      <c r="AF22" s="2"/>
      <c r="AG22" s="2"/>
      <c r="AH22" s="2"/>
      <c r="AI22" s="2" t="s">
        <v>391</v>
      </c>
      <c r="AJ22" s="2"/>
      <c r="AM22">
        <v>1</v>
      </c>
      <c r="AO22" t="s">
        <v>408</v>
      </c>
      <c r="AP22" t="s">
        <v>711</v>
      </c>
      <c r="AQ22" t="s">
        <v>735</v>
      </c>
      <c r="AR22">
        <v>4</v>
      </c>
      <c r="AS22">
        <v>1</v>
      </c>
      <c r="AU22" t="s">
        <v>236</v>
      </c>
      <c r="AX22" s="2">
        <f>(SQRT(N22*U22)*POWER((MIN(P22,20)+SQRT(MAX(P22-20,0))),0.9)*Data!$B$1)*(1-(V22-1))</f>
        <v>31.077067114294142</v>
      </c>
      <c r="AY22" s="2"/>
      <c r="AZ22" s="2">
        <f>((POWER((N22*N22*U22), 0.33)*LOG10(S22)*10*Data!$B$1)*V22)+AY22</f>
        <v>37.436733430907033</v>
      </c>
      <c r="BA22" s="2">
        <f t="shared" ref="BA22" si="28">N22/1.24</f>
        <v>20.161290322580644</v>
      </c>
      <c r="BB22" s="2">
        <f t="shared" ref="BB22" si="29">AK22/1.24</f>
        <v>0</v>
      </c>
      <c r="BC22" s="2">
        <v>2</v>
      </c>
      <c r="BE22" s="2">
        <v>3</v>
      </c>
      <c r="BF22" s="2">
        <v>3</v>
      </c>
      <c r="BG22" s="2">
        <f t="shared" ref="BG22" si="30">U22/BF22</f>
        <v>8</v>
      </c>
      <c r="BH22" s="2">
        <f t="shared" si="12"/>
        <v>12</v>
      </c>
      <c r="BI22">
        <v>6</v>
      </c>
      <c r="BK22" s="3"/>
      <c r="BL22" s="2" t="str">
        <f>CONCATENATE(
ROUND(BI22*VLOOKUP(L22,'ID Scheme'!$A$2:$E$7,3),0), "x",
ROUND(BJ22*VLOOKUP(L22,'ID Scheme'!$A$2:$E$7,5),0), "x",
ROUND(BK22*VLOOKUP(L22,'ID Scheme'!$A$2:$E$7,4),0))</f>
        <v>56x0x0</v>
      </c>
    </row>
    <row r="23" spans="1:64" x14ac:dyDescent="0.3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c r="AC23" s="2"/>
      <c r="AD23" s="2" t="s">
        <v>331</v>
      </c>
      <c r="AE23" s="2" t="s">
        <v>331</v>
      </c>
      <c r="AF23" s="2"/>
      <c r="AG23" s="2"/>
      <c r="AH23" s="2"/>
      <c r="AI23" s="2" t="s">
        <v>391</v>
      </c>
      <c r="AJ23" s="2"/>
      <c r="AM23">
        <v>1</v>
      </c>
      <c r="AO23" t="s">
        <v>396</v>
      </c>
      <c r="AP23" t="s">
        <v>527</v>
      </c>
      <c r="AQ23" t="s">
        <v>736</v>
      </c>
      <c r="AR23">
        <v>4</v>
      </c>
      <c r="AS23">
        <v>1</v>
      </c>
      <c r="AU23" t="s">
        <v>236</v>
      </c>
      <c r="AX23" s="2">
        <f>(SQRT(N23*U23)*POWER((MIN(P23,20)+SQRT(MAX(P23-20,0))),0.9)*Data!$B$1)*(1-(V23-1))</f>
        <v>38.061478566123959</v>
      </c>
      <c r="AY23" s="2"/>
      <c r="AZ23" s="2">
        <f>((POWER((N23*N23*U23), 0.33)*LOG10(S23)*10*Data!$B$1)*V23)+AY23</f>
        <v>42.796481247845911</v>
      </c>
      <c r="BA23" s="2">
        <f t="shared" ref="BA23" si="31">N23/1.24</f>
        <v>20.161290322580644</v>
      </c>
      <c r="BB23" s="2">
        <f t="shared" ref="BB23" si="32">AK23/1.24</f>
        <v>0</v>
      </c>
      <c r="BC23" s="2">
        <v>3</v>
      </c>
      <c r="BE23" s="2">
        <v>4</v>
      </c>
      <c r="BF23" s="2">
        <v>4</v>
      </c>
      <c r="BG23" s="2">
        <f t="shared" ref="BG23" si="33">U23/BF23</f>
        <v>9</v>
      </c>
      <c r="BH23" s="2">
        <f t="shared" si="12"/>
        <v>12</v>
      </c>
      <c r="BI23">
        <v>6</v>
      </c>
      <c r="BK23" s="3"/>
      <c r="BL23" s="2" t="str">
        <f>CONCATENATE(
ROUND(BI23*VLOOKUP(L23,'ID Scheme'!$A$2:$E$7,3),0), "x",
ROUND(BJ23*VLOOKUP(L23,'ID Scheme'!$A$2:$E$7,5),0), "x",
ROUND(BK23*VLOOKUP(L23,'ID Scheme'!$A$2:$E$7,4),0))</f>
        <v>56x0x0</v>
      </c>
    </row>
    <row r="24" spans="1:64" x14ac:dyDescent="0.3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c r="AC24" s="2"/>
      <c r="AD24" s="2" t="s">
        <v>331</v>
      </c>
      <c r="AE24" s="2" t="s">
        <v>331</v>
      </c>
      <c r="AF24" s="2"/>
      <c r="AG24" s="2"/>
      <c r="AH24" s="2"/>
      <c r="AI24" s="2" t="s">
        <v>391</v>
      </c>
      <c r="AJ24" s="2"/>
      <c r="AM24">
        <v>1</v>
      </c>
      <c r="AO24" t="s">
        <v>697</v>
      </c>
      <c r="AP24" t="s">
        <v>712</v>
      </c>
      <c r="AQ24" t="s">
        <v>737</v>
      </c>
      <c r="AR24">
        <v>4</v>
      </c>
      <c r="AS24">
        <v>1</v>
      </c>
      <c r="AU24" t="s">
        <v>236</v>
      </c>
      <c r="AX24" s="2">
        <f>(SQRT(N24*U24)*POWER((MIN(P24,20)+SQRT(MAX(P24-20,0))),0.9)*Data!$B$1)*(1-(V24-1))</f>
        <v>43.949609791813678</v>
      </c>
      <c r="AY24" s="2"/>
      <c r="AZ24" s="2">
        <f>((POWER((N24*N24*U24), 0.33)*LOG10(S24)*10*Data!$B$1)*V24)+AY24</f>
        <v>47.058474621058593</v>
      </c>
      <c r="BA24" s="2">
        <f t="shared" si="25"/>
        <v>20.161290322580644</v>
      </c>
      <c r="BB24" s="2">
        <f t="shared" si="26"/>
        <v>0</v>
      </c>
      <c r="BC24" s="2">
        <v>4</v>
      </c>
      <c r="BE24" s="2">
        <v>5</v>
      </c>
      <c r="BF24" s="2">
        <v>5</v>
      </c>
      <c r="BG24" s="2">
        <f t="shared" si="27"/>
        <v>9.6</v>
      </c>
      <c r="BH24" s="2">
        <f t="shared" si="12"/>
        <v>12</v>
      </c>
      <c r="BI24">
        <v>6</v>
      </c>
      <c r="BK24" s="3"/>
      <c r="BL24" s="2" t="str">
        <f>CONCATENATE(
ROUND(BI24*VLOOKUP(L24,'ID Scheme'!$A$2:$E$7,3),0), "x",
ROUND(BJ24*VLOOKUP(L24,'ID Scheme'!$A$2:$E$7,5),0), "x",
ROUND(BK24*VLOOKUP(L24,'ID Scheme'!$A$2:$E$7,4),0))</f>
        <v>56x0x0</v>
      </c>
    </row>
    <row r="25" spans="1:64" x14ac:dyDescent="0.3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c r="AC25" s="2"/>
      <c r="AD25" s="2" t="s">
        <v>331</v>
      </c>
      <c r="AE25" s="2" t="s">
        <v>331</v>
      </c>
      <c r="AF25" s="2"/>
      <c r="AG25" s="2"/>
      <c r="AH25" s="2"/>
      <c r="AI25" s="2" t="s">
        <v>391</v>
      </c>
      <c r="AJ25" s="2"/>
      <c r="AM25">
        <v>1</v>
      </c>
      <c r="AO25" t="s">
        <v>395</v>
      </c>
      <c r="AP25" t="s">
        <v>404</v>
      </c>
      <c r="AQ25" t="s">
        <v>534</v>
      </c>
      <c r="AR25">
        <v>5</v>
      </c>
      <c r="AS25">
        <v>1</v>
      </c>
      <c r="AX25" s="2">
        <f>(SQRT(N25*U25)*POWER((MIN(P25,20)+SQRT(MAX(P25-20,0))),0.9)*Data!$B$1)*(1-(V25-1))</f>
        <v>49.648324587394477</v>
      </c>
      <c r="AY25" s="2"/>
      <c r="AZ25" s="2">
        <f>((POWER((N25*N25*U25), 0.33)*LOG10(S25)*10*Data!$B$1)*V25)+AY25</f>
        <v>55.638430948840913</v>
      </c>
      <c r="BA25" s="2">
        <f t="shared" si="9"/>
        <v>21.774193548387096</v>
      </c>
      <c r="BB25" s="2">
        <f t="shared" si="10"/>
        <v>0</v>
      </c>
      <c r="BC25" s="2">
        <v>5</v>
      </c>
      <c r="BE25" s="2">
        <v>6</v>
      </c>
      <c r="BF25" s="2">
        <v>6</v>
      </c>
      <c r="BG25" s="2">
        <f t="shared" si="11"/>
        <v>10</v>
      </c>
      <c r="BH25" s="2">
        <f t="shared" si="12"/>
        <v>12</v>
      </c>
      <c r="BI25">
        <v>7</v>
      </c>
      <c r="BK25" s="3"/>
      <c r="BL25" s="2" t="str">
        <f>CONCATENATE(
ROUND(BI25*VLOOKUP(L25,'ID Scheme'!$A$2:$E$7,3),0), "x",
ROUND(BJ25*VLOOKUP(L25,'ID Scheme'!$A$2:$E$7,5),0), "x",
ROUND(BK25*VLOOKUP(L25,'ID Scheme'!$A$2:$E$7,4),0))</f>
        <v>65x0x0</v>
      </c>
    </row>
    <row r="26" spans="1:64" x14ac:dyDescent="0.3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c r="AC26" s="2"/>
      <c r="AD26" s="2" t="s">
        <v>331</v>
      </c>
      <c r="AE26" s="2" t="s">
        <v>331</v>
      </c>
      <c r="AF26" s="2"/>
      <c r="AG26" s="2"/>
      <c r="AH26" s="2"/>
      <c r="AI26" s="2" t="s">
        <v>391</v>
      </c>
      <c r="AJ26" s="2"/>
      <c r="AM26">
        <v>1</v>
      </c>
      <c r="AO26" t="s">
        <v>408</v>
      </c>
      <c r="AP26" t="s">
        <v>711</v>
      </c>
      <c r="AQ26" t="s">
        <v>738</v>
      </c>
      <c r="AR26">
        <v>5</v>
      </c>
      <c r="AS26">
        <v>1</v>
      </c>
      <c r="AU26" t="s">
        <v>235</v>
      </c>
      <c r="AX26" s="2">
        <f>(SQRT(N26*U26)*POWER((MIN(P26,20)+SQRT(MAX(P26-20,0))),0.9)*Data!$B$1)*(1-(V26-1))</f>
        <v>31.400357541501204</v>
      </c>
      <c r="AY26" s="2"/>
      <c r="AZ26" s="2">
        <f>((POWER((N26*N26*U26), 0.33)*LOG10(S26)*10*Data!$B$1)*V26)+AY26</f>
        <v>41.120148194092948</v>
      </c>
      <c r="BA26" s="2">
        <f t="shared" ref="BA26:BA27" si="34">N26/1.24</f>
        <v>21.774193548387096</v>
      </c>
      <c r="BB26" s="2">
        <f t="shared" ref="BB26:BB27" si="35">AK26/1.24</f>
        <v>0</v>
      </c>
      <c r="BC26" s="2">
        <v>2</v>
      </c>
      <c r="BE26" s="2">
        <v>3</v>
      </c>
      <c r="BF26" s="2">
        <v>3</v>
      </c>
      <c r="BG26" s="2">
        <f t="shared" ref="BG26:BG27" si="36">U26/BF26</f>
        <v>8</v>
      </c>
      <c r="BH26" s="2">
        <f t="shared" si="12"/>
        <v>12</v>
      </c>
      <c r="BI26">
        <v>7</v>
      </c>
      <c r="BK26" s="3"/>
      <c r="BL26" s="2" t="str">
        <f>CONCATENATE(
ROUND(BI26*VLOOKUP(L26,'ID Scheme'!$A$2:$E$7,3),0), "x",
ROUND(BJ26*VLOOKUP(L26,'ID Scheme'!$A$2:$E$7,5),0), "x",
ROUND(BK26*VLOOKUP(L26,'ID Scheme'!$A$2:$E$7,4),0))</f>
        <v>65x0x0</v>
      </c>
    </row>
    <row r="27" spans="1:64" x14ac:dyDescent="0.3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c r="AC27" s="2"/>
      <c r="AD27" s="2" t="s">
        <v>331</v>
      </c>
      <c r="AE27" s="2" t="s">
        <v>331</v>
      </c>
      <c r="AF27" s="2"/>
      <c r="AG27" s="2"/>
      <c r="AH27" s="2"/>
      <c r="AI27" s="2" t="s">
        <v>391</v>
      </c>
      <c r="AJ27" s="2"/>
      <c r="AM27">
        <v>1</v>
      </c>
      <c r="AO27" t="s">
        <v>396</v>
      </c>
      <c r="AP27" t="s">
        <v>527</v>
      </c>
      <c r="AQ27" t="s">
        <v>739</v>
      </c>
      <c r="AR27">
        <v>5</v>
      </c>
      <c r="AS27">
        <v>1</v>
      </c>
      <c r="AU27" t="s">
        <v>235</v>
      </c>
      <c r="AX27" s="2">
        <f>(SQRT(N27*U27)*POWER((MIN(P27,20)+SQRT(MAX(P27-20,0))),0.9)*Data!$B$1)*(1-(V27-1))</f>
        <v>38.457426858815815</v>
      </c>
      <c r="AY27" s="2"/>
      <c r="AZ27" s="2">
        <f>((POWER((N27*N27*U27), 0.33)*LOG10(S27)*10*Data!$B$1)*V27)+AY27</f>
        <v>47.007243683400233</v>
      </c>
      <c r="BA27" s="2">
        <f t="shared" si="34"/>
        <v>21.774193548387096</v>
      </c>
      <c r="BB27" s="2">
        <f t="shared" si="35"/>
        <v>0</v>
      </c>
      <c r="BC27" s="2">
        <v>3</v>
      </c>
      <c r="BE27" s="2">
        <v>4</v>
      </c>
      <c r="BF27" s="2">
        <v>4</v>
      </c>
      <c r="BG27" s="2">
        <f t="shared" si="36"/>
        <v>9</v>
      </c>
      <c r="BH27" s="2">
        <f t="shared" si="12"/>
        <v>12</v>
      </c>
      <c r="BI27">
        <v>7</v>
      </c>
      <c r="BK27" s="3"/>
      <c r="BL27" s="2" t="str">
        <f>CONCATENATE(
ROUND(BI27*VLOOKUP(L27,'ID Scheme'!$A$2:$E$7,3),0), "x",
ROUND(BJ27*VLOOKUP(L27,'ID Scheme'!$A$2:$E$7,5),0), "x",
ROUND(BK27*VLOOKUP(L27,'ID Scheme'!$A$2:$E$7,4),0))</f>
        <v>65x0x0</v>
      </c>
    </row>
    <row r="28" spans="1:64" x14ac:dyDescent="0.3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c r="AC28" s="2"/>
      <c r="AD28" s="2" t="s">
        <v>331</v>
      </c>
      <c r="AE28" s="2" t="s">
        <v>331</v>
      </c>
      <c r="AF28" s="2"/>
      <c r="AG28" s="2"/>
      <c r="AH28" s="2"/>
      <c r="AI28" s="2" t="s">
        <v>391</v>
      </c>
      <c r="AJ28" s="2"/>
      <c r="AM28">
        <v>1</v>
      </c>
      <c r="AO28" t="s">
        <v>697</v>
      </c>
      <c r="AP28" t="s">
        <v>712</v>
      </c>
      <c r="AQ28" t="s">
        <v>740</v>
      </c>
      <c r="AR28">
        <v>5</v>
      </c>
      <c r="AS28">
        <v>1</v>
      </c>
      <c r="AU28" t="s">
        <v>235</v>
      </c>
      <c r="AX28" s="2">
        <f>(SQRT(N28*U28)*POWER((MIN(P28,20)+SQRT(MAX(P28-20,0))),0.9)*Data!$B$1)*(1-(V28-1))</f>
        <v>44.4068114985553</v>
      </c>
      <c r="AY28" s="2"/>
      <c r="AZ28" s="2">
        <f>((POWER((N28*N28*U28), 0.33)*LOG10(S28)*10*Data!$B$1)*V28)+AY28</f>
        <v>51.688576242294438</v>
      </c>
      <c r="BA28" s="2">
        <f t="shared" ref="BA28" si="37">N28/1.24</f>
        <v>21.774193548387096</v>
      </c>
      <c r="BB28" s="2">
        <f t="shared" ref="BB28" si="38">AK28/1.24</f>
        <v>0</v>
      </c>
      <c r="BC28" s="2">
        <v>4</v>
      </c>
      <c r="BE28" s="2">
        <v>5</v>
      </c>
      <c r="BF28" s="2">
        <v>5</v>
      </c>
      <c r="BG28" s="2">
        <f t="shared" ref="BG28" si="39">U28/BF28</f>
        <v>9.6</v>
      </c>
      <c r="BH28" s="2">
        <f t="shared" si="12"/>
        <v>12</v>
      </c>
      <c r="BI28">
        <v>7</v>
      </c>
      <c r="BK28" s="3"/>
      <c r="BL28" s="2" t="str">
        <f>CONCATENATE(
ROUND(BI28*VLOOKUP(L28,'ID Scheme'!$A$2:$E$7,3),0), "x",
ROUND(BJ28*VLOOKUP(L28,'ID Scheme'!$A$2:$E$7,5),0), "x",
ROUND(BK28*VLOOKUP(L28,'ID Scheme'!$A$2:$E$7,4),0))</f>
        <v>65x0x0</v>
      </c>
    </row>
    <row r="29" spans="1:64" x14ac:dyDescent="0.35">
      <c r="A29" t="s">
        <v>351</v>
      </c>
      <c r="B29" t="s">
        <v>350</v>
      </c>
      <c r="C29" t="s">
        <v>349</v>
      </c>
      <c r="D29">
        <v>0</v>
      </c>
      <c r="F29">
        <v>-1</v>
      </c>
      <c r="Z29" t="s">
        <v>331</v>
      </c>
      <c r="AF29" t="s">
        <v>331</v>
      </c>
      <c r="AQ29" t="s">
        <v>557</v>
      </c>
      <c r="AR29">
        <v>8</v>
      </c>
      <c r="AZ29" s="2"/>
      <c r="BH29" s="2">
        <f t="shared" si="12"/>
        <v>0</v>
      </c>
    </row>
    <row r="30" spans="1:64" x14ac:dyDescent="0.3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c r="AE30" s="2"/>
      <c r="AF30" s="2" t="s">
        <v>331</v>
      </c>
      <c r="AG30" s="2"/>
      <c r="AH30" s="2"/>
      <c r="AI30" s="2" t="s">
        <v>350</v>
      </c>
      <c r="AJ30" s="2"/>
      <c r="AM30" t="s">
        <v>399</v>
      </c>
      <c r="AO30" t="s">
        <v>403</v>
      </c>
      <c r="AP30" t="s">
        <v>439</v>
      </c>
      <c r="AQ30" t="s">
        <v>535</v>
      </c>
      <c r="AR30">
        <v>2</v>
      </c>
      <c r="AX30" s="2">
        <f>(SQRT(N30*U30)*POWER((MIN(P30,20)+SQRT(MAX(P30-20,0))),0.9)*Data!$B$1)*(1-(V30-1))</f>
        <v>22.69978721594271</v>
      </c>
      <c r="AY30" s="2"/>
      <c r="AZ30" s="2">
        <f>((POWER((N30*N30*U30), 0.33)*LOG10(S30)*10*Data!$B$1)*V30)+AY30</f>
        <v>28.877699401096308</v>
      </c>
      <c r="BA30" s="2">
        <f>N30/1.24</f>
        <v>14.516129032258064</v>
      </c>
      <c r="BB30" s="2">
        <f>AK30/1.24</f>
        <v>0</v>
      </c>
      <c r="BE30" s="2">
        <v>2</v>
      </c>
      <c r="BF30" s="2">
        <v>2</v>
      </c>
      <c r="BG30" s="2">
        <f>U30/BF30</f>
        <v>14</v>
      </c>
      <c r="BH30" s="2">
        <f t="shared" si="12"/>
        <v>28</v>
      </c>
      <c r="BI30" s="3">
        <v>3.4</v>
      </c>
      <c r="BJ30" s="3">
        <v>2</v>
      </c>
      <c r="BK30" s="3">
        <v>2.5</v>
      </c>
      <c r="BL30" s="2" t="str">
        <f>CONCATENATE(
ROUND(BI30*VLOOKUP(L30,'ID Scheme'!$A$2:$E$7,3),0), "x",
ROUND(BJ30*VLOOKUP(L30,'ID Scheme'!$A$2:$E$7,5),0), "x",
ROUND(BK30*VLOOKUP(L30,'ID Scheme'!$A$2:$E$7,4),0))</f>
        <v>32x29x24</v>
      </c>
    </row>
    <row r="31" spans="1:64" x14ac:dyDescent="0.3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c r="AE31" s="2"/>
      <c r="AF31" s="2" t="s">
        <v>331</v>
      </c>
      <c r="AG31" s="2"/>
      <c r="AH31" s="2"/>
      <c r="AI31" s="2" t="s">
        <v>350</v>
      </c>
      <c r="AJ31" s="2"/>
      <c r="AM31" t="s">
        <v>399</v>
      </c>
      <c r="AO31" t="s">
        <v>403</v>
      </c>
      <c r="AP31" t="s">
        <v>439</v>
      </c>
      <c r="AQ31" t="s">
        <v>536</v>
      </c>
      <c r="AR31">
        <v>2</v>
      </c>
      <c r="AX31" s="2">
        <f>(SQRT(N31*U31)*POWER((MIN(P31,20)+SQRT(MAX(P31-20,0))),0.9)*Data!$B$1)*(1-(V31-1))</f>
        <v>26.587592451565005</v>
      </c>
      <c r="AY31" s="2"/>
      <c r="AZ31" s="2">
        <f>((POWER((N31*N31*U31), 0.33)*LOG10(S31)*10*Data!$B$1)*V31)+AY31</f>
        <v>41.142181123813366</v>
      </c>
      <c r="BA31" s="2">
        <f>N31/1.24</f>
        <v>25.806451612903228</v>
      </c>
      <c r="BB31" s="2">
        <f>AK31/1.24</f>
        <v>0</v>
      </c>
      <c r="BE31" s="2">
        <v>2</v>
      </c>
      <c r="BF31" s="2">
        <v>2</v>
      </c>
      <c r="BG31" s="2">
        <f>U31/BF31</f>
        <v>15</v>
      </c>
      <c r="BH31" s="2">
        <f t="shared" si="12"/>
        <v>30</v>
      </c>
      <c r="BI31" s="3">
        <v>3.4</v>
      </c>
      <c r="BJ31" s="3">
        <v>2</v>
      </c>
      <c r="BK31" s="3">
        <v>2.5</v>
      </c>
      <c r="BL31" s="2" t="str">
        <f>CONCATENATE(
ROUND(BI31*VLOOKUP(L31,'ID Scheme'!$A$2:$E$7,3),0), "x",
ROUND(BJ31*VLOOKUP(L31,'ID Scheme'!$A$2:$E$7,5),0), "x",
ROUND(BK31*VLOOKUP(L31,'ID Scheme'!$A$2:$E$7,4),0))</f>
        <v>32x29x24</v>
      </c>
    </row>
    <row r="32" spans="1:64" x14ac:dyDescent="0.3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c r="AE32" s="2"/>
      <c r="AF32" s="2" t="s">
        <v>331</v>
      </c>
      <c r="AG32" s="2"/>
      <c r="AH32" s="2"/>
      <c r="AI32" s="2" t="s">
        <v>350</v>
      </c>
      <c r="AJ32" s="2"/>
      <c r="AM32" t="s">
        <v>399</v>
      </c>
      <c r="AO32" t="s">
        <v>403</v>
      </c>
      <c r="AP32" t="s">
        <v>439</v>
      </c>
      <c r="AQ32" t="s">
        <v>631</v>
      </c>
      <c r="AR32">
        <v>2</v>
      </c>
      <c r="AX32" s="2">
        <f>(SQRT(N32*U32)*POWER((MIN(P32,20)+SQRT(MAX(P32-20,0))),0.9)*Data!$B$1)*(1-(V32-1))</f>
        <v>27.228826282042128</v>
      </c>
      <c r="AY32" s="2"/>
      <c r="AZ32" s="2">
        <f>((POWER((N32*N32*U32), 0.33)*LOG10(S32)*10*Data!$B$1)*V32)+AY32</f>
        <v>43.187111963297234</v>
      </c>
      <c r="BA32" s="2">
        <f>N32/1.24</f>
        <v>30.64516129032258</v>
      </c>
      <c r="BB32" s="2">
        <f>AK32/1.24</f>
        <v>0</v>
      </c>
      <c r="BE32" s="2">
        <v>2</v>
      </c>
      <c r="BF32" s="2">
        <v>2</v>
      </c>
      <c r="BG32" s="2">
        <f>U32/BF32</f>
        <v>15</v>
      </c>
      <c r="BH32" s="2">
        <f t="shared" si="12"/>
        <v>30</v>
      </c>
      <c r="BI32" s="3">
        <v>3.4</v>
      </c>
      <c r="BJ32" s="3">
        <v>2</v>
      </c>
      <c r="BK32" s="3">
        <v>2.5</v>
      </c>
      <c r="BL32" s="2" t="str">
        <f>CONCATENATE(
ROUND(BI32*VLOOKUP(L32,'ID Scheme'!$A$2:$E$7,3),0), "x",
ROUND(BJ32*VLOOKUP(L32,'ID Scheme'!$A$2:$E$7,5),0), "x",
ROUND(BK32*VLOOKUP(L32,'ID Scheme'!$A$2:$E$7,4),0))</f>
        <v>32x29x24</v>
      </c>
    </row>
    <row r="33" spans="1:65" x14ac:dyDescent="0.35">
      <c r="A33" t="s">
        <v>354</v>
      </c>
      <c r="B33" t="s">
        <v>352</v>
      </c>
      <c r="C33" t="s">
        <v>349</v>
      </c>
      <c r="D33">
        <v>0</v>
      </c>
      <c r="F33">
        <v>-1</v>
      </c>
      <c r="Z33" t="s">
        <v>331</v>
      </c>
      <c r="AC33" t="s">
        <v>331</v>
      </c>
      <c r="AQ33" t="s">
        <v>555</v>
      </c>
      <c r="AR33">
        <v>8</v>
      </c>
      <c r="AZ33" s="2"/>
      <c r="BH33" s="2">
        <f t="shared" si="12"/>
        <v>0</v>
      </c>
    </row>
    <row r="34" spans="1:65" x14ac:dyDescent="0.3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c r="AB34" s="2"/>
      <c r="AC34" s="2" t="s">
        <v>331</v>
      </c>
      <c r="AD34" s="2"/>
      <c r="AE34" s="2"/>
      <c r="AF34" s="2"/>
      <c r="AG34" s="2"/>
      <c r="AH34" s="2"/>
      <c r="AI34" s="2" t="s">
        <v>352</v>
      </c>
      <c r="AJ34" s="2"/>
      <c r="AM34">
        <v>1</v>
      </c>
      <c r="AO34" t="s">
        <v>408</v>
      </c>
      <c r="AP34" t="s">
        <v>584</v>
      </c>
      <c r="AQ34" t="s">
        <v>537</v>
      </c>
      <c r="AR34">
        <v>2</v>
      </c>
      <c r="AX34" s="2">
        <f>(SQRT(N34*U34)*POWER((MIN(P34,20)+SQRT(MAX(P34-20,0))),0.9)*Data!$B$1)*(1-(V34-1))</f>
        <v>38.183522614659189</v>
      </c>
      <c r="AY34" s="2"/>
      <c r="AZ34" s="2">
        <f>((POWER((N34*N34*U34), 0.33)*LOG10(S34)*10*Data!$B$1)*V34)+AY34</f>
        <v>73.949644689024566</v>
      </c>
      <c r="BA34" s="2">
        <f t="shared" ref="BA34:BA39" si="40">N34/1.24</f>
        <v>44.354838709677416</v>
      </c>
      <c r="BB34" s="2">
        <f t="shared" ref="BB34:BB39" si="41">AK34/1.24</f>
        <v>0</v>
      </c>
      <c r="BE34" s="2">
        <v>2</v>
      </c>
      <c r="BF34" s="2">
        <v>3</v>
      </c>
      <c r="BG34" s="2">
        <f t="shared" ref="BG34:BG39" si="42">U34/BF34</f>
        <v>12</v>
      </c>
      <c r="BH34" s="2">
        <f t="shared" si="12"/>
        <v>36</v>
      </c>
      <c r="BI34" s="3"/>
      <c r="BJ34" s="3"/>
      <c r="BK34" s="3"/>
      <c r="BL34" s="2" t="str">
        <f>CONCATENATE(
ROUND(BI34*VLOOKUP(L34,'ID Scheme'!$A$2:$E$7,3),0), "x",
ROUND(BJ34*VLOOKUP(L34,'ID Scheme'!$A$2:$E$7,5),0), "x",
ROUND(BK34*VLOOKUP(L34,'ID Scheme'!$A$2:$E$7,4),0))</f>
        <v>0x0x0</v>
      </c>
    </row>
    <row r="35" spans="1:65" x14ac:dyDescent="0.3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c r="AB35" s="2"/>
      <c r="AC35" s="2" t="s">
        <v>331</v>
      </c>
      <c r="AD35" s="2"/>
      <c r="AE35" s="2"/>
      <c r="AF35" s="2"/>
      <c r="AG35" s="2"/>
      <c r="AH35" s="2"/>
      <c r="AI35" s="2" t="s">
        <v>352</v>
      </c>
      <c r="AJ35" s="2"/>
      <c r="AK35">
        <v>56</v>
      </c>
      <c r="AM35">
        <v>1</v>
      </c>
      <c r="AO35" t="s">
        <v>408</v>
      </c>
      <c r="AP35" t="s">
        <v>584</v>
      </c>
      <c r="AQ35" t="s">
        <v>538</v>
      </c>
      <c r="AR35">
        <v>2</v>
      </c>
      <c r="AX35" s="2">
        <f>(SQRT(N35*U35)*POWER((MIN(P35,20)+SQRT(MAX(P35-20,0))),0.9)*Data!$B$1)*(1-(V35-1))</f>
        <v>38.871569362349888</v>
      </c>
      <c r="AY35" s="2"/>
      <c r="AZ35" s="2">
        <f>((POWER((N35*N35*U35), 0.33)*LOG10(S35)*10*Data!$B$1)*V35)+AY35</f>
        <v>80.552997117621018</v>
      </c>
      <c r="BA35" s="2">
        <f t="shared" si="40"/>
        <v>45.967741935483872</v>
      </c>
      <c r="BB35" s="2">
        <f t="shared" si="41"/>
        <v>45.161290322580648</v>
      </c>
      <c r="BE35" s="2">
        <v>2</v>
      </c>
      <c r="BF35" s="2">
        <v>3</v>
      </c>
      <c r="BG35" s="2">
        <f t="shared" si="42"/>
        <v>12</v>
      </c>
      <c r="BH35" s="2">
        <f t="shared" si="12"/>
        <v>36</v>
      </c>
      <c r="BI35" s="3"/>
      <c r="BJ35" s="3"/>
      <c r="BK35" s="3"/>
      <c r="BL35" s="2" t="str">
        <f>CONCATENATE(
ROUND(BI35*VLOOKUP(L35,'ID Scheme'!$A$2:$E$7,3),0), "x",
ROUND(BJ35*VLOOKUP(L35,'ID Scheme'!$A$2:$E$7,5),0), "x",
ROUND(BK35*VLOOKUP(L35,'ID Scheme'!$A$2:$E$7,4),0))</f>
        <v>0x0x0</v>
      </c>
    </row>
    <row r="36" spans="1:65" x14ac:dyDescent="0.3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c r="AB36" s="2"/>
      <c r="AC36" s="2" t="s">
        <v>331</v>
      </c>
      <c r="AD36" s="2"/>
      <c r="AE36" s="2"/>
      <c r="AF36" s="2"/>
      <c r="AG36" s="2"/>
      <c r="AH36" s="2"/>
      <c r="AI36" s="2" t="s">
        <v>352</v>
      </c>
      <c r="AJ36" s="2"/>
      <c r="AK36">
        <v>56</v>
      </c>
      <c r="AM36">
        <v>1</v>
      </c>
      <c r="AO36" t="s">
        <v>408</v>
      </c>
      <c r="AP36" t="s">
        <v>584</v>
      </c>
      <c r="AQ36" t="s">
        <v>616</v>
      </c>
      <c r="AR36">
        <v>2</v>
      </c>
      <c r="AX36" s="2">
        <f>(SQRT(N36*U36)*POWER((MIN(P36,20)+SQRT(MAX(P36-20,0))),0.9)*Data!$B$1)*(1-(V36-1))</f>
        <v>46.82956959430053</v>
      </c>
      <c r="AY36" s="2"/>
      <c r="AZ36" s="2">
        <f>((POWER((N36*N36*U36), 0.33)*LOG10(S36)*10*Data!$B$1)*V36)+AY36</f>
        <v>82.873794341980769</v>
      </c>
      <c r="BA36" s="2">
        <f t="shared" si="40"/>
        <v>44.354838709677416</v>
      </c>
      <c r="BB36" s="2">
        <f t="shared" si="41"/>
        <v>45.161290322580648</v>
      </c>
      <c r="BE36" s="2">
        <v>2</v>
      </c>
      <c r="BF36" s="2">
        <v>3</v>
      </c>
      <c r="BG36" s="2">
        <f t="shared" si="42"/>
        <v>13</v>
      </c>
      <c r="BH36" s="2">
        <f t="shared" si="12"/>
        <v>39</v>
      </c>
      <c r="BI36" s="3"/>
      <c r="BJ36" s="3"/>
      <c r="BK36" s="3"/>
      <c r="BL36" s="2" t="str">
        <f>CONCATENATE(
ROUND(BI36*VLOOKUP(L36,'ID Scheme'!$A$2:$E$7,3),0), "x",
ROUND(BJ36*VLOOKUP(L36,'ID Scheme'!$A$2:$E$7,5),0), "x",
ROUND(BK36*VLOOKUP(L36,'ID Scheme'!$A$2:$E$7,4),0))</f>
        <v>0x0x0</v>
      </c>
    </row>
    <row r="37" spans="1:65" x14ac:dyDescent="0.3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c r="AB37" s="2"/>
      <c r="AC37" s="2" t="s">
        <v>331</v>
      </c>
      <c r="AD37" s="2"/>
      <c r="AE37" s="2"/>
      <c r="AF37" s="2"/>
      <c r="AG37" s="2"/>
      <c r="AH37" s="2"/>
      <c r="AI37" s="2" t="s">
        <v>352</v>
      </c>
      <c r="AJ37" s="2"/>
      <c r="AK37">
        <v>56</v>
      </c>
      <c r="AM37">
        <v>1</v>
      </c>
      <c r="AO37" t="s">
        <v>408</v>
      </c>
      <c r="AP37" t="s">
        <v>584</v>
      </c>
      <c r="AQ37" t="s">
        <v>539</v>
      </c>
      <c r="AR37">
        <v>2</v>
      </c>
      <c r="AX37" s="2">
        <f>(SQRT(N37*U37)*POWER((MIN(P37,20)+SQRT(MAX(P37-20,0))),0.9)*Data!$B$1)*(1-(V37-1))</f>
        <v>48.911890226340333</v>
      </c>
      <c r="AY37" s="2"/>
      <c r="AZ37" s="2">
        <f>((POWER((N37*N37*U37), 0.33)*LOG10(S37)*10*Data!$B$1)*V37)+AY37</f>
        <v>91.696851682976998</v>
      </c>
      <c r="BA37" s="2">
        <f t="shared" si="40"/>
        <v>48.387096774193552</v>
      </c>
      <c r="BB37" s="2">
        <f t="shared" si="41"/>
        <v>45.161290322580648</v>
      </c>
      <c r="BE37" s="2">
        <v>2</v>
      </c>
      <c r="BF37" s="2">
        <v>3</v>
      </c>
      <c r="BG37" s="2">
        <f t="shared" si="42"/>
        <v>13</v>
      </c>
      <c r="BH37" s="2">
        <f t="shared" si="12"/>
        <v>39</v>
      </c>
      <c r="BI37" s="3"/>
      <c r="BJ37" s="3"/>
      <c r="BK37" s="3"/>
      <c r="BL37" s="2" t="str">
        <f>CONCATENATE(
ROUND(BI37*VLOOKUP(L37,'ID Scheme'!$A$2:$E$7,3),0), "x",
ROUND(BJ37*VLOOKUP(L37,'ID Scheme'!$A$2:$E$7,5),0), "x",
ROUND(BK37*VLOOKUP(L37,'ID Scheme'!$A$2:$E$7,4),0))</f>
        <v>0x0x0</v>
      </c>
      <c r="BM37" t="s">
        <v>96</v>
      </c>
    </row>
    <row r="38" spans="1:65" x14ac:dyDescent="0.3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c r="AB38" s="2"/>
      <c r="AC38" s="2" t="s">
        <v>331</v>
      </c>
      <c r="AD38" s="2"/>
      <c r="AE38" s="2"/>
      <c r="AF38" s="2"/>
      <c r="AG38" s="2"/>
      <c r="AH38" s="2"/>
      <c r="AI38" s="2" t="s">
        <v>352</v>
      </c>
      <c r="AJ38" s="2"/>
      <c r="AK38">
        <v>56</v>
      </c>
      <c r="AM38">
        <v>1</v>
      </c>
      <c r="AO38" t="s">
        <v>408</v>
      </c>
      <c r="AP38" t="s">
        <v>584</v>
      </c>
      <c r="AQ38" t="s">
        <v>540</v>
      </c>
      <c r="AR38">
        <v>2</v>
      </c>
      <c r="AX38" s="2">
        <f>(SQRT(N38*U38)*POWER((MIN(P38,20)+SQRT(MAX(P38-20,0))),0.9)*Data!$B$1)*(1-(V38-1))</f>
        <v>42.456980398337514</v>
      </c>
      <c r="AY38" s="2">
        <v>15</v>
      </c>
      <c r="AZ38" s="2">
        <f>((POWER((N38*N38*U38), 0.33)*LOG10(S38)*10*Data!$B$1)*V38)+AY38</f>
        <v>109.83849808071786</v>
      </c>
      <c r="BA38" s="2">
        <f t="shared" si="40"/>
        <v>54.838709677419352</v>
      </c>
      <c r="BB38" s="2">
        <f t="shared" si="41"/>
        <v>45.161290322580648</v>
      </c>
      <c r="BE38" s="2">
        <v>2</v>
      </c>
      <c r="BF38" s="2">
        <v>3</v>
      </c>
      <c r="BG38" s="2">
        <f t="shared" si="42"/>
        <v>12</v>
      </c>
      <c r="BH38" s="2">
        <f t="shared" si="12"/>
        <v>36</v>
      </c>
      <c r="BI38" s="3"/>
      <c r="BJ38" s="3"/>
      <c r="BK38" s="3"/>
      <c r="BL38" s="2" t="str">
        <f>CONCATENATE(
ROUND(BI38*VLOOKUP(L38,'ID Scheme'!$A$2:$E$7,3),0), "x",
ROUND(BJ38*VLOOKUP(L38,'ID Scheme'!$A$2:$E$7,5),0), "x",
ROUND(BK38*VLOOKUP(L38,'ID Scheme'!$A$2:$E$7,4),0))</f>
        <v>0x0x0</v>
      </c>
    </row>
    <row r="39" spans="1:65" x14ac:dyDescent="0.3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c r="AB39" s="2"/>
      <c r="AC39" s="2" t="s">
        <v>331</v>
      </c>
      <c r="AD39" s="2"/>
      <c r="AE39" s="2"/>
      <c r="AF39" s="2"/>
      <c r="AG39" s="2"/>
      <c r="AH39" s="2"/>
      <c r="AI39" s="2" t="s">
        <v>352</v>
      </c>
      <c r="AJ39" s="2"/>
      <c r="AK39">
        <v>56</v>
      </c>
      <c r="AM39">
        <v>1</v>
      </c>
      <c r="AO39" t="s">
        <v>408</v>
      </c>
      <c r="AP39" t="s">
        <v>584</v>
      </c>
      <c r="AQ39" t="s">
        <v>541</v>
      </c>
      <c r="AR39">
        <v>2</v>
      </c>
      <c r="AX39" s="2">
        <f>(SQRT(N39*U39)*POWER((MIN(P39,20)+SQRT(MAX(P39-20,0))),0.9)*Data!$B$1)*(1-(V39-1))</f>
        <v>49.010121885450587</v>
      </c>
      <c r="AY39" s="2"/>
      <c r="AZ39" s="2">
        <f>((POWER((N39*N39*U39), 0.33)*LOG10(S39)*10*Data!$B$1)*V39)+AY39</f>
        <v>99.825332904493919</v>
      </c>
      <c r="BA39" s="2">
        <f t="shared" si="40"/>
        <v>50</v>
      </c>
      <c r="BB39" s="2">
        <f t="shared" si="41"/>
        <v>45.161290322580648</v>
      </c>
      <c r="BE39" s="2">
        <v>2</v>
      </c>
      <c r="BF39" s="2">
        <v>3</v>
      </c>
      <c r="BG39" s="2">
        <f t="shared" si="42"/>
        <v>14</v>
      </c>
      <c r="BH39" s="2">
        <f t="shared" si="12"/>
        <v>42</v>
      </c>
      <c r="BI39" s="3"/>
      <c r="BJ39" s="3"/>
      <c r="BK39" s="3"/>
      <c r="BL39" s="2" t="str">
        <f>CONCATENATE(
ROUND(BI39*VLOOKUP(L39,'ID Scheme'!$A$2:$E$7,3),0), "x",
ROUND(BJ39*VLOOKUP(L39,'ID Scheme'!$A$2:$E$7,5),0), "x",
ROUND(BK39*VLOOKUP(L39,'ID Scheme'!$A$2:$E$7,4),0))</f>
        <v>0x0x0</v>
      </c>
    </row>
    <row r="40" spans="1:65" x14ac:dyDescent="0.35">
      <c r="A40" t="s">
        <v>355</v>
      </c>
      <c r="B40" t="s">
        <v>353</v>
      </c>
      <c r="C40" t="s">
        <v>349</v>
      </c>
      <c r="D40">
        <v>0</v>
      </c>
      <c r="F40">
        <v>-1</v>
      </c>
      <c r="Z40" t="s">
        <v>331</v>
      </c>
      <c r="AC40" t="s">
        <v>331</v>
      </c>
      <c r="AQ40" t="s">
        <v>556</v>
      </c>
      <c r="AR40">
        <v>8</v>
      </c>
      <c r="AZ40" s="2"/>
      <c r="BH40" s="2">
        <f t="shared" si="12"/>
        <v>0</v>
      </c>
    </row>
    <row r="41" spans="1:65" x14ac:dyDescent="0.3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c r="AB41" s="2"/>
      <c r="AC41" s="2" t="s">
        <v>331</v>
      </c>
      <c r="AD41" s="2"/>
      <c r="AE41" s="2"/>
      <c r="AF41" s="2"/>
      <c r="AG41" s="2"/>
      <c r="AH41" s="2"/>
      <c r="AI41" s="2" t="s">
        <v>353</v>
      </c>
      <c r="AJ41" s="2"/>
      <c r="AK41">
        <v>56</v>
      </c>
      <c r="AM41">
        <v>1</v>
      </c>
      <c r="AO41" t="s">
        <v>408</v>
      </c>
      <c r="AP41" t="s">
        <v>626</v>
      </c>
      <c r="AQ41" t="s">
        <v>627</v>
      </c>
      <c r="AR41">
        <v>6</v>
      </c>
      <c r="AX41" s="2">
        <v>52.539798162699419</v>
      </c>
      <c r="AY41" s="2"/>
      <c r="AZ41" s="2">
        <v>101.34083892908721</v>
      </c>
      <c r="BA41" s="2">
        <f t="shared" ref="BA41" si="43">N41/1.24</f>
        <v>48.387096774193552</v>
      </c>
      <c r="BB41" s="2">
        <f t="shared" ref="BB41" si="44">AK41/1.24</f>
        <v>45.161290322580648</v>
      </c>
      <c r="BE41" s="2">
        <v>2</v>
      </c>
      <c r="BF41" s="2">
        <v>3</v>
      </c>
      <c r="BG41" s="2">
        <f t="shared" ref="BG41" si="45">U41/BF41</f>
        <v>15</v>
      </c>
      <c r="BH41" s="2">
        <f t="shared" si="12"/>
        <v>45</v>
      </c>
      <c r="BI41" s="3"/>
      <c r="BJ41" s="3"/>
      <c r="BK41" s="3"/>
      <c r="BL41" s="2" t="s">
        <v>632</v>
      </c>
    </row>
    <row r="42" spans="1:65" x14ac:dyDescent="0.3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c r="AB42" s="2"/>
      <c r="AC42" s="2" t="s">
        <v>331</v>
      </c>
      <c r="AD42" s="2"/>
      <c r="AE42" s="2"/>
      <c r="AF42" s="2"/>
      <c r="AG42" s="2"/>
      <c r="AH42" s="2"/>
      <c r="AI42" s="2" t="s">
        <v>353</v>
      </c>
      <c r="AJ42" s="2"/>
      <c r="AK42">
        <v>56</v>
      </c>
      <c r="AM42">
        <v>1</v>
      </c>
      <c r="AO42" t="s">
        <v>408</v>
      </c>
      <c r="AP42" t="s">
        <v>584</v>
      </c>
      <c r="AQ42" t="s">
        <v>542</v>
      </c>
      <c r="AR42">
        <v>2</v>
      </c>
      <c r="AX42" s="2">
        <f>(SQRT(N42*U42)*POWER((MIN(P42,20)+SQRT(MAX(P42-20,0))),0.9)*Data!$B$1)*(1-(V42-1))</f>
        <v>46.409440397444101</v>
      </c>
      <c r="AY42" s="2"/>
      <c r="AZ42" s="2">
        <f>((POWER((N42*N42*U42), 0.33)*LOG10(S42)*10*Data!$B$1)*V42)+AY42</f>
        <v>108.63850295590133</v>
      </c>
      <c r="BA42" s="2">
        <f>N42/1.24</f>
        <v>52.41935483870968</v>
      </c>
      <c r="BB42" s="2">
        <f>AK42/1.24</f>
        <v>45.161290322580648</v>
      </c>
      <c r="BE42" s="2">
        <v>2</v>
      </c>
      <c r="BF42" s="2">
        <v>3</v>
      </c>
      <c r="BG42" s="2">
        <f>U42/BF42</f>
        <v>15</v>
      </c>
      <c r="BH42" s="2">
        <f t="shared" si="12"/>
        <v>45</v>
      </c>
      <c r="BI42" s="3"/>
      <c r="BJ42" s="3"/>
      <c r="BK42" s="3"/>
      <c r="BL42" s="2" t="str">
        <f>CONCATENATE(
ROUND(BI42*VLOOKUP(L42,'ID Scheme'!$A$2:$E$7,3),0), "x",
ROUND(BJ42*VLOOKUP(L42,'ID Scheme'!$A$2:$E$7,5),0), "x",
ROUND(BK42*VLOOKUP(L42,'ID Scheme'!$A$2:$E$7,4),0))</f>
        <v>0x0x0</v>
      </c>
    </row>
    <row r="43" spans="1:65" x14ac:dyDescent="0.3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c r="AB43" s="2"/>
      <c r="AC43" s="2" t="s">
        <v>331</v>
      </c>
      <c r="AD43" s="2"/>
      <c r="AE43" s="2"/>
      <c r="AF43" s="2"/>
      <c r="AG43" s="2"/>
      <c r="AH43" s="2"/>
      <c r="AI43" s="2" t="s">
        <v>353</v>
      </c>
      <c r="AJ43" s="2"/>
      <c r="AK43">
        <v>56</v>
      </c>
      <c r="AM43">
        <v>1</v>
      </c>
      <c r="AO43" t="s">
        <v>408</v>
      </c>
      <c r="AP43" t="s">
        <v>584</v>
      </c>
      <c r="AQ43" t="s">
        <v>543</v>
      </c>
      <c r="AR43">
        <v>2</v>
      </c>
      <c r="AX43" s="2">
        <f>(SQRT(N43*U43)*POWER((MIN(P43,20)+SQRT(MAX(P43-20,0))),0.9)*Data!$B$1)*(1-(V43-1))</f>
        <v>49.025098123917665</v>
      </c>
      <c r="AY43" s="2"/>
      <c r="AZ43" s="2">
        <f>((POWER((N43*N43*U43), 0.33)*LOG10(S43)*10*Data!$B$1)*V43)+AY43</f>
        <v>114.33160972754995</v>
      </c>
      <c r="BA43" s="2">
        <f>N43/1.24</f>
        <v>54.838709677419352</v>
      </c>
      <c r="BB43" s="2">
        <f>AK43/1.24</f>
        <v>45.161290322580648</v>
      </c>
      <c r="BE43" s="2">
        <v>2</v>
      </c>
      <c r="BF43" s="2">
        <v>3</v>
      </c>
      <c r="BG43" s="2">
        <f>U43/BF43</f>
        <v>16</v>
      </c>
      <c r="BH43" s="2">
        <f t="shared" si="12"/>
        <v>48</v>
      </c>
      <c r="BI43" s="3"/>
      <c r="BJ43" s="3"/>
      <c r="BK43" s="3"/>
      <c r="BL43" s="2" t="str">
        <f>CONCATENATE(
ROUND(BI43*VLOOKUP(L43,'ID Scheme'!$A$2:$E$7,3),0), "x",
ROUND(BJ43*VLOOKUP(L43,'ID Scheme'!$A$2:$E$7,5),0), "x",
ROUND(BK43*VLOOKUP(L43,'ID Scheme'!$A$2:$E$7,4),0))</f>
        <v>0x0x0</v>
      </c>
    </row>
    <row r="44" spans="1:65" x14ac:dyDescent="0.3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c r="AB44" s="2"/>
      <c r="AC44" s="2" t="s">
        <v>331</v>
      </c>
      <c r="AD44" s="2"/>
      <c r="AE44" s="2"/>
      <c r="AF44" s="2"/>
      <c r="AG44" s="2"/>
      <c r="AH44" s="2"/>
      <c r="AI44" s="2" t="s">
        <v>353</v>
      </c>
      <c r="AJ44" s="2"/>
      <c r="AK44">
        <v>56</v>
      </c>
      <c r="AM44">
        <v>1</v>
      </c>
      <c r="AO44" t="s">
        <v>408</v>
      </c>
      <c r="AP44" t="s">
        <v>584</v>
      </c>
      <c r="AQ44" t="s">
        <v>544</v>
      </c>
      <c r="AR44">
        <v>2</v>
      </c>
      <c r="AX44" s="2">
        <f>(SQRT(N44*U44)*POWER((MIN(P44,20)+SQRT(MAX(P44-20,0))),0.9)*Data!$B$1)*(1-(V44-1))</f>
        <v>53.506497671783663</v>
      </c>
      <c r="AY44" s="2"/>
      <c r="AZ44" s="2">
        <f>((POWER((N44*N44*U44), 0.33)*LOG10(S44)*10*Data!$B$1)*V44)+AY44</f>
        <v>130.02857541304473</v>
      </c>
      <c r="BA44" s="2">
        <f>N44/1.24</f>
        <v>58.064516129032256</v>
      </c>
      <c r="BB44" s="2">
        <f>AK44/1.24</f>
        <v>45.161290322580648</v>
      </c>
      <c r="BE44" s="2">
        <v>2</v>
      </c>
      <c r="BF44" s="2">
        <v>3</v>
      </c>
      <c r="BG44" s="2">
        <f>U44/BF44</f>
        <v>18</v>
      </c>
      <c r="BH44" s="2">
        <f t="shared" si="12"/>
        <v>54</v>
      </c>
      <c r="BI44" s="3"/>
      <c r="BJ44" s="3"/>
      <c r="BK44" s="3"/>
      <c r="BL44" s="2" t="str">
        <f>CONCATENATE(
ROUND(BI44*VLOOKUP(L44,'ID Scheme'!$A$2:$E$7,3),0), "x",
ROUND(BJ44*VLOOKUP(L44,'ID Scheme'!$A$2:$E$7,5),0), "x",
ROUND(BK44*VLOOKUP(L44,'ID Scheme'!$A$2:$E$7,4),0))</f>
        <v>0x0x0</v>
      </c>
    </row>
    <row r="45" spans="1:65" x14ac:dyDescent="0.3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c r="AB45" s="2"/>
      <c r="AC45" s="2" t="s">
        <v>331</v>
      </c>
      <c r="AD45" s="2"/>
      <c r="AE45" s="2"/>
      <c r="AF45" s="2"/>
      <c r="AG45" s="2"/>
      <c r="AH45" s="2"/>
      <c r="AI45" s="2" t="s">
        <v>353</v>
      </c>
      <c r="AJ45" s="2"/>
      <c r="AK45">
        <v>56</v>
      </c>
      <c r="AM45">
        <v>1</v>
      </c>
      <c r="AO45" t="s">
        <v>408</v>
      </c>
      <c r="AP45" t="s">
        <v>584</v>
      </c>
      <c r="AQ45" t="s">
        <v>545</v>
      </c>
      <c r="AR45">
        <v>2</v>
      </c>
      <c r="AX45" s="2">
        <f>(SQRT(N45*U45)*POWER((MIN(P45,20)+SQRT(MAX(P45-20,0))),0.9)*Data!$B$1)*(1-(V45-1))</f>
        <v>49.630406036450424</v>
      </c>
      <c r="AY45" s="2"/>
      <c r="AZ45" s="2">
        <f>((POWER((N45*N45*U45), 0.33)*LOG10(S45)*10*Data!$B$1)*V45)+AY45</f>
        <v>116.21639568567561</v>
      </c>
      <c r="BA45" s="2">
        <f>N45/1.24</f>
        <v>56.451612903225808</v>
      </c>
      <c r="BB45" s="2">
        <f>AK45/1.24</f>
        <v>45.161290322580648</v>
      </c>
      <c r="BE45" s="2">
        <v>2</v>
      </c>
      <c r="BF45" s="2">
        <v>3</v>
      </c>
      <c r="BG45" s="2">
        <f>U45/BF45</f>
        <v>17</v>
      </c>
      <c r="BH45" s="2">
        <f t="shared" si="12"/>
        <v>51</v>
      </c>
      <c r="BI45" s="3"/>
      <c r="BJ45" s="3"/>
      <c r="BK45" s="3"/>
      <c r="BL45" s="2" t="str">
        <f>CONCATENATE(
ROUND(BI45*VLOOKUP(L45,'ID Scheme'!$A$2:$E$7,3),0), "x",
ROUND(BJ45*VLOOKUP(L45,'ID Scheme'!$A$2:$E$7,5),0), "x",
ROUND(BK45*VLOOKUP(L45,'ID Scheme'!$A$2:$E$7,4),0))</f>
        <v>0x0x0</v>
      </c>
    </row>
    <row r="46" spans="1:65" x14ac:dyDescent="0.3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c r="AB46" s="2"/>
      <c r="AC46" s="2" t="s">
        <v>331</v>
      </c>
      <c r="AD46" s="2"/>
      <c r="AE46" s="2"/>
      <c r="AF46" s="2"/>
      <c r="AG46" s="2"/>
      <c r="AH46" s="2"/>
      <c r="AI46" s="2" t="s">
        <v>353</v>
      </c>
      <c r="AJ46" s="2"/>
      <c r="AK46">
        <v>56</v>
      </c>
      <c r="AM46">
        <v>1</v>
      </c>
      <c r="AO46" t="s">
        <v>408</v>
      </c>
      <c r="AP46" t="s">
        <v>584</v>
      </c>
      <c r="AQ46" t="s">
        <v>546</v>
      </c>
      <c r="AR46">
        <v>2</v>
      </c>
      <c r="AX46" s="2">
        <f>(SQRT(N46*U46)*POWER((MIN(P46,20)+SQRT(MAX(P46-20,0))),0.9)*Data!$B$1)*(1-(V46-1))</f>
        <v>62.165927543696078</v>
      </c>
      <c r="AY46" s="2"/>
      <c r="AZ46" s="2">
        <f>((POWER((N46*N46*U46), 0.33)*LOG10(S46)*10*Data!$B$1)*V46)+AY46</f>
        <v>119.15141041758832</v>
      </c>
      <c r="BA46" s="2">
        <f>N46/1.24</f>
        <v>56.451612903225808</v>
      </c>
      <c r="BB46" s="2">
        <f>AK46/1.24</f>
        <v>45.161290322580648</v>
      </c>
      <c r="BE46" s="2">
        <v>2</v>
      </c>
      <c r="BF46" s="2">
        <v>3</v>
      </c>
      <c r="BG46" s="2">
        <f>U46/BF46</f>
        <v>18</v>
      </c>
      <c r="BH46" s="2">
        <f t="shared" si="12"/>
        <v>54</v>
      </c>
      <c r="BK46" s="3"/>
      <c r="BL46" s="2" t="str">
        <f>CONCATENATE(
ROUND(BI46*VLOOKUP(L46,'ID Scheme'!$A$2:$E$7,3),0), "x",
ROUND(BJ46*VLOOKUP(L46,'ID Scheme'!$A$2:$E$7,5),0), "x",
ROUND(BK46*VLOOKUP(L46,'ID Scheme'!$A$2:$E$7,4),0))</f>
        <v>0x0x0</v>
      </c>
      <c r="BM46" t="s">
        <v>103</v>
      </c>
    </row>
    <row r="47" spans="1:65" x14ac:dyDescent="0.35">
      <c r="A47" t="s">
        <v>670</v>
      </c>
      <c r="B47" t="s">
        <v>671</v>
      </c>
      <c r="C47" t="s">
        <v>349</v>
      </c>
      <c r="D47">
        <v>0</v>
      </c>
      <c r="F47">
        <v>-1</v>
      </c>
      <c r="Z47" t="s">
        <v>331</v>
      </c>
      <c r="AC47" t="s">
        <v>331</v>
      </c>
      <c r="AQ47" t="s">
        <v>672</v>
      </c>
      <c r="AR47">
        <v>8</v>
      </c>
      <c r="AZ47" s="2"/>
      <c r="BH47" s="2">
        <f t="shared" si="12"/>
        <v>0</v>
      </c>
    </row>
    <row r="48" spans="1:65" x14ac:dyDescent="0.3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c r="AB48" s="2"/>
      <c r="AC48" s="2" t="s">
        <v>331</v>
      </c>
      <c r="AD48" s="2"/>
      <c r="AE48" s="2"/>
      <c r="AF48" s="2"/>
      <c r="AG48" s="2"/>
      <c r="AH48" s="2"/>
      <c r="AI48" s="2" t="s">
        <v>671</v>
      </c>
      <c r="AJ48" s="2"/>
      <c r="AK48">
        <v>56</v>
      </c>
      <c r="AM48">
        <v>1</v>
      </c>
      <c r="AO48" t="s">
        <v>408</v>
      </c>
      <c r="AP48" t="s">
        <v>584</v>
      </c>
      <c r="AQ48" t="s">
        <v>677</v>
      </c>
      <c r="AR48">
        <v>2</v>
      </c>
      <c r="AX48" s="2">
        <f>(SQRT(N48*U48)*POWER((MIN(P48,20)+SQRT(MAX(P48-20,0))),0.9)*Data!$B$1)*(1-(V48-1))</f>
        <v>67.113294278834843</v>
      </c>
      <c r="AY48" s="2"/>
      <c r="AZ48" s="2">
        <f>((POWER((N48*N48*U48), 0.33)*LOG10(S48)*10*Data!$B$1)*V48)+AY48</f>
        <v>121.19910566167707</v>
      </c>
      <c r="BA48" s="2">
        <f>N48/1.24</f>
        <v>59.677419354838712</v>
      </c>
      <c r="BB48" s="2">
        <f>AK48/1.24</f>
        <v>45.161290322580648</v>
      </c>
      <c r="BE48" s="2">
        <v>2</v>
      </c>
      <c r="BF48" s="2">
        <v>3</v>
      </c>
      <c r="BG48" s="2">
        <f>U48/BF48</f>
        <v>18</v>
      </c>
      <c r="BH48" s="2">
        <f t="shared" si="12"/>
        <v>54</v>
      </c>
      <c r="BK48" s="3"/>
      <c r="BL48" s="2" t="str">
        <f>CONCATENATE(
ROUND(BI48*VLOOKUP(L48,'ID Scheme'!$A$2:$E$7,3),0), "x",
ROUND(BJ48*VLOOKUP(L48,'ID Scheme'!$A$2:$E$7,5),0), "x",
ROUND(BK48*VLOOKUP(L48,'ID Scheme'!$A$2:$E$7,4),0))</f>
        <v>0x0x0</v>
      </c>
      <c r="BM48" t="s">
        <v>676</v>
      </c>
    </row>
    <row r="49" spans="1:64" x14ac:dyDescent="0.35">
      <c r="A49" t="s">
        <v>585</v>
      </c>
      <c r="B49" t="s">
        <v>588</v>
      </c>
      <c r="C49" t="s">
        <v>349</v>
      </c>
      <c r="D49">
        <v>0</v>
      </c>
      <c r="F49">
        <v>-1</v>
      </c>
      <c r="AF49" t="s">
        <v>331</v>
      </c>
      <c r="AG49" t="s">
        <v>331</v>
      </c>
      <c r="AQ49" t="s">
        <v>565</v>
      </c>
      <c r="AR49">
        <v>4</v>
      </c>
      <c r="AZ49" s="2"/>
      <c r="BH49" s="2">
        <f t="shared" si="12"/>
        <v>0</v>
      </c>
    </row>
    <row r="50" spans="1:64" x14ac:dyDescent="0.3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c r="AE50" s="2"/>
      <c r="AF50" s="2" t="s">
        <v>331</v>
      </c>
      <c r="AG50" s="2" t="s">
        <v>331</v>
      </c>
      <c r="AH50" s="2"/>
      <c r="AI50" t="s">
        <v>588</v>
      </c>
      <c r="AJ50" s="2"/>
      <c r="AO50" t="s">
        <v>403</v>
      </c>
      <c r="AP50" t="s">
        <v>592</v>
      </c>
      <c r="AQ50" t="s">
        <v>591</v>
      </c>
      <c r="AR50">
        <v>5</v>
      </c>
      <c r="AT50" t="s">
        <v>287</v>
      </c>
      <c r="AU50" t="s">
        <v>287</v>
      </c>
      <c r="AX50" s="2">
        <f>(SQRT(N50*U50)*POWER((MIN(P50,20)+SQRT(MAX(P50-20,0))),0.9)*Data!$B$1)*(1-(V50-1))</f>
        <v>7.6897993492691086</v>
      </c>
      <c r="AY50" s="2"/>
      <c r="AZ50" s="2">
        <f>((POWER((N50*N50*U50), 0.33)*LOG10(S50)*10*Data!$B$1)*V50)+AY50</f>
        <v>8.8981800674996272</v>
      </c>
      <c r="BA50" s="2">
        <f>N50/1.24</f>
        <v>12.096774193548388</v>
      </c>
      <c r="BB50" s="2">
        <f>AK50/1.24</f>
        <v>0</v>
      </c>
      <c r="BE50" s="2">
        <v>2</v>
      </c>
      <c r="BF50" s="2">
        <v>2</v>
      </c>
      <c r="BG50" s="2">
        <f>U50/BF50</f>
        <v>4</v>
      </c>
      <c r="BH50" s="2">
        <f t="shared" si="12"/>
        <v>8</v>
      </c>
      <c r="BI50" s="3"/>
      <c r="BJ50" s="3"/>
      <c r="BK50" s="3"/>
      <c r="BL50" s="2" t="str">
        <f>CONCATENATE(
ROUND(BI50*VLOOKUP(L50,'ID Scheme'!$A$2:$E$7,3),0), "x",
ROUND(BJ50*VLOOKUP(L50,'ID Scheme'!$A$2:$E$7,5),0), "x",
ROUND(BK50*VLOOKUP(L50,'ID Scheme'!$A$2:$E$7,4),0))</f>
        <v>0x0x0</v>
      </c>
    </row>
    <row r="51" spans="1:64" x14ac:dyDescent="0.35">
      <c r="A51" t="s">
        <v>755</v>
      </c>
      <c r="B51" t="s">
        <v>756</v>
      </c>
      <c r="C51" t="s">
        <v>349</v>
      </c>
      <c r="D51">
        <v>0</v>
      </c>
      <c r="F51">
        <v>-1</v>
      </c>
      <c r="AF51" t="s">
        <v>331</v>
      </c>
      <c r="AG51" t="s">
        <v>331</v>
      </c>
      <c r="AQ51" t="s">
        <v>565</v>
      </c>
      <c r="AR51">
        <v>4</v>
      </c>
      <c r="AZ51" s="2"/>
      <c r="BH51" s="2">
        <f t="shared" ref="BH51:BH52" si="46">(U51)/MAX(BE51-(1+BD51), 1)</f>
        <v>0</v>
      </c>
    </row>
    <row r="52" spans="1:64" x14ac:dyDescent="0.3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c r="AE52" s="2"/>
      <c r="AF52" s="2" t="s">
        <v>331</v>
      </c>
      <c r="AG52" s="2" t="s">
        <v>331</v>
      </c>
      <c r="AH52" s="2"/>
      <c r="AI52" t="s">
        <v>756</v>
      </c>
      <c r="AJ52" s="2"/>
      <c r="AO52" t="s">
        <v>403</v>
      </c>
      <c r="AP52" t="s">
        <v>515</v>
      </c>
      <c r="AQ52" t="s">
        <v>760</v>
      </c>
      <c r="AR52">
        <v>6</v>
      </c>
      <c r="AT52" t="s">
        <v>276</v>
      </c>
      <c r="AU52" t="s">
        <v>276</v>
      </c>
      <c r="AX52" s="2">
        <f>(SQRT(N52*U52)*POWER((MIN(P52,20)+SQRT(MAX(P52-20,0))),0.9)*Data!$B$1)*(1-(V52-1))</f>
        <v>9.0986932932607107</v>
      </c>
      <c r="AY52" s="2"/>
      <c r="AZ52" s="2">
        <f>((POWER((N52*N52*U52), 0.33)*LOG10(S52)*10*Data!$B$1)*V52)+AY52</f>
        <v>12.645118035548645</v>
      </c>
      <c r="BA52" s="2">
        <f>N52/1.24</f>
        <v>11.290322580645162</v>
      </c>
      <c r="BB52" s="2">
        <f>AK52/1.24</f>
        <v>0</v>
      </c>
      <c r="BE52" s="2">
        <v>2</v>
      </c>
      <c r="BF52" s="2">
        <v>2</v>
      </c>
      <c r="BG52" s="2">
        <f>U52/BF52</f>
        <v>6</v>
      </c>
      <c r="BH52" s="2">
        <f t="shared" si="46"/>
        <v>12</v>
      </c>
      <c r="BI52" s="3">
        <v>8</v>
      </c>
      <c r="BJ52" s="3"/>
      <c r="BK52" s="3"/>
      <c r="BL52" s="2" t="str">
        <f>CONCATENATE(
ROUND(BI52*VLOOKUP(L52,'ID Scheme'!$A$2:$E$7,3),0), "x",
ROUND(BJ52*VLOOKUP(L52,'ID Scheme'!$A$2:$E$7,5),0), "x",
ROUND(BK52*VLOOKUP(L52,'ID Scheme'!$A$2:$E$7,4),0))</f>
        <v>75x0x0</v>
      </c>
    </row>
    <row r="53" spans="1:64" x14ac:dyDescent="0.35">
      <c r="A53" t="s">
        <v>409</v>
      </c>
      <c r="B53" t="s">
        <v>410</v>
      </c>
      <c r="C53" t="s">
        <v>349</v>
      </c>
      <c r="D53">
        <v>0</v>
      </c>
      <c r="F53">
        <v>-1</v>
      </c>
      <c r="AF53" t="s">
        <v>331</v>
      </c>
      <c r="AG53" t="s">
        <v>331</v>
      </c>
      <c r="AQ53" t="s">
        <v>410</v>
      </c>
      <c r="AR53">
        <v>4</v>
      </c>
      <c r="AZ53" s="2"/>
      <c r="BH53" s="2">
        <f t="shared" si="12"/>
        <v>0</v>
      </c>
    </row>
    <row r="54" spans="1:64" x14ac:dyDescent="0.3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c r="AE54" s="2"/>
      <c r="AF54" s="2" t="s">
        <v>331</v>
      </c>
      <c r="AG54" s="2" t="s">
        <v>331</v>
      </c>
      <c r="AH54" s="2"/>
      <c r="AI54" t="s">
        <v>410</v>
      </c>
      <c r="AJ54" s="2"/>
      <c r="AO54" t="s">
        <v>403</v>
      </c>
      <c r="AP54" t="s">
        <v>515</v>
      </c>
      <c r="AQ54" t="s">
        <v>559</v>
      </c>
      <c r="AR54">
        <v>5</v>
      </c>
      <c r="AT54" t="s">
        <v>276</v>
      </c>
      <c r="AU54" t="s">
        <v>276</v>
      </c>
      <c r="AX54" s="2">
        <f>(SQRT(N54*U54)*POWER((MIN(P54,20)+SQRT(MAX(P54-20,0))),0.9)*Data!$B$1)*(1-(V54-1))</f>
        <v>9.7269122773484167</v>
      </c>
      <c r="AY54" s="2"/>
      <c r="AZ54" s="2">
        <f>((POWER((N54*N54*U54), 0.33)*LOG10(S54)*10*Data!$B$1)*V54)+AY54</f>
        <v>12.483928865764204</v>
      </c>
      <c r="BA54" s="2">
        <f>N54/1.24</f>
        <v>12.903225806451614</v>
      </c>
      <c r="BB54" s="2">
        <f>AK54/1.24</f>
        <v>0</v>
      </c>
      <c r="BE54" s="2">
        <v>2</v>
      </c>
      <c r="BF54" s="2">
        <v>2</v>
      </c>
      <c r="BG54" s="2">
        <f>U54/BF54</f>
        <v>6</v>
      </c>
      <c r="BH54" s="2">
        <f t="shared" si="12"/>
        <v>12</v>
      </c>
      <c r="BI54" s="3"/>
      <c r="BJ54" s="3"/>
      <c r="BK54" s="3"/>
      <c r="BL54" s="2" t="str">
        <f>CONCATENATE(
ROUND(BI54*VLOOKUP(L54,'ID Scheme'!$A$2:$E$7,3),0), "x",
ROUND(BJ54*VLOOKUP(L54,'ID Scheme'!$A$2:$E$7,5),0), "x",
ROUND(BK54*VLOOKUP(L54,'ID Scheme'!$A$2:$E$7,4),0))</f>
        <v>0x0x0</v>
      </c>
    </row>
    <row r="55" spans="1:64" x14ac:dyDescent="0.35">
      <c r="A55" t="s">
        <v>566</v>
      </c>
      <c r="B55" t="s">
        <v>564</v>
      </c>
      <c r="C55" t="s">
        <v>349</v>
      </c>
      <c r="D55">
        <v>0</v>
      </c>
      <c r="F55">
        <v>-1</v>
      </c>
      <c r="Z55" t="s">
        <v>331</v>
      </c>
      <c r="AF55" t="s">
        <v>331</v>
      </c>
      <c r="AG55" t="s">
        <v>331</v>
      </c>
      <c r="AQ55" t="s">
        <v>565</v>
      </c>
      <c r="AR55">
        <v>4</v>
      </c>
      <c r="AZ55" s="2"/>
      <c r="BH55" s="2">
        <f t="shared" si="12"/>
        <v>0</v>
      </c>
    </row>
    <row r="56" spans="1:64" x14ac:dyDescent="0.3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c r="AE56" s="2"/>
      <c r="AF56" s="2" t="s">
        <v>331</v>
      </c>
      <c r="AG56" s="2" t="s">
        <v>331</v>
      </c>
      <c r="AH56" s="2"/>
      <c r="AI56" t="s">
        <v>564</v>
      </c>
      <c r="AJ56" s="2"/>
      <c r="AO56" t="s">
        <v>403</v>
      </c>
      <c r="AP56" t="s">
        <v>515</v>
      </c>
      <c r="AQ56" t="s">
        <v>569</v>
      </c>
      <c r="AR56">
        <v>5</v>
      </c>
      <c r="AT56" t="s">
        <v>276</v>
      </c>
      <c r="AU56" t="s">
        <v>276</v>
      </c>
      <c r="AX56" s="2">
        <f>(SQRT(N56*U56)*POWER((MIN(P56,20)+SQRT(MAX(P56-20,0))),0.9)*Data!$B$1)*(1-(V56-1))</f>
        <v>11.143577947286104</v>
      </c>
      <c r="AY56" s="2"/>
      <c r="AZ56" s="2">
        <f>((POWER((N56*N56*U56), 0.33)*LOG10(S56)*10*Data!$B$1)*V56)+AY56</f>
        <v>14.197255258033142</v>
      </c>
      <c r="BA56" s="2">
        <f>N56/1.24</f>
        <v>14.516129032258064</v>
      </c>
      <c r="BB56" s="2">
        <f>AK56/1.24</f>
        <v>0</v>
      </c>
      <c r="BE56" s="2">
        <v>2</v>
      </c>
      <c r="BF56" s="2">
        <v>2</v>
      </c>
      <c r="BG56" s="2">
        <f>U56/BF56</f>
        <v>7</v>
      </c>
      <c r="BH56" s="2">
        <f t="shared" si="12"/>
        <v>14</v>
      </c>
      <c r="BI56" s="3"/>
      <c r="BJ56" s="3"/>
      <c r="BK56" s="3"/>
      <c r="BL56" s="2" t="str">
        <f>CONCATENATE(
ROUND(BI56*VLOOKUP(L56,'ID Scheme'!$A$2:$E$7,3),0), "x",
ROUND(BJ56*VLOOKUP(L56,'ID Scheme'!$A$2:$E$7,5),0), "x",
ROUND(BK56*VLOOKUP(L56,'ID Scheme'!$A$2:$E$7,4),0))</f>
        <v>0x0x0</v>
      </c>
    </row>
    <row r="57" spans="1:64" x14ac:dyDescent="0.35">
      <c r="A57" t="s">
        <v>39</v>
      </c>
      <c r="B57" t="s">
        <v>227</v>
      </c>
      <c r="C57" t="s">
        <v>327</v>
      </c>
      <c r="D57">
        <f>IF(H57 &gt; 2020, ((H57-2020)*4)+1610+J57,IF(H57 &gt; 1900, ((H57-1900)*10)+400+J57, ((H57-1730)*2)+J57))+VLOOKUP(L57,'ID Scheme'!$A$2:$B$7,2, FALSE)</f>
        <v>2935</v>
      </c>
      <c r="F57">
        <v>2935</v>
      </c>
      <c r="G57" t="s">
        <v>683</v>
      </c>
      <c r="H57">
        <v>1897</v>
      </c>
      <c r="I57">
        <v>1</v>
      </c>
      <c r="J57">
        <v>1</v>
      </c>
      <c r="K57" t="s">
        <v>522</v>
      </c>
      <c r="L57" t="s">
        <v>13</v>
      </c>
      <c r="M57" t="s">
        <v>508</v>
      </c>
      <c r="N57">
        <v>20</v>
      </c>
      <c r="O57">
        <v>20</v>
      </c>
      <c r="P57">
        <v>15</v>
      </c>
      <c r="Q57">
        <v>5</v>
      </c>
      <c r="R57">
        <v>4</v>
      </c>
      <c r="S57">
        <v>20</v>
      </c>
      <c r="T57">
        <v>20</v>
      </c>
      <c r="U57">
        <v>13</v>
      </c>
      <c r="V57">
        <v>1</v>
      </c>
      <c r="W57" t="s">
        <v>288</v>
      </c>
      <c r="X57">
        <v>-3</v>
      </c>
      <c r="Y57" s="2" t="s">
        <v>329</v>
      </c>
      <c r="Z57" s="2"/>
      <c r="AA57" s="2"/>
      <c r="AB57" s="2"/>
      <c r="AC57" s="2"/>
      <c r="AD57" s="2"/>
      <c r="AE57" s="2"/>
      <c r="AF57" s="2" t="s">
        <v>331</v>
      </c>
      <c r="AG57" s="2" t="s">
        <v>331</v>
      </c>
      <c r="AH57" s="2"/>
      <c r="AI57" s="2"/>
      <c r="AJ57" s="2"/>
      <c r="AR57">
        <v>6</v>
      </c>
      <c r="AX57" s="2">
        <f>(SQRT(N57*U57)*POWER((MIN(P57,20)+SQRT(MAX(P57-20,0))),0.9)*Data!$B$1)*(1-(V57-1))</f>
        <v>13.836621803521316</v>
      </c>
      <c r="AY57" s="2"/>
      <c r="AZ57" s="2">
        <f>((POWER((N57*N57*U57), 0.33)*LOG10(S57)*10*Data!$B$1)*V57)+AY57</f>
        <v>16.429701619516372</v>
      </c>
      <c r="BA57" s="2">
        <f>N57/1.24</f>
        <v>16.129032258064516</v>
      </c>
      <c r="BB57" s="2">
        <f>AK57/1.24</f>
        <v>0</v>
      </c>
      <c r="BE57" s="2">
        <v>1</v>
      </c>
      <c r="BF57" s="2">
        <v>1</v>
      </c>
      <c r="BG57" s="2">
        <f>U57/BF57</f>
        <v>13</v>
      </c>
      <c r="BH57" s="2">
        <f>(U57)/MAX(BE57-(1+BD57), 1)</f>
        <v>13</v>
      </c>
      <c r="BI57" s="3"/>
      <c r="BJ57" s="3"/>
      <c r="BK57" s="3"/>
      <c r="BL57" s="2" t="str">
        <f>CONCATENATE(
ROUND(BI57*VLOOKUP(L57,'ID Scheme'!$A$2:$E$7,3),0), "x",
ROUND(BJ57*VLOOKUP(L57,'ID Scheme'!$A$2:$E$7,5),0), "x",
ROUND(BK57*VLOOKUP(L57,'ID Scheme'!$A$2:$E$7,4),0))</f>
        <v>0x0x0</v>
      </c>
    </row>
    <row r="58" spans="1:64" x14ac:dyDescent="0.35">
      <c r="A58" t="s">
        <v>8</v>
      </c>
      <c r="B58" t="s">
        <v>196</v>
      </c>
      <c r="C58" t="s">
        <v>327</v>
      </c>
      <c r="D58">
        <f>IF(H58 &gt; 2020, ((H58-2020)*4)+1610+J58,IF(H58 &gt; 1900, ((H58-1900)*10)+400+J58, ((H58-1730)*2)+J58))+VLOOKUP(L58,'ID Scheme'!$A$2:$B$7,2, FALSE)</f>
        <v>3021</v>
      </c>
      <c r="F58">
        <v>3021</v>
      </c>
      <c r="G58" t="s">
        <v>683</v>
      </c>
      <c r="H58">
        <v>1902</v>
      </c>
      <c r="I58">
        <v>1</v>
      </c>
      <c r="J58">
        <v>1</v>
      </c>
      <c r="K58" t="s">
        <v>522</v>
      </c>
      <c r="L58" t="s">
        <v>13</v>
      </c>
      <c r="M58" t="s">
        <v>508</v>
      </c>
      <c r="N58">
        <v>19</v>
      </c>
      <c r="O58">
        <v>20</v>
      </c>
      <c r="P58">
        <v>15</v>
      </c>
      <c r="Q58">
        <v>5</v>
      </c>
      <c r="R58">
        <v>5</v>
      </c>
      <c r="S58">
        <v>35</v>
      </c>
      <c r="T58">
        <v>20</v>
      </c>
      <c r="U58">
        <v>16</v>
      </c>
      <c r="V58">
        <v>1</v>
      </c>
      <c r="W58" t="s">
        <v>288</v>
      </c>
      <c r="X58">
        <v>-3</v>
      </c>
      <c r="Y58" s="2" t="s">
        <v>332</v>
      </c>
      <c r="Z58" s="2"/>
      <c r="AA58" s="2"/>
      <c r="AB58" s="2"/>
      <c r="AC58" s="2"/>
      <c r="AD58" s="2"/>
      <c r="AE58" s="2"/>
      <c r="AF58" s="2" t="s">
        <v>331</v>
      </c>
      <c r="AG58" s="2" t="s">
        <v>331</v>
      </c>
      <c r="AH58" s="2"/>
      <c r="AI58" s="2"/>
      <c r="AJ58" s="2"/>
      <c r="AR58">
        <v>8</v>
      </c>
      <c r="AX58" s="2">
        <f>(SQRT(N58*U58)*POWER((MIN(P58,20)+SQRT(MAX(P58-20,0))),0.9)*Data!$B$1)*(1-(V58-1))</f>
        <v>14.961674023450612</v>
      </c>
      <c r="AY58" s="2"/>
      <c r="AZ58" s="2">
        <f>((POWER((N58*N58*U58), 0.33)*LOG10(S58)*10*Data!$B$1)*V58)+AY58</f>
        <v>20.186669341050663</v>
      </c>
      <c r="BA58" s="2">
        <f>N58/1.24</f>
        <v>15.32258064516129</v>
      </c>
      <c r="BB58" s="2">
        <f>AK58/1.24</f>
        <v>0</v>
      </c>
      <c r="BE58" s="2">
        <v>1</v>
      </c>
      <c r="BF58" s="2">
        <v>1</v>
      </c>
      <c r="BG58" s="2">
        <f>U58/BF58</f>
        <v>16</v>
      </c>
      <c r="BH58" s="2">
        <f>(U58)/MAX(BE58-(1+BD58), 1)</f>
        <v>16</v>
      </c>
      <c r="BI58" s="3"/>
      <c r="BJ58" s="3"/>
      <c r="BK58" s="3"/>
      <c r="BL58" s="2" t="str">
        <f>CONCATENATE(
ROUND(BI58*VLOOKUP(L58,'ID Scheme'!$A$2:$E$7,3),0), "x",
ROUND(BJ58*VLOOKUP(L58,'ID Scheme'!$A$2:$E$7,5),0), "x",
ROUND(BK58*VLOOKUP(L58,'ID Scheme'!$A$2:$E$7,4),0))</f>
        <v>0x0x0</v>
      </c>
    </row>
    <row r="59" spans="1:64" x14ac:dyDescent="0.35">
      <c r="A59" t="s">
        <v>571</v>
      </c>
      <c r="B59" t="s">
        <v>572</v>
      </c>
      <c r="C59" t="s">
        <v>349</v>
      </c>
      <c r="D59">
        <v>0</v>
      </c>
      <c r="F59">
        <v>-1</v>
      </c>
      <c r="Z59" t="s">
        <v>331</v>
      </c>
      <c r="AB59" t="s">
        <v>331</v>
      </c>
      <c r="AF59" t="s">
        <v>331</v>
      </c>
      <c r="AG59" t="s">
        <v>331</v>
      </c>
      <c r="AQ59" t="s">
        <v>572</v>
      </c>
      <c r="AR59">
        <v>4</v>
      </c>
      <c r="AZ59" s="2"/>
      <c r="BH59" s="2">
        <f t="shared" si="12"/>
        <v>0</v>
      </c>
    </row>
    <row r="60" spans="1:64" x14ac:dyDescent="0.35">
      <c r="A60" t="s">
        <v>573</v>
      </c>
      <c r="B60" t="s">
        <v>574</v>
      </c>
      <c r="C60" t="s">
        <v>348</v>
      </c>
      <c r="D60">
        <f>IF(H60 &gt; 2020, ((H60-2020)*4)+1610+J60,IF(H60 &gt; 1900, ((H60-1900)*10)+400+J60, ((H60-1730)*2)+J60))+VLOOKUP(L60,'ID Scheme'!$A$2:$B$7,2, FALSE)</f>
        <v>2879</v>
      </c>
      <c r="F60">
        <v>2879</v>
      </c>
      <c r="G60" t="s">
        <v>683</v>
      </c>
      <c r="H60">
        <v>1869</v>
      </c>
      <c r="I60">
        <v>1</v>
      </c>
      <c r="J60">
        <v>1</v>
      </c>
      <c r="K60" t="s">
        <v>522</v>
      </c>
      <c r="L60" t="s">
        <v>13</v>
      </c>
      <c r="M60" t="s">
        <v>501</v>
      </c>
      <c r="N60">
        <v>16</v>
      </c>
      <c r="O60">
        <v>52</v>
      </c>
      <c r="P60">
        <v>32</v>
      </c>
      <c r="Q60">
        <v>5</v>
      </c>
      <c r="R60">
        <v>19</v>
      </c>
      <c r="S60">
        <v>85</v>
      </c>
      <c r="T60">
        <v>18</v>
      </c>
      <c r="U60">
        <v>36</v>
      </c>
      <c r="V60">
        <v>1</v>
      </c>
      <c r="W60" t="s">
        <v>288</v>
      </c>
      <c r="X60">
        <v>-4</v>
      </c>
      <c r="Y60" s="2" t="s">
        <v>575</v>
      </c>
      <c r="Z60" s="2" t="s">
        <v>331</v>
      </c>
      <c r="AA60" s="2"/>
      <c r="AB60" s="2"/>
      <c r="AC60" s="2"/>
      <c r="AD60" s="2"/>
      <c r="AE60" s="2"/>
      <c r="AF60" s="2" t="s">
        <v>331</v>
      </c>
      <c r="AG60" s="2" t="s">
        <v>331</v>
      </c>
      <c r="AH60" s="2"/>
      <c r="AI60" t="s">
        <v>572</v>
      </c>
      <c r="AJ60" s="2"/>
      <c r="AM60">
        <v>1</v>
      </c>
      <c r="AO60" t="s">
        <v>408</v>
      </c>
      <c r="AP60" t="s">
        <v>662</v>
      </c>
      <c r="AQ60" t="s">
        <v>576</v>
      </c>
      <c r="AR60">
        <v>6</v>
      </c>
      <c r="AX60" s="2">
        <f>(SQRT(N60*U60)*POWER((MIN(P60,20)+SQRT(MAX(P60-20,0))),0.9)*Data!$B$1)*(1-(V60-1))</f>
        <v>30.806051902406423</v>
      </c>
      <c r="AY60" s="2"/>
      <c r="AZ60" s="2">
        <f>((POWER((N60*N60*U60), 0.33)*LOG10(S60)*10*Data!$B$1)*V60)+AY60</f>
        <v>29.429766164771721</v>
      </c>
      <c r="BA60" s="2">
        <f>N60/1.24</f>
        <v>12.903225806451614</v>
      </c>
      <c r="BB60" s="2">
        <f>AK60/1.24</f>
        <v>0</v>
      </c>
      <c r="BC60" s="2">
        <v>2</v>
      </c>
      <c r="BE60" s="2">
        <v>3</v>
      </c>
      <c r="BF60" s="2">
        <v>3</v>
      </c>
      <c r="BG60" s="2">
        <f>U60/BF60</f>
        <v>12</v>
      </c>
      <c r="BH60" s="2">
        <f t="shared" si="12"/>
        <v>18</v>
      </c>
      <c r="BI60" s="3">
        <v>3.4</v>
      </c>
      <c r="BJ60" s="3">
        <v>2</v>
      </c>
      <c r="BK60" s="3">
        <v>2.5</v>
      </c>
      <c r="BL60" s="2" t="str">
        <f>CONCATENATE(
ROUND(BI60*VLOOKUP(L60,'ID Scheme'!$A$2:$E$7,3),0), "x",
ROUND(BJ60*VLOOKUP(L60,'ID Scheme'!$A$2:$E$7,5),0), "x",
ROUND(BK60*VLOOKUP(L60,'ID Scheme'!$A$2:$E$7,4),0))</f>
        <v>32x29x24</v>
      </c>
    </row>
    <row r="61" spans="1:64" x14ac:dyDescent="0.35">
      <c r="A61" t="s">
        <v>642</v>
      </c>
      <c r="B61" t="s">
        <v>643</v>
      </c>
      <c r="C61" t="s">
        <v>348</v>
      </c>
      <c r="D61">
        <f>IF(H61 &gt; 2020, ((H61-2020)*4)+1610+J61,IF(H61 &gt; 1900, ((H61-1900)*10)+400+J61, ((H61-1730)*2)+J61))+VLOOKUP(L61,'ID Scheme'!$A$2:$B$7,2, FALSE)</f>
        <v>3291</v>
      </c>
      <c r="F61">
        <v>3291</v>
      </c>
      <c r="G61" t="s">
        <v>683</v>
      </c>
      <c r="H61">
        <v>1929</v>
      </c>
      <c r="I61">
        <v>1</v>
      </c>
      <c r="J61">
        <v>1</v>
      </c>
      <c r="K61" t="s">
        <v>524</v>
      </c>
      <c r="L61" t="s">
        <v>13</v>
      </c>
      <c r="M61" t="s">
        <v>644</v>
      </c>
      <c r="N61">
        <v>20</v>
      </c>
      <c r="O61">
        <v>15</v>
      </c>
      <c r="P61">
        <v>12</v>
      </c>
      <c r="Q61">
        <v>5</v>
      </c>
      <c r="R61">
        <v>4</v>
      </c>
      <c r="S61">
        <v>20</v>
      </c>
      <c r="T61">
        <v>20</v>
      </c>
      <c r="U61">
        <v>12</v>
      </c>
      <c r="V61">
        <v>1</v>
      </c>
      <c r="W61" t="s">
        <v>289</v>
      </c>
      <c r="X61">
        <v>-2</v>
      </c>
      <c r="Y61" s="2" t="s">
        <v>645</v>
      </c>
      <c r="Z61" s="2" t="s">
        <v>331</v>
      </c>
      <c r="AA61" s="2"/>
      <c r="AB61" s="2"/>
      <c r="AC61" s="2"/>
      <c r="AD61" s="2"/>
      <c r="AE61" s="2"/>
      <c r="AF61" s="2" t="s">
        <v>331</v>
      </c>
      <c r="AG61" s="2" t="s">
        <v>331</v>
      </c>
      <c r="AH61" s="2"/>
      <c r="AI61" t="s">
        <v>572</v>
      </c>
      <c r="AJ61" s="2"/>
      <c r="AM61">
        <v>1</v>
      </c>
      <c r="AO61" t="s">
        <v>403</v>
      </c>
      <c r="AP61" t="s">
        <v>647</v>
      </c>
      <c r="AQ61" t="s">
        <v>646</v>
      </c>
      <c r="AR61">
        <v>4</v>
      </c>
      <c r="AX61" s="2">
        <f>(SQRT(N61*U61)*POWER((MIN(P61,20)+SQRT(MAX(P61-20,0))),0.9)*Data!$B$1)*(1-(V61-1))</f>
        <v>10.875018531664175</v>
      </c>
      <c r="AY61" s="2"/>
      <c r="AZ61" s="2">
        <f>((POWER((N61*N61*U61), 0.33)*LOG10(S61)*10*Data!$B$1)*V61)+AY61</f>
        <v>16.001407348308714</v>
      </c>
      <c r="BA61" s="2">
        <f>N61/1.24</f>
        <v>16.129032258064516</v>
      </c>
      <c r="BB61" s="2">
        <f>AK61/1.24</f>
        <v>0</v>
      </c>
      <c r="BE61" s="2">
        <v>2</v>
      </c>
      <c r="BF61" s="2">
        <v>2</v>
      </c>
      <c r="BG61" s="2">
        <f>U61/BF61</f>
        <v>6</v>
      </c>
      <c r="BH61" s="2">
        <f t="shared" si="12"/>
        <v>12</v>
      </c>
      <c r="BI61" s="3">
        <v>3.4</v>
      </c>
      <c r="BJ61" s="3">
        <v>2</v>
      </c>
      <c r="BK61" s="3">
        <v>2.5</v>
      </c>
      <c r="BL61" s="2" t="str">
        <f>CONCATENATE(
ROUND(BI61*VLOOKUP(L61,'ID Scheme'!$A$2:$E$7,3),0), "x",
ROUND(BJ61*VLOOKUP(L61,'ID Scheme'!$A$2:$E$7,5),0), "x",
ROUND(BK61*VLOOKUP(L61,'ID Scheme'!$A$2:$E$7,4),0))</f>
        <v>32x29x24</v>
      </c>
    </row>
    <row r="62" spans="1:64" x14ac:dyDescent="0.35">
      <c r="A62" t="s">
        <v>39</v>
      </c>
      <c r="B62" t="s">
        <v>771</v>
      </c>
      <c r="C62" t="s">
        <v>348</v>
      </c>
      <c r="D62">
        <f>IF(H62 &gt; 2020, ((H62-2020)*4)+1610+J62,IF(H62 &gt; 1900, ((H62-1900)*10)+400+J62, ((H62-1730)*2)+J62))+VLOOKUP(L62,'ID Scheme'!$A$2:$B$7,2, FALSE)</f>
        <v>2936</v>
      </c>
      <c r="E62">
        <v>2935</v>
      </c>
      <c r="F62">
        <v>2936</v>
      </c>
      <c r="G62" t="s">
        <v>683</v>
      </c>
      <c r="H62">
        <v>1897</v>
      </c>
      <c r="I62">
        <v>1</v>
      </c>
      <c r="J62">
        <v>2</v>
      </c>
      <c r="K62" t="s">
        <v>522</v>
      </c>
      <c r="L62" t="s">
        <v>13</v>
      </c>
      <c r="M62" t="s">
        <v>508</v>
      </c>
      <c r="N62">
        <v>20</v>
      </c>
      <c r="O62">
        <v>20</v>
      </c>
      <c r="P62">
        <v>15</v>
      </c>
      <c r="Q62">
        <v>5</v>
      </c>
      <c r="R62">
        <v>6</v>
      </c>
      <c r="S62">
        <v>20</v>
      </c>
      <c r="T62">
        <v>20</v>
      </c>
      <c r="U62">
        <v>18</v>
      </c>
      <c r="V62">
        <v>1</v>
      </c>
      <c r="W62" t="s">
        <v>288</v>
      </c>
      <c r="X62">
        <v>-3</v>
      </c>
      <c r="Y62" s="2" t="s">
        <v>329</v>
      </c>
      <c r="Z62" s="2" t="s">
        <v>331</v>
      </c>
      <c r="AA62" s="2" t="s">
        <v>331</v>
      </c>
      <c r="AB62" s="2"/>
      <c r="AC62" s="2"/>
      <c r="AD62" s="2"/>
      <c r="AE62" s="2"/>
      <c r="AF62" s="2" t="s">
        <v>331</v>
      </c>
      <c r="AG62" s="2" t="s">
        <v>331</v>
      </c>
      <c r="AH62" s="2"/>
      <c r="AI62" t="s">
        <v>572</v>
      </c>
      <c r="AJ62" s="2"/>
      <c r="AM62">
        <v>1</v>
      </c>
      <c r="AN62" t="s">
        <v>778</v>
      </c>
      <c r="AO62" t="s">
        <v>403</v>
      </c>
      <c r="AP62" t="s">
        <v>767</v>
      </c>
      <c r="AQ62" t="s">
        <v>789</v>
      </c>
      <c r="AR62">
        <v>6</v>
      </c>
      <c r="AU62" t="s">
        <v>227</v>
      </c>
      <c r="AV62">
        <v>1</v>
      </c>
      <c r="AX62" s="2">
        <f>(SQRT(N62*U62)*POWER((MIN(P62,20)+SQRT(MAX(P62-20,0))),0.9)*Data!$B$1)*(1-(V62-1))</f>
        <v>16.28150874885198</v>
      </c>
      <c r="AY62" s="2"/>
      <c r="AZ62" s="2">
        <f>((POWER((N62*N62*U62), 0.33)*LOG10(S62)*10*Data!$B$1)*V62)+AY62</f>
        <v>18.292299214217149</v>
      </c>
      <c r="BA62" s="2">
        <f t="shared" ref="BA62" si="47">N62/1.24</f>
        <v>16.129032258064516</v>
      </c>
      <c r="BB62" s="2">
        <f t="shared" ref="BB62" si="48">AK62/1.24</f>
        <v>0</v>
      </c>
      <c r="BE62" s="2">
        <v>2</v>
      </c>
      <c r="BF62" s="2">
        <v>2</v>
      </c>
      <c r="BG62" s="2">
        <f t="shared" ref="BG62" si="49">U62/BF62</f>
        <v>9</v>
      </c>
      <c r="BH62" s="2">
        <f t="shared" ref="BH62" si="50">(U62)/MAX(BE62-(1+BD62), 1)</f>
        <v>18</v>
      </c>
      <c r="BI62" s="3"/>
      <c r="BJ62" s="3"/>
      <c r="BK62" s="3"/>
      <c r="BL62" s="2" t="str">
        <f>CONCATENATE(
ROUND(BI62*VLOOKUP(L62,'ID Scheme'!$A$2:$E$7,3),0), "x",
ROUND(BJ62*VLOOKUP(L62,'ID Scheme'!$A$2:$E$7,5),0), "x",
ROUND(BK62*VLOOKUP(L62,'ID Scheme'!$A$2:$E$7,4),0))</f>
        <v>0x0x0</v>
      </c>
    </row>
    <row r="63" spans="1:64" x14ac:dyDescent="0.35">
      <c r="A63" t="s">
        <v>8</v>
      </c>
      <c r="B63" t="s">
        <v>772</v>
      </c>
      <c r="C63" t="s">
        <v>348</v>
      </c>
      <c r="D63">
        <f>IF(H63 &gt; 2020, ((H63-2020)*4)+1610+J63,IF(H63 &gt; 1900, ((H63-1900)*10)+400+J63, ((H63-1730)*2)+J63))+VLOOKUP(L63,'ID Scheme'!$A$2:$B$7,2, FALSE)</f>
        <v>3022</v>
      </c>
      <c r="E63">
        <v>3021</v>
      </c>
      <c r="F63">
        <v>3022</v>
      </c>
      <c r="G63" t="s">
        <v>683</v>
      </c>
      <c r="H63">
        <v>1902</v>
      </c>
      <c r="I63">
        <v>1</v>
      </c>
      <c r="J63">
        <v>2</v>
      </c>
      <c r="K63" t="s">
        <v>522</v>
      </c>
      <c r="L63" t="s">
        <v>13</v>
      </c>
      <c r="M63" t="s">
        <v>508</v>
      </c>
      <c r="N63">
        <v>19</v>
      </c>
      <c r="O63">
        <v>20</v>
      </c>
      <c r="P63">
        <v>15</v>
      </c>
      <c r="Q63">
        <v>5</v>
      </c>
      <c r="R63">
        <v>7</v>
      </c>
      <c r="S63">
        <v>35</v>
      </c>
      <c r="T63">
        <v>20</v>
      </c>
      <c r="U63">
        <v>22</v>
      </c>
      <c r="V63">
        <v>1</v>
      </c>
      <c r="W63" t="s">
        <v>288</v>
      </c>
      <c r="X63">
        <v>-3</v>
      </c>
      <c r="Y63" s="2" t="s">
        <v>332</v>
      </c>
      <c r="Z63" s="2" t="s">
        <v>331</v>
      </c>
      <c r="AA63" s="2" t="s">
        <v>331</v>
      </c>
      <c r="AB63" s="2"/>
      <c r="AC63" s="2"/>
      <c r="AD63" s="2"/>
      <c r="AE63" s="2"/>
      <c r="AF63" s="2" t="s">
        <v>331</v>
      </c>
      <c r="AG63" s="2" t="s">
        <v>331</v>
      </c>
      <c r="AH63" s="2"/>
      <c r="AI63" t="s">
        <v>572</v>
      </c>
      <c r="AJ63" s="2"/>
      <c r="AM63">
        <v>1</v>
      </c>
      <c r="AN63" t="s">
        <v>779</v>
      </c>
      <c r="AO63" t="s">
        <v>403</v>
      </c>
      <c r="AP63" t="s">
        <v>765</v>
      </c>
      <c r="AQ63" t="s">
        <v>788</v>
      </c>
      <c r="AR63">
        <v>8</v>
      </c>
      <c r="AU63" t="s">
        <v>196</v>
      </c>
      <c r="AV63">
        <v>1</v>
      </c>
      <c r="AX63" s="2">
        <f>(SQRT(N63*U63)*POWER((MIN(P63,20)+SQRT(MAX(P63-20,0))),0.9)*Data!$B$1)*(1-(V63-1))</f>
        <v>17.544117908233392</v>
      </c>
      <c r="AY63" s="2"/>
      <c r="AZ63" s="2">
        <f>((POWER((N63*N63*U63), 0.33)*LOG10(S63)*10*Data!$B$1)*V63)+AY63</f>
        <v>22.423559829057556</v>
      </c>
      <c r="BA63" s="2">
        <f t="shared" ref="BA63" si="51">N63/1.24</f>
        <v>15.32258064516129</v>
      </c>
      <c r="BB63" s="2">
        <f t="shared" ref="BB63" si="52">AK63/1.24</f>
        <v>0</v>
      </c>
      <c r="BE63" s="2">
        <v>2</v>
      </c>
      <c r="BF63" s="2">
        <v>2</v>
      </c>
      <c r="BG63" s="2">
        <f t="shared" ref="BG63" si="53">U63/BF63</f>
        <v>11</v>
      </c>
      <c r="BH63" s="2">
        <f t="shared" ref="BH63" si="54">(U63)/MAX(BE63-(1+BD63), 1)</f>
        <v>22</v>
      </c>
      <c r="BI63" s="3"/>
      <c r="BJ63" s="3"/>
      <c r="BK63" s="3"/>
      <c r="BL63" s="2" t="str">
        <f>CONCATENATE(
ROUND(BI63*VLOOKUP(L63,'ID Scheme'!$A$2:$E$7,3),0), "x",
ROUND(BJ63*VLOOKUP(L63,'ID Scheme'!$A$2:$E$7,5),0), "x",
ROUND(BK63*VLOOKUP(L63,'ID Scheme'!$A$2:$E$7,4),0))</f>
        <v>0x0x0</v>
      </c>
    </row>
    <row r="64" spans="1:64" x14ac:dyDescent="0.35">
      <c r="A64" t="s">
        <v>440</v>
      </c>
      <c r="B64" t="s">
        <v>442</v>
      </c>
      <c r="C64" t="s">
        <v>441</v>
      </c>
      <c r="D64">
        <v>0</v>
      </c>
      <c r="F64">
        <v>-1</v>
      </c>
      <c r="AR64">
        <v>5</v>
      </c>
      <c r="AZ64" s="2"/>
      <c r="BH64" s="2">
        <f t="shared" si="12"/>
        <v>0</v>
      </c>
    </row>
    <row r="65" spans="1:64" x14ac:dyDescent="0.35">
      <c r="A65" t="s">
        <v>72</v>
      </c>
      <c r="B65" t="s">
        <v>217</v>
      </c>
      <c r="C65" t="s">
        <v>438</v>
      </c>
      <c r="D65">
        <v>3481</v>
      </c>
      <c r="F65">
        <v>3481</v>
      </c>
      <c r="G65" t="s">
        <v>683</v>
      </c>
      <c r="H65">
        <v>1948</v>
      </c>
      <c r="I65">
        <v>1</v>
      </c>
      <c r="J65">
        <v>1</v>
      </c>
      <c r="K65" t="s">
        <v>522</v>
      </c>
      <c r="L65" t="s">
        <v>13</v>
      </c>
      <c r="M65" t="s">
        <v>501</v>
      </c>
      <c r="N65">
        <v>43</v>
      </c>
      <c r="O65">
        <v>20</v>
      </c>
      <c r="P65">
        <v>25</v>
      </c>
      <c r="Q65">
        <v>5</v>
      </c>
      <c r="R65">
        <v>1.5</v>
      </c>
      <c r="S65">
        <v>35</v>
      </c>
      <c r="T65">
        <v>20</v>
      </c>
      <c r="U65">
        <v>10</v>
      </c>
      <c r="V65">
        <v>1.7</v>
      </c>
      <c r="W65" t="s">
        <v>289</v>
      </c>
      <c r="X65">
        <v>-4</v>
      </c>
      <c r="Y65" s="2" t="s">
        <v>437</v>
      </c>
      <c r="Z65" s="2"/>
      <c r="AA65" s="2"/>
      <c r="AB65" s="2"/>
      <c r="AC65" s="2"/>
      <c r="AD65" s="2"/>
      <c r="AE65" s="2"/>
      <c r="AF65" s="2"/>
      <c r="AG65" s="2"/>
      <c r="AH65" s="2"/>
      <c r="AI65" t="s">
        <v>442</v>
      </c>
      <c r="AJ65" s="2"/>
      <c r="AM65">
        <v>1</v>
      </c>
      <c r="AO65" t="s">
        <v>403</v>
      </c>
      <c r="AP65" t="s">
        <v>661</v>
      </c>
      <c r="AQ65" t="s">
        <v>547</v>
      </c>
      <c r="AR65">
        <v>2</v>
      </c>
      <c r="AX65" s="2">
        <v>7.6079725967160297</v>
      </c>
      <c r="AY65" s="2">
        <v>-30</v>
      </c>
      <c r="AZ65" s="2">
        <v>20.380885967208812</v>
      </c>
      <c r="BA65" s="2">
        <f t="shared" ref="BA65" si="55">N65/1.24</f>
        <v>34.677419354838712</v>
      </c>
      <c r="BB65" s="2">
        <f>AK65/1.24</f>
        <v>0</v>
      </c>
      <c r="BE65" s="2">
        <v>2</v>
      </c>
      <c r="BF65" s="2">
        <v>2</v>
      </c>
      <c r="BG65" s="2">
        <f t="shared" ref="BG65" si="56">U65/BF65</f>
        <v>5</v>
      </c>
      <c r="BH65" s="2">
        <f t="shared" si="12"/>
        <v>10</v>
      </c>
      <c r="BK65" s="3"/>
      <c r="BL65" s="2" t="s">
        <v>632</v>
      </c>
    </row>
    <row r="66" spans="1:64" x14ac:dyDescent="0.35">
      <c r="A66" t="s">
        <v>593</v>
      </c>
      <c r="B66" t="s">
        <v>594</v>
      </c>
      <c r="C66" t="s">
        <v>324</v>
      </c>
      <c r="D66">
        <f>IF(H66 &gt; 2020, ((H66-2020)*4)+1610+J66,IF(H66 &gt; 1900, ((H66-1900)*10)+400+J66, ((H66-1730)*2)+J66))+VLOOKUP(L66,'ID Scheme'!$A$2:$B$7,2, FALSE)</f>
        <v>541</v>
      </c>
      <c r="F66">
        <v>541</v>
      </c>
      <c r="G66" t="s">
        <v>683</v>
      </c>
      <c r="H66">
        <v>1700</v>
      </c>
      <c r="I66">
        <v>1</v>
      </c>
      <c r="J66">
        <v>1</v>
      </c>
      <c r="K66" t="s">
        <v>523</v>
      </c>
      <c r="L66" t="s">
        <v>12</v>
      </c>
      <c r="M66" t="s">
        <v>508</v>
      </c>
      <c r="N66">
        <v>14</v>
      </c>
      <c r="O66">
        <v>180</v>
      </c>
      <c r="P66">
        <v>12</v>
      </c>
      <c r="Q66">
        <v>4</v>
      </c>
      <c r="R66">
        <v>2</v>
      </c>
      <c r="S66">
        <v>15</v>
      </c>
      <c r="T66">
        <v>20</v>
      </c>
      <c r="U66">
        <v>10</v>
      </c>
      <c r="V66">
        <v>1</v>
      </c>
      <c r="W66" t="s">
        <v>287</v>
      </c>
      <c r="Y66" s="2" t="s">
        <v>595</v>
      </c>
      <c r="Z66" s="2"/>
      <c r="AA66" s="2"/>
      <c r="AB66" s="2"/>
      <c r="AC66" s="2"/>
      <c r="AD66" s="2"/>
      <c r="AE66" s="2"/>
      <c r="AF66" s="2"/>
      <c r="AG66" s="2"/>
      <c r="AH66" s="2"/>
      <c r="AI66" s="2"/>
      <c r="AJ66" s="2">
        <v>150</v>
      </c>
      <c r="AL66" t="s">
        <v>406</v>
      </c>
      <c r="AN66" t="s">
        <v>405</v>
      </c>
      <c r="AO66" t="s">
        <v>406</v>
      </c>
      <c r="AP66" t="s">
        <v>515</v>
      </c>
      <c r="AQ66" t="s">
        <v>596</v>
      </c>
      <c r="AR66">
        <v>5</v>
      </c>
      <c r="AT66" t="s">
        <v>276</v>
      </c>
      <c r="AU66" t="s">
        <v>276</v>
      </c>
      <c r="AX66" s="2">
        <f>(SQRT(N66*U66)*POWER((MIN(P66,20)+SQRT(MAX(P66-20,0))),0.9)*Data!$B$1)*(1-(V66-1))</f>
        <v>8.3059326008997658</v>
      </c>
      <c r="AY66" s="2"/>
      <c r="AZ66" s="2">
        <f>((POWER((N66*N66*U66), 0.33)*LOG10(S66)*10*Data!$B$1)*V66)+AY66</f>
        <v>10.763333305173115</v>
      </c>
      <c r="BA66" s="2">
        <f t="shared" ref="BA66:BA100" si="57">N66/1.24</f>
        <v>11.290322580645162</v>
      </c>
      <c r="BB66" s="2">
        <f t="shared" ref="BB66" si="58">AK66/1.24</f>
        <v>0</v>
      </c>
      <c r="BE66" s="2">
        <v>2</v>
      </c>
      <c r="BF66" s="2">
        <v>2</v>
      </c>
      <c r="BG66" s="2">
        <f t="shared" ref="BG66:BG100" si="59">U66/BF66</f>
        <v>5</v>
      </c>
      <c r="BH66" s="2">
        <f t="shared" si="12"/>
        <v>10</v>
      </c>
      <c r="BI66" s="3"/>
      <c r="BJ66" s="3"/>
      <c r="BK66" s="3"/>
      <c r="BL66" s="2" t="str">
        <f>CONCATENATE(
ROUND(BI66*VLOOKUP(L66,'ID Scheme'!$A$2:$E$7,3),0), "x",
ROUND(BJ66*VLOOKUP(L66,'ID Scheme'!$A$2:$E$7,5),0), "x",
ROUND(BK66*VLOOKUP(L66,'ID Scheme'!$A$2:$E$7,4),0))</f>
        <v>0x0x0</v>
      </c>
    </row>
    <row r="67" spans="1:64" x14ac:dyDescent="0.35">
      <c r="A67" t="s">
        <v>23</v>
      </c>
      <c r="B67" t="s">
        <v>160</v>
      </c>
      <c r="C67" t="s">
        <v>324</v>
      </c>
      <c r="D67">
        <f>IF(H67 &gt; 2020, ((H67-2020)*4)+1610+J67,IF(H67 &gt; 1900, ((H67-1900)*10)+400+J67, ((H67-1730)*2)+J67))+VLOOKUP(L67,'ID Scheme'!$A$2:$B$7,2, FALSE)</f>
        <v>741</v>
      </c>
      <c r="F67">
        <v>741</v>
      </c>
      <c r="G67" t="s">
        <v>683</v>
      </c>
      <c r="H67">
        <v>1800</v>
      </c>
      <c r="I67">
        <v>1</v>
      </c>
      <c r="J67">
        <v>1</v>
      </c>
      <c r="K67" t="s">
        <v>523</v>
      </c>
      <c r="L67" t="s">
        <v>12</v>
      </c>
      <c r="M67" t="s">
        <v>508</v>
      </c>
      <c r="N67">
        <v>18</v>
      </c>
      <c r="O67">
        <v>110</v>
      </c>
      <c r="P67">
        <v>12</v>
      </c>
      <c r="Q67">
        <v>4</v>
      </c>
      <c r="R67">
        <v>1</v>
      </c>
      <c r="S67">
        <v>15</v>
      </c>
      <c r="T67">
        <v>20</v>
      </c>
      <c r="U67">
        <v>12</v>
      </c>
      <c r="V67">
        <v>1</v>
      </c>
      <c r="W67" t="s">
        <v>287</v>
      </c>
      <c r="Y67" s="2" t="s">
        <v>272</v>
      </c>
      <c r="Z67" s="2"/>
      <c r="AA67" s="2"/>
      <c r="AB67" s="2"/>
      <c r="AC67" s="2"/>
      <c r="AD67" s="2"/>
      <c r="AE67" s="2"/>
      <c r="AF67" s="2"/>
      <c r="AG67" s="2"/>
      <c r="AH67" s="2"/>
      <c r="AI67" s="2"/>
      <c r="AJ67" s="2"/>
      <c r="AL67" t="s">
        <v>406</v>
      </c>
      <c r="AN67" t="s">
        <v>405</v>
      </c>
      <c r="AO67" t="s">
        <v>406</v>
      </c>
      <c r="AP67" t="s">
        <v>515</v>
      </c>
      <c r="AQ67" t="s">
        <v>558</v>
      </c>
      <c r="AR67">
        <v>5</v>
      </c>
      <c r="AT67" t="s">
        <v>276</v>
      </c>
      <c r="AU67" t="s">
        <v>276</v>
      </c>
      <c r="AX67" s="2">
        <f>(SQRT(N67*U67)*POWER((MIN(P67,20)+SQRT(MAX(P67-20,0))),0.9)*Data!$B$1)*(1-(V67-1))</f>
        <v>10.316948446979625</v>
      </c>
      <c r="AY67" s="2"/>
      <c r="AZ67" s="2">
        <f>((POWER((N67*N67*U67), 0.33)*LOG10(S67)*10*Data!$B$1)*V67)+AY67</f>
        <v>13.493106560639641</v>
      </c>
      <c r="BA67" s="2">
        <f t="shared" si="57"/>
        <v>14.516129032258064</v>
      </c>
      <c r="BB67" s="2">
        <f t="shared" ref="BB67:BB109" si="60">AK67/1.24</f>
        <v>0</v>
      </c>
      <c r="BE67" s="2">
        <v>2</v>
      </c>
      <c r="BF67" s="2">
        <v>2</v>
      </c>
      <c r="BG67" s="2">
        <f t="shared" si="59"/>
        <v>6</v>
      </c>
      <c r="BH67" s="2">
        <f t="shared" si="12"/>
        <v>12</v>
      </c>
      <c r="BI67" s="3"/>
      <c r="BJ67" s="3"/>
      <c r="BK67" s="3"/>
      <c r="BL67" s="2" t="str">
        <f>CONCATENATE(
ROUND(BI67*VLOOKUP(L67,'ID Scheme'!$A$2:$E$7,3),0), "x",
ROUND(BJ67*VLOOKUP(L67,'ID Scheme'!$A$2:$E$7,5),0), "x",
ROUND(BK67*VLOOKUP(L67,'ID Scheme'!$A$2:$E$7,4),0))</f>
        <v>0x0x0</v>
      </c>
    </row>
    <row r="68" spans="1:64" x14ac:dyDescent="0.35">
      <c r="A68" t="s">
        <v>684</v>
      </c>
      <c r="B68" t="s">
        <v>685</v>
      </c>
      <c r="C68" t="s">
        <v>324</v>
      </c>
      <c r="D68">
        <f>IF(H68 &gt; 2020, ((H68-2020)*4)+1610+J68,IF(H68 &gt; 1900, ((H68-1900)*10)+400+J68, ((H68-1730)*2)+J68))+VLOOKUP(L68,'ID Scheme'!$A$2:$B$7,2, FALSE)</f>
        <v>799</v>
      </c>
      <c r="F68">
        <v>799</v>
      </c>
      <c r="G68" t="s">
        <v>683</v>
      </c>
      <c r="H68">
        <v>1829</v>
      </c>
      <c r="I68">
        <v>6</v>
      </c>
      <c r="J68">
        <v>1</v>
      </c>
      <c r="K68" t="s">
        <v>523</v>
      </c>
      <c r="L68" t="s">
        <v>12</v>
      </c>
      <c r="M68" t="s">
        <v>508</v>
      </c>
      <c r="N68">
        <v>18</v>
      </c>
      <c r="O68">
        <v>85</v>
      </c>
      <c r="P68">
        <v>12</v>
      </c>
      <c r="Q68">
        <v>4</v>
      </c>
      <c r="R68">
        <v>1</v>
      </c>
      <c r="S68">
        <v>15</v>
      </c>
      <c r="T68">
        <v>20</v>
      </c>
      <c r="U68">
        <v>18</v>
      </c>
      <c r="V68">
        <v>1</v>
      </c>
      <c r="W68" t="s">
        <v>287</v>
      </c>
      <c r="Y68" s="2" t="s">
        <v>686</v>
      </c>
      <c r="Z68" s="2"/>
      <c r="AA68" s="2"/>
      <c r="AB68" s="2"/>
      <c r="AC68" s="2"/>
      <c r="AD68" s="2"/>
      <c r="AE68" s="2"/>
      <c r="AF68" s="2"/>
      <c r="AG68" s="2"/>
      <c r="AH68" s="2"/>
      <c r="AI68" s="2"/>
      <c r="AJ68" s="2"/>
      <c r="AL68" t="s">
        <v>406</v>
      </c>
      <c r="AN68" t="s">
        <v>688</v>
      </c>
      <c r="AO68" t="s">
        <v>406</v>
      </c>
      <c r="AP68" t="s">
        <v>515</v>
      </c>
      <c r="AQ68" t="s">
        <v>687</v>
      </c>
      <c r="AR68">
        <v>5</v>
      </c>
      <c r="AT68" t="s">
        <v>276</v>
      </c>
      <c r="AU68" t="s">
        <v>276</v>
      </c>
      <c r="AX68" s="2">
        <f>(SQRT(N68*U68)*POWER((MIN(P68,20)+SQRT(MAX(P68-20,0))),0.9)*Data!$B$1)*(1-(V68-1))</f>
        <v>12.635629698849716</v>
      </c>
      <c r="AY68" s="2"/>
      <c r="AZ68" s="2">
        <f>((POWER((N68*N68*U68), 0.33)*LOG10(S68)*10*Data!$B$1)*V68)+AY68</f>
        <v>15.424889646511295</v>
      </c>
      <c r="BA68" s="2">
        <f t="shared" si="57"/>
        <v>14.516129032258064</v>
      </c>
      <c r="BB68" s="2">
        <f t="shared" si="60"/>
        <v>0</v>
      </c>
      <c r="BE68" s="2">
        <v>2</v>
      </c>
      <c r="BF68" s="2">
        <v>2</v>
      </c>
      <c r="BG68" s="2">
        <f t="shared" si="59"/>
        <v>9</v>
      </c>
      <c r="BH68" s="2">
        <f t="shared" si="12"/>
        <v>18</v>
      </c>
      <c r="BI68" s="3"/>
      <c r="BJ68" s="3"/>
      <c r="BK68" s="3"/>
      <c r="BL68" s="2" t="str">
        <f>CONCATENATE(
ROUND(BI68*VLOOKUP(L68,'ID Scheme'!$A$2:$E$7,3),0), "x",
ROUND(BJ68*VLOOKUP(L68,'ID Scheme'!$A$2:$E$7,5),0), "x",
ROUND(BK68*VLOOKUP(L68,'ID Scheme'!$A$2:$E$7,4),0))</f>
        <v>0x0x0</v>
      </c>
    </row>
    <row r="69" spans="1:64" x14ac:dyDescent="0.35">
      <c r="A69" t="s">
        <v>689</v>
      </c>
      <c r="B69" t="s">
        <v>690</v>
      </c>
      <c r="C69" t="s">
        <v>694</v>
      </c>
      <c r="D69">
        <f>IF(H69 &gt; 2020, ((H69-2020)*4)+1610+J69,IF(H69 &gt; 1900, ((H69-1900)*10)+400+J69, ((H69-1730)*2)+J69))+VLOOKUP(L69,'ID Scheme'!$A$2:$B$7,2, FALSE)</f>
        <v>855</v>
      </c>
      <c r="F69">
        <v>841</v>
      </c>
      <c r="G69" t="s">
        <v>683</v>
      </c>
      <c r="H69">
        <v>1857</v>
      </c>
      <c r="I69">
        <v>2</v>
      </c>
      <c r="J69">
        <v>1</v>
      </c>
      <c r="K69" t="s">
        <v>523</v>
      </c>
      <c r="L69" t="s">
        <v>12</v>
      </c>
      <c r="M69" t="s">
        <v>508</v>
      </c>
      <c r="N69">
        <v>18</v>
      </c>
      <c r="O69">
        <v>62</v>
      </c>
      <c r="P69">
        <v>12</v>
      </c>
      <c r="Q69">
        <v>4</v>
      </c>
      <c r="R69">
        <v>1</v>
      </c>
      <c r="S69">
        <v>15</v>
      </c>
      <c r="T69">
        <v>20</v>
      </c>
      <c r="U69">
        <v>26</v>
      </c>
      <c r="V69">
        <v>1</v>
      </c>
      <c r="W69" t="s">
        <v>287</v>
      </c>
      <c r="Y69" s="2" t="s">
        <v>693</v>
      </c>
      <c r="Z69" s="2"/>
      <c r="AA69" s="2"/>
      <c r="AB69" s="2"/>
      <c r="AC69" s="2"/>
      <c r="AD69" s="2"/>
      <c r="AE69" s="2"/>
      <c r="AF69" s="2"/>
      <c r="AG69" s="2"/>
      <c r="AH69" s="2"/>
      <c r="AI69" s="2"/>
      <c r="AJ69" s="2"/>
      <c r="AL69" t="s">
        <v>406</v>
      </c>
      <c r="AN69" t="s">
        <v>691</v>
      </c>
      <c r="AO69" t="s">
        <v>406</v>
      </c>
      <c r="AP69" t="s">
        <v>515</v>
      </c>
      <c r="AQ69" t="s">
        <v>692</v>
      </c>
      <c r="AR69">
        <v>5</v>
      </c>
      <c r="AT69" t="s">
        <v>276</v>
      </c>
      <c r="AU69" t="s">
        <v>276</v>
      </c>
      <c r="AX69" s="2">
        <f>(SQRT(N69*U69)*POWER((MIN(P69,20)+SQRT(MAX(P69-20,0))),0.9)*Data!$B$1)*(1-(V69-1))</f>
        <v>15.186136925659419</v>
      </c>
      <c r="AY69" s="2"/>
      <c r="AZ69" s="2">
        <f>((POWER((N69*N69*U69), 0.33)*LOG10(S69)*10*Data!$B$1)*V69)+AY69</f>
        <v>17.414994587283896</v>
      </c>
      <c r="BA69" s="2">
        <f t="shared" ref="BA69" si="61">N69/1.24</f>
        <v>14.516129032258064</v>
      </c>
      <c r="BB69" s="2">
        <f t="shared" ref="BB69" si="62">AK69/1.24</f>
        <v>0</v>
      </c>
      <c r="BE69" s="2">
        <v>2</v>
      </c>
      <c r="BF69" s="2">
        <v>2</v>
      </c>
      <c r="BG69" s="2">
        <f t="shared" ref="BG69" si="63">U69/BF69</f>
        <v>13</v>
      </c>
      <c r="BH69" s="2">
        <f t="shared" si="12"/>
        <v>26</v>
      </c>
      <c r="BI69" s="3"/>
      <c r="BJ69" s="3"/>
      <c r="BK69" s="3"/>
      <c r="BL69" s="2" t="str">
        <f>CONCATENATE(
ROUND(BI69*VLOOKUP(L69,'ID Scheme'!$A$2:$E$7,3),0), "x",
ROUND(BJ69*VLOOKUP(L69,'ID Scheme'!$A$2:$E$7,5),0), "x",
ROUND(BK69*VLOOKUP(L69,'ID Scheme'!$A$2:$E$7,4),0))</f>
        <v>0x0x0</v>
      </c>
    </row>
    <row r="70" spans="1:64" x14ac:dyDescent="0.35">
      <c r="A70" t="s">
        <v>36</v>
      </c>
      <c r="B70" t="s">
        <v>163</v>
      </c>
      <c r="C70" t="s">
        <v>285</v>
      </c>
      <c r="D70">
        <f>IF(H70 &gt; 2020, ((H70-2020)*4)+1610+J70,IF(H70 &gt; 1900, ((H70-1900)*10)+400+J70, ((H70-1730)*2)+J70))+VLOOKUP(L70,'ID Scheme'!$A$2:$B$7,2, FALSE)</f>
        <v>807</v>
      </c>
      <c r="F70">
        <v>807</v>
      </c>
      <c r="G70" t="s">
        <v>683</v>
      </c>
      <c r="H70">
        <v>1833</v>
      </c>
      <c r="I70">
        <v>1</v>
      </c>
      <c r="J70">
        <v>1</v>
      </c>
      <c r="K70" t="s">
        <v>523</v>
      </c>
      <c r="L70" t="s">
        <v>12</v>
      </c>
      <c r="M70" t="s">
        <v>508</v>
      </c>
      <c r="N70">
        <v>18</v>
      </c>
      <c r="O70">
        <v>52</v>
      </c>
      <c r="P70">
        <v>20</v>
      </c>
      <c r="Q70">
        <v>4</v>
      </c>
      <c r="R70">
        <v>4</v>
      </c>
      <c r="S70">
        <v>30</v>
      </c>
      <c r="T70">
        <v>20</v>
      </c>
      <c r="U70">
        <v>22</v>
      </c>
      <c r="V70">
        <v>1</v>
      </c>
      <c r="W70" t="s">
        <v>288</v>
      </c>
      <c r="X70">
        <v>2</v>
      </c>
      <c r="Y70" s="2" t="s">
        <v>273</v>
      </c>
      <c r="Z70" s="2"/>
      <c r="AA70" s="2"/>
      <c r="AB70" s="2"/>
      <c r="AC70" s="2"/>
      <c r="AD70" s="2"/>
      <c r="AE70" s="2"/>
      <c r="AF70" s="2"/>
      <c r="AG70" s="2"/>
      <c r="AH70" s="2"/>
      <c r="AI70" s="2"/>
      <c r="AJ70" s="2"/>
      <c r="AR70">
        <v>8</v>
      </c>
      <c r="AX70" s="2">
        <f>(SQRT(N70*U70)*POWER((MIN(P70,20)+SQRT(MAX(P70-20,0))),0.9)*Data!$B$1)*(1-(V70-1))</f>
        <v>22.122583982050454</v>
      </c>
      <c r="AY70" s="2">
        <v>4</v>
      </c>
      <c r="AZ70" s="2">
        <f>((POWER((N70*N70*U70), 0.33)*LOG10(S70)*10*Data!$B$1)*V70)+AY70</f>
        <v>24.699351945933547</v>
      </c>
      <c r="BA70" s="2">
        <f t="shared" si="57"/>
        <v>14.516129032258064</v>
      </c>
      <c r="BB70" s="2">
        <f t="shared" si="60"/>
        <v>0</v>
      </c>
      <c r="BE70" s="2">
        <v>1</v>
      </c>
      <c r="BF70" s="2">
        <v>1</v>
      </c>
      <c r="BG70" s="2">
        <f t="shared" si="59"/>
        <v>22</v>
      </c>
      <c r="BH70" s="2">
        <f t="shared" si="12"/>
        <v>22</v>
      </c>
      <c r="BI70" s="3"/>
      <c r="BJ70" s="3"/>
      <c r="BK70" s="3"/>
      <c r="BL70" s="2" t="str">
        <f>CONCATENATE(
ROUND(BI70*VLOOKUP(L70,'ID Scheme'!$A$2:$E$7,3),0), "x",
ROUND(BJ70*VLOOKUP(L70,'ID Scheme'!$A$2:$E$7,5),0), "x",
ROUND(BK70*VLOOKUP(L70,'ID Scheme'!$A$2:$E$7,4),0))</f>
        <v>0x0x0</v>
      </c>
    </row>
    <row r="71" spans="1:64" x14ac:dyDescent="0.35">
      <c r="A71" t="s">
        <v>652</v>
      </c>
      <c r="B71" t="s">
        <v>653</v>
      </c>
      <c r="C71" t="s">
        <v>291</v>
      </c>
      <c r="D71">
        <f>IF(H71 &gt; 2020, ((H71-2020)*4)+1610+J71,IF(H71 &gt; 1900, ((H71-1900)*10)+400+J71, ((H71-1730)*2)+J71))+VLOOKUP(L71,'ID Scheme'!$A$2:$B$7,2, FALSE)</f>
        <v>903</v>
      </c>
      <c r="F71">
        <v>903</v>
      </c>
      <c r="G71" t="s">
        <v>683</v>
      </c>
      <c r="H71">
        <v>1881</v>
      </c>
      <c r="I71">
        <v>2</v>
      </c>
      <c r="J71">
        <v>1</v>
      </c>
      <c r="K71" t="s">
        <v>523</v>
      </c>
      <c r="L71" t="s">
        <v>12</v>
      </c>
      <c r="M71" t="s">
        <v>508</v>
      </c>
      <c r="N71">
        <v>18</v>
      </c>
      <c r="O71">
        <v>22</v>
      </c>
      <c r="P71">
        <v>18</v>
      </c>
      <c r="Q71">
        <v>4</v>
      </c>
      <c r="R71">
        <v>4</v>
      </c>
      <c r="S71">
        <v>25</v>
      </c>
      <c r="T71">
        <v>20</v>
      </c>
      <c r="U71">
        <v>18</v>
      </c>
      <c r="V71">
        <v>1</v>
      </c>
      <c r="W71" t="s">
        <v>288</v>
      </c>
      <c r="X71">
        <v>2</v>
      </c>
      <c r="Y71" s="2" t="s">
        <v>654</v>
      </c>
      <c r="Z71" s="2"/>
      <c r="AA71" s="2"/>
      <c r="AB71" s="2"/>
      <c r="AC71" s="2"/>
      <c r="AD71" s="2"/>
      <c r="AE71" s="2"/>
      <c r="AF71" s="2"/>
      <c r="AG71" s="2"/>
      <c r="AH71" s="2"/>
      <c r="AI71" s="2"/>
      <c r="AJ71" s="2"/>
      <c r="AR71">
        <v>5</v>
      </c>
      <c r="AX71" s="2">
        <f>(SQRT(N71*U71)*POWER((MIN(P71,20)+SQRT(MAX(P71-20,0))),0.9)*Data!$B$1)*(1-(V71-1))</f>
        <v>18.200319967441867</v>
      </c>
      <c r="AY71" s="2"/>
      <c r="AZ71" s="2">
        <f>((POWER((N71*N71*U71), 0.33)*LOG10(S71)*10*Data!$B$1)*V71)+AY71</f>
        <v>18.334521407397293</v>
      </c>
      <c r="BA71" s="2">
        <f t="shared" ref="BA71" si="64">N71/1.24</f>
        <v>14.516129032258064</v>
      </c>
      <c r="BB71" s="2">
        <f t="shared" si="60"/>
        <v>0</v>
      </c>
      <c r="BE71" s="2">
        <v>1</v>
      </c>
      <c r="BF71" s="2">
        <v>1</v>
      </c>
      <c r="BG71" s="2">
        <f t="shared" ref="BG71" si="65">U71/BF71</f>
        <v>18</v>
      </c>
      <c r="BH71" s="2">
        <f t="shared" si="12"/>
        <v>18</v>
      </c>
      <c r="BI71" s="3"/>
      <c r="BJ71" s="3"/>
      <c r="BK71" s="3"/>
      <c r="BL71" s="2" t="str">
        <f>CONCATENATE(
ROUND(BI71*VLOOKUP(L71,'ID Scheme'!$A$2:$E$7,3),0), "x",
ROUND(BJ71*VLOOKUP(L71,'ID Scheme'!$A$2:$E$7,5),0), "x",
ROUND(BK71*VLOOKUP(L71,'ID Scheme'!$A$2:$E$7,4),0))</f>
        <v>0x0x0</v>
      </c>
    </row>
    <row r="72" spans="1:64" x14ac:dyDescent="0.35">
      <c r="A72" t="s">
        <v>509</v>
      </c>
      <c r="B72" t="s">
        <v>510</v>
      </c>
      <c r="C72" t="s">
        <v>291</v>
      </c>
      <c r="D72">
        <f>IF(H72 &gt; 2020, ((H72-2020)*4)+1610+J72,IF(H72 &gt; 1900, ((H72-1900)*10)+400+J72, ((H72-1730)*2)+J72))+VLOOKUP(L72,'ID Scheme'!$A$2:$B$7,2, FALSE)</f>
        <v>939</v>
      </c>
      <c r="F72">
        <v>939</v>
      </c>
      <c r="G72" t="s">
        <v>683</v>
      </c>
      <c r="H72">
        <v>1899</v>
      </c>
      <c r="I72">
        <v>2</v>
      </c>
      <c r="J72">
        <v>1</v>
      </c>
      <c r="K72" t="s">
        <v>523</v>
      </c>
      <c r="L72" t="s">
        <v>12</v>
      </c>
      <c r="M72" t="s">
        <v>501</v>
      </c>
      <c r="N72">
        <v>20</v>
      </c>
      <c r="O72">
        <v>22</v>
      </c>
      <c r="P72">
        <v>14</v>
      </c>
      <c r="Q72">
        <v>4</v>
      </c>
      <c r="R72">
        <v>5</v>
      </c>
      <c r="S72">
        <v>25</v>
      </c>
      <c r="T72">
        <v>20</v>
      </c>
      <c r="U72">
        <v>24</v>
      </c>
      <c r="V72">
        <v>1</v>
      </c>
      <c r="W72" t="s">
        <v>289</v>
      </c>
      <c r="X72">
        <v>3</v>
      </c>
      <c r="Y72" s="2" t="s">
        <v>511</v>
      </c>
      <c r="Z72" s="2"/>
      <c r="AA72" s="2"/>
      <c r="AB72" s="2"/>
      <c r="AC72" s="2"/>
      <c r="AD72" s="2"/>
      <c r="AE72" s="2"/>
      <c r="AF72" s="2"/>
      <c r="AG72" s="2"/>
      <c r="AH72" s="2"/>
      <c r="AI72" s="2"/>
      <c r="AJ72" s="2"/>
      <c r="AR72">
        <v>7</v>
      </c>
      <c r="AX72" s="2">
        <f>(SQRT(N72*U72)*POWER((MIN(P72,20)+SQRT(MAX(P72-20,0))),0.9)*Data!$B$1)*(1-(V72-1))</f>
        <v>17.668395580782125</v>
      </c>
      <c r="AY72" s="2"/>
      <c r="AZ72" s="2">
        <f>((POWER((N72*N72*U72), 0.33)*LOG10(S72)*10*Data!$B$1)*V72)+AY72</f>
        <v>21.612216267307918</v>
      </c>
      <c r="BA72" s="2">
        <f t="shared" si="57"/>
        <v>16.129032258064516</v>
      </c>
      <c r="BB72" s="2">
        <f t="shared" ref="BB72" si="66">AK72/1.24</f>
        <v>0</v>
      </c>
      <c r="BE72" s="2">
        <v>1</v>
      </c>
      <c r="BF72" s="2">
        <v>1</v>
      </c>
      <c r="BG72" s="2">
        <f t="shared" si="59"/>
        <v>24</v>
      </c>
      <c r="BH72" s="2">
        <f t="shared" si="12"/>
        <v>24</v>
      </c>
      <c r="BI72" s="3"/>
      <c r="BJ72" s="3"/>
      <c r="BK72" s="3"/>
      <c r="BL72" s="2" t="str">
        <f>CONCATENATE(
ROUND(BI72*VLOOKUP(L72,'ID Scheme'!$A$2:$E$7,3),0), "x",
ROUND(BJ72*VLOOKUP(L72,'ID Scheme'!$A$2:$E$7,5),0), "x",
ROUND(BK72*VLOOKUP(L72,'ID Scheme'!$A$2:$E$7,4),0))</f>
        <v>0x0x0</v>
      </c>
    </row>
    <row r="73" spans="1:64" x14ac:dyDescent="0.35">
      <c r="A73" t="s">
        <v>24</v>
      </c>
      <c r="B73" t="s">
        <v>164</v>
      </c>
      <c r="C73" t="s">
        <v>291</v>
      </c>
      <c r="D73">
        <f>IF(H73 &gt; 2020, ((H73-2020)*4)+1610+J73,IF(H73 &gt; 1900, ((H73-1900)*10)+400+J73, ((H73-1730)*2)+J73))+VLOOKUP(L73,'ID Scheme'!$A$2:$B$7,2, FALSE)</f>
        <v>1111</v>
      </c>
      <c r="F73">
        <v>1111</v>
      </c>
      <c r="G73" t="s">
        <v>683</v>
      </c>
      <c r="H73">
        <v>1911</v>
      </c>
      <c r="I73">
        <v>1</v>
      </c>
      <c r="J73">
        <v>1</v>
      </c>
      <c r="K73" t="s">
        <v>523</v>
      </c>
      <c r="L73" t="s">
        <v>12</v>
      </c>
      <c r="M73" t="s">
        <v>501</v>
      </c>
      <c r="N73">
        <v>22</v>
      </c>
      <c r="O73">
        <v>20</v>
      </c>
      <c r="P73">
        <v>15</v>
      </c>
      <c r="Q73">
        <v>5</v>
      </c>
      <c r="R73">
        <v>5</v>
      </c>
      <c r="S73">
        <v>30</v>
      </c>
      <c r="T73">
        <v>20</v>
      </c>
      <c r="U73">
        <v>36</v>
      </c>
      <c r="V73">
        <v>1</v>
      </c>
      <c r="W73" t="s">
        <v>289</v>
      </c>
      <c r="X73">
        <v>3</v>
      </c>
      <c r="Y73" s="2" t="s">
        <v>274</v>
      </c>
      <c r="Z73" s="2"/>
      <c r="AA73" s="2"/>
      <c r="AB73" s="2"/>
      <c r="AC73" s="2"/>
      <c r="AD73" s="2"/>
      <c r="AE73" s="2"/>
      <c r="AF73" s="2"/>
      <c r="AG73" s="2"/>
      <c r="AH73" s="2"/>
      <c r="AI73" s="2"/>
      <c r="AJ73" s="2"/>
      <c r="AR73">
        <v>8</v>
      </c>
      <c r="AX73" s="2">
        <f>(SQRT(N73*U73)*POWER((MIN(P73,20)+SQRT(MAX(P73-20,0))),0.9)*Data!$B$1)*(1-(V73-1))</f>
        <v>24.149380110174171</v>
      </c>
      <c r="AY73" s="2"/>
      <c r="AZ73" s="2">
        <f>((POWER((N73*N73*U73), 0.33)*LOG10(S73)*10*Data!$B$1)*V73)+AY73</f>
        <v>27.800730349293211</v>
      </c>
      <c r="BA73" s="2">
        <f t="shared" si="57"/>
        <v>17.741935483870968</v>
      </c>
      <c r="BB73" s="2">
        <f t="shared" si="60"/>
        <v>0</v>
      </c>
      <c r="BE73" s="2">
        <v>1</v>
      </c>
      <c r="BF73" s="2">
        <v>1</v>
      </c>
      <c r="BG73" s="2">
        <f t="shared" si="59"/>
        <v>36</v>
      </c>
      <c r="BH73" s="2">
        <f t="shared" si="12"/>
        <v>36</v>
      </c>
      <c r="BI73" s="3"/>
      <c r="BJ73" s="3"/>
      <c r="BK73" s="3"/>
      <c r="BL73" s="2" t="str">
        <f>CONCATENATE(
ROUND(BI73*VLOOKUP(L73,'ID Scheme'!$A$2:$E$7,3),0), "x",
ROUND(BJ73*VLOOKUP(L73,'ID Scheme'!$A$2:$E$7,5),0), "x",
ROUND(BK73*VLOOKUP(L73,'ID Scheme'!$A$2:$E$7,4),0))</f>
        <v>0x0x0</v>
      </c>
    </row>
    <row r="74" spans="1:64" x14ac:dyDescent="0.35">
      <c r="A74" t="s">
        <v>93</v>
      </c>
      <c r="B74" t="s">
        <v>165</v>
      </c>
      <c r="C74" t="s">
        <v>291</v>
      </c>
      <c r="D74">
        <f>IF(H74 &gt; 2020, ((H74-2020)*4)+1610+J74,IF(H74 &gt; 1900, ((H74-1900)*10)+400+J74, ((H74-1730)*2)+J74))+VLOOKUP(L74,'ID Scheme'!$A$2:$B$7,2, FALSE)</f>
        <v>1201</v>
      </c>
      <c r="F74">
        <v>1201</v>
      </c>
      <c r="G74" t="s">
        <v>683</v>
      </c>
      <c r="H74">
        <v>1920</v>
      </c>
      <c r="I74">
        <v>1</v>
      </c>
      <c r="J74">
        <v>1</v>
      </c>
      <c r="K74" t="s">
        <v>523</v>
      </c>
      <c r="L74" t="s">
        <v>12</v>
      </c>
      <c r="M74" t="s">
        <v>501</v>
      </c>
      <c r="N74">
        <v>22</v>
      </c>
      <c r="O74">
        <v>20</v>
      </c>
      <c r="P74">
        <v>16</v>
      </c>
      <c r="Q74">
        <v>5</v>
      </c>
      <c r="R74">
        <v>5</v>
      </c>
      <c r="S74">
        <v>30</v>
      </c>
      <c r="T74">
        <v>20</v>
      </c>
      <c r="U74">
        <v>54</v>
      </c>
      <c r="V74">
        <v>1</v>
      </c>
      <c r="W74" t="s">
        <v>289</v>
      </c>
      <c r="X74">
        <v>3</v>
      </c>
      <c r="Y74" s="2" t="s">
        <v>290</v>
      </c>
      <c r="Z74" s="2"/>
      <c r="AA74" s="2"/>
      <c r="AB74" s="2"/>
      <c r="AC74" s="2"/>
      <c r="AD74" s="2"/>
      <c r="AE74" s="2"/>
      <c r="AF74" s="2"/>
      <c r="AG74" s="2"/>
      <c r="AH74" s="2"/>
      <c r="AI74" s="2"/>
      <c r="AJ74" s="2"/>
      <c r="AR74">
        <v>8</v>
      </c>
      <c r="AX74" s="2">
        <f>(SQRT(N74*U74)*POWER((MIN(P74,20)+SQRT(MAX(P74-20,0))),0.9)*Data!$B$1)*(1-(V74-1))</f>
        <v>31.345663574572221</v>
      </c>
      <c r="AY74" s="2"/>
      <c r="AZ74" s="2">
        <f>((POWER((N74*N74*U74), 0.33)*LOG10(S74)*10*Data!$B$1)*V74)+AY74</f>
        <v>31.780909444617688</v>
      </c>
      <c r="BA74" s="2">
        <f t="shared" si="57"/>
        <v>17.741935483870968</v>
      </c>
      <c r="BB74" s="2">
        <f t="shared" ref="BB74:BB76" si="67">AK74/1.24</f>
        <v>0</v>
      </c>
      <c r="BE74" s="2">
        <v>1</v>
      </c>
      <c r="BF74" s="2">
        <v>1</v>
      </c>
      <c r="BG74" s="2">
        <f t="shared" si="59"/>
        <v>54</v>
      </c>
      <c r="BH74" s="2">
        <f t="shared" si="12"/>
        <v>54</v>
      </c>
      <c r="BI74" s="3"/>
      <c r="BJ74" s="3"/>
      <c r="BK74" s="3"/>
      <c r="BL74" s="2" t="str">
        <f>CONCATENATE(
ROUND(BI74*VLOOKUP(L74,'ID Scheme'!$A$2:$E$7,3),0), "x",
ROUND(BJ74*VLOOKUP(L74,'ID Scheme'!$A$2:$E$7,5),0), "x",
ROUND(BK74*VLOOKUP(L74,'ID Scheme'!$A$2:$E$7,4),0))</f>
        <v>0x0x0</v>
      </c>
    </row>
    <row r="75" spans="1:64" x14ac:dyDescent="0.35">
      <c r="A75" t="s">
        <v>504</v>
      </c>
      <c r="B75" t="s">
        <v>505</v>
      </c>
      <c r="C75" t="s">
        <v>285</v>
      </c>
      <c r="D75">
        <f>IF(H75 &gt; 2020, ((H75-2020)*4)+1610+J75,IF(H75 &gt; 1900, ((H75-1900)*10)+400+J75, ((H75-1730)*2)+J75))+VLOOKUP(L75,'ID Scheme'!$A$2:$B$7,2, FALSE)</f>
        <v>1261</v>
      </c>
      <c r="F75">
        <v>1261</v>
      </c>
      <c r="G75" t="s">
        <v>683</v>
      </c>
      <c r="H75">
        <v>1926</v>
      </c>
      <c r="I75">
        <v>12</v>
      </c>
      <c r="J75">
        <v>1</v>
      </c>
      <c r="K75" t="s">
        <v>523</v>
      </c>
      <c r="L75" t="s">
        <v>12</v>
      </c>
      <c r="M75" t="s">
        <v>506</v>
      </c>
      <c r="N75">
        <v>30</v>
      </c>
      <c r="O75">
        <v>40</v>
      </c>
      <c r="P75">
        <v>18</v>
      </c>
      <c r="Q75">
        <v>5</v>
      </c>
      <c r="R75">
        <v>5</v>
      </c>
      <c r="S75">
        <v>60</v>
      </c>
      <c r="T75">
        <v>20</v>
      </c>
      <c r="U75">
        <v>48</v>
      </c>
      <c r="V75">
        <v>1</v>
      </c>
      <c r="W75" t="s">
        <v>365</v>
      </c>
      <c r="X75">
        <v>3</v>
      </c>
      <c r="Y75" s="2" t="s">
        <v>507</v>
      </c>
      <c r="Z75" s="2"/>
      <c r="AA75" s="2"/>
      <c r="AB75" s="2"/>
      <c r="AC75" s="2"/>
      <c r="AD75" s="2"/>
      <c r="AE75" s="2"/>
      <c r="AF75" s="2"/>
      <c r="AG75" s="2"/>
      <c r="AH75" s="2"/>
      <c r="AI75" s="2"/>
      <c r="AJ75" s="2"/>
      <c r="AR75">
        <v>8</v>
      </c>
      <c r="AX75" s="2">
        <f>(SQRT(N75*U75)*POWER((MIN(P75,20)+SQRT(MAX(P75-20,0))),0.9)*Data!$B$1)*(1-(V75-1))</f>
        <v>38.369643493971942</v>
      </c>
      <c r="AY75" s="2"/>
      <c r="AZ75" s="2">
        <f>((POWER((N75*N75*U75), 0.33)*LOG10(S75)*10*Data!$B$1)*V75)+AY75</f>
        <v>45.158509516285143</v>
      </c>
      <c r="BA75" s="2">
        <f t="shared" si="57"/>
        <v>24.193548387096776</v>
      </c>
      <c r="BB75" s="2">
        <f t="shared" si="67"/>
        <v>0</v>
      </c>
      <c r="BE75" s="2">
        <v>1</v>
      </c>
      <c r="BF75" s="2">
        <v>1</v>
      </c>
      <c r="BG75" s="2">
        <f t="shared" si="59"/>
        <v>48</v>
      </c>
      <c r="BH75" s="2">
        <f t="shared" si="12"/>
        <v>48</v>
      </c>
      <c r="BI75" s="3">
        <v>11</v>
      </c>
      <c r="BJ75" s="3">
        <v>2.5</v>
      </c>
      <c r="BK75" s="3">
        <v>3.8</v>
      </c>
      <c r="BL75" s="2" t="str">
        <f>CONCATENATE(
ROUND(BI75*VLOOKUP(L75,'ID Scheme'!$A$2:$E$7,3),0), "x",
ROUND(BJ75*VLOOKUP(L75,'ID Scheme'!$A$2:$E$7,5),0), "x",
ROUND(BK75*VLOOKUP(L75,'ID Scheme'!$A$2:$E$7,4),0))</f>
        <v>103x36x37</v>
      </c>
    </row>
    <row r="76" spans="1:64" ht="14.25" customHeight="1" x14ac:dyDescent="0.35">
      <c r="A76" t="s">
        <v>44</v>
      </c>
      <c r="B76" t="s">
        <v>167</v>
      </c>
      <c r="C76" t="s">
        <v>285</v>
      </c>
      <c r="D76">
        <f>IF(H76 &gt; 2020, ((H76-2020)*4)+1610+J76,IF(H76 &gt; 1900, ((H76-1900)*10)+400+J76, ((H76-1730)*2)+J76))+VLOOKUP(L76,'ID Scheme'!$A$2:$B$7,2, FALSE)</f>
        <v>1271</v>
      </c>
      <c r="F76">
        <v>1271</v>
      </c>
      <c r="G76" t="s">
        <v>683</v>
      </c>
      <c r="H76">
        <v>1927</v>
      </c>
      <c r="I76">
        <v>3</v>
      </c>
      <c r="J76">
        <v>1</v>
      </c>
      <c r="K76" t="s">
        <v>523</v>
      </c>
      <c r="L76" t="s">
        <v>12</v>
      </c>
      <c r="M76" t="s">
        <v>501</v>
      </c>
      <c r="N76">
        <v>42</v>
      </c>
      <c r="O76">
        <v>20</v>
      </c>
      <c r="P76">
        <v>17</v>
      </c>
      <c r="Q76">
        <v>4</v>
      </c>
      <c r="R76">
        <v>5</v>
      </c>
      <c r="S76">
        <v>94</v>
      </c>
      <c r="T76">
        <v>20</v>
      </c>
      <c r="U76">
        <v>35</v>
      </c>
      <c r="V76">
        <v>1</v>
      </c>
      <c r="W76" t="s">
        <v>289</v>
      </c>
      <c r="X76">
        <v>3</v>
      </c>
      <c r="Y76" s="2" t="s">
        <v>312</v>
      </c>
      <c r="Z76" s="2"/>
      <c r="AA76" s="2"/>
      <c r="AB76" s="2"/>
      <c r="AC76" s="2"/>
      <c r="AD76" s="2"/>
      <c r="AE76" s="2"/>
      <c r="AF76" s="2"/>
      <c r="AG76" s="2"/>
      <c r="AH76" s="2"/>
      <c r="AI76" s="2"/>
      <c r="AJ76" s="2"/>
      <c r="AR76">
        <v>8</v>
      </c>
      <c r="AX76" s="2">
        <f>(SQRT(N76*U76)*POWER((MIN(P76,20)+SQRT(MAX(P76-20,0))),0.9)*Data!$B$1)*(1-(V76-1))</f>
        <v>36.82340631265253</v>
      </c>
      <c r="AY76" s="2"/>
      <c r="AZ76" s="2">
        <f>((POWER((N76*N76*U76), 0.33)*LOG10(S76)*10*Data!$B$1)*V76)+AY76</f>
        <v>56.377196674747736</v>
      </c>
      <c r="BA76" s="2">
        <f t="shared" si="57"/>
        <v>33.870967741935488</v>
      </c>
      <c r="BB76" s="2">
        <f t="shared" si="67"/>
        <v>0</v>
      </c>
      <c r="BE76" s="2">
        <v>1</v>
      </c>
      <c r="BF76" s="2">
        <v>1</v>
      </c>
      <c r="BG76" s="2">
        <f t="shared" si="59"/>
        <v>35</v>
      </c>
      <c r="BH76" s="2">
        <f t="shared" si="12"/>
        <v>35</v>
      </c>
      <c r="BI76" s="3"/>
      <c r="BJ76" s="3"/>
      <c r="BK76" s="3"/>
      <c r="BL76" s="2" t="str">
        <f>CONCATENATE(
ROUND(BI76*VLOOKUP(L76,'ID Scheme'!$A$2:$E$7,3),0), "x",
ROUND(BJ76*VLOOKUP(L76,'ID Scheme'!$A$2:$E$7,5),0), "x",
ROUND(BK76*VLOOKUP(L76,'ID Scheme'!$A$2:$E$7,4),0))</f>
        <v>0x0x0</v>
      </c>
    </row>
    <row r="77" spans="1:64" x14ac:dyDescent="0.35">
      <c r="A77" t="s">
        <v>26</v>
      </c>
      <c r="B77" t="s">
        <v>162</v>
      </c>
      <c r="C77" t="s">
        <v>285</v>
      </c>
      <c r="D77">
        <f>IF(H77 &gt; 2020, ((H77-2020)*4)+1610+J77,IF(H77 &gt; 1900, ((H77-1900)*10)+400+J77, ((H77-1730)*2)+J77))+VLOOKUP(L77,'ID Scheme'!$A$2:$B$7,2, FALSE)</f>
        <v>1291</v>
      </c>
      <c r="F77">
        <v>1291</v>
      </c>
      <c r="G77" t="s">
        <v>683</v>
      </c>
      <c r="H77">
        <v>1929</v>
      </c>
      <c r="I77">
        <v>1</v>
      </c>
      <c r="J77">
        <v>1</v>
      </c>
      <c r="K77" t="s">
        <v>523</v>
      </c>
      <c r="L77" t="s">
        <v>12</v>
      </c>
      <c r="M77" t="s">
        <v>501</v>
      </c>
      <c r="N77">
        <v>29</v>
      </c>
      <c r="O77">
        <v>20</v>
      </c>
      <c r="P77">
        <v>20</v>
      </c>
      <c r="Q77">
        <v>7</v>
      </c>
      <c r="R77">
        <v>7</v>
      </c>
      <c r="S77">
        <v>90</v>
      </c>
      <c r="T77">
        <v>20</v>
      </c>
      <c r="U77">
        <v>50</v>
      </c>
      <c r="V77">
        <v>1</v>
      </c>
      <c r="W77" t="s">
        <v>289</v>
      </c>
      <c r="X77">
        <v>3</v>
      </c>
      <c r="Y77" s="2" t="s">
        <v>311</v>
      </c>
      <c r="Z77" s="2"/>
      <c r="AA77" s="2"/>
      <c r="AB77" s="2"/>
      <c r="AC77" s="2"/>
      <c r="AD77" s="2"/>
      <c r="AE77" s="2"/>
      <c r="AF77" s="2"/>
      <c r="AG77" s="2"/>
      <c r="AH77" s="2"/>
      <c r="AI77" s="2"/>
      <c r="AJ77" s="2"/>
      <c r="AR77">
        <v>8</v>
      </c>
      <c r="AX77" s="2">
        <f>(SQRT(N77*U77)*POWER((MIN(P77,20)+SQRT(MAX(P77-20,0))),0.9)*Data!$B$1)*(1-(V77-1))</f>
        <v>42.332338540034662</v>
      </c>
      <c r="AY77" s="2"/>
      <c r="AZ77" s="2">
        <f>((POWER((N77*N77*U77), 0.33)*LOG10(S77)*10*Data!$B$1)*V77)+AY77</f>
        <v>49.190642990058024</v>
      </c>
      <c r="BA77" s="2">
        <f t="shared" si="57"/>
        <v>23.387096774193548</v>
      </c>
      <c r="BB77" s="2">
        <f t="shared" si="60"/>
        <v>0</v>
      </c>
      <c r="BE77" s="2">
        <v>1</v>
      </c>
      <c r="BF77" s="2">
        <v>1</v>
      </c>
      <c r="BG77" s="2">
        <f t="shared" si="59"/>
        <v>50</v>
      </c>
      <c r="BH77" s="2">
        <f t="shared" si="12"/>
        <v>50</v>
      </c>
      <c r="BI77" s="3"/>
      <c r="BJ77" s="3"/>
      <c r="BK77" s="3"/>
      <c r="BL77" s="2" t="str">
        <f>CONCATENATE(
ROUND(BI77*VLOOKUP(L77,'ID Scheme'!$A$2:$E$7,3),0), "x",
ROUND(BJ77*VLOOKUP(L77,'ID Scheme'!$A$2:$E$7,5),0), "x",
ROUND(BK77*VLOOKUP(L77,'ID Scheme'!$A$2:$E$7,4),0))</f>
        <v>0x0x0</v>
      </c>
    </row>
    <row r="78" spans="1:64" x14ac:dyDescent="0.35">
      <c r="A78" t="s">
        <v>47</v>
      </c>
      <c r="B78" t="s">
        <v>166</v>
      </c>
      <c r="C78" t="s">
        <v>285</v>
      </c>
      <c r="D78">
        <f>IF(H78 &gt; 2020, ((H78-2020)*4)+1610+J78,IF(H78 &gt; 1900, ((H78-1900)*10)+400+J78, ((H78-1730)*2)+J78))+VLOOKUP(L78,'ID Scheme'!$A$2:$B$7,2, FALSE)</f>
        <v>1311</v>
      </c>
      <c r="F78">
        <v>1311</v>
      </c>
      <c r="G78" t="s">
        <v>683</v>
      </c>
      <c r="H78">
        <v>1931</v>
      </c>
      <c r="I78">
        <v>1</v>
      </c>
      <c r="J78">
        <v>1</v>
      </c>
      <c r="K78" t="s">
        <v>523</v>
      </c>
      <c r="L78" t="s">
        <v>12</v>
      </c>
      <c r="M78" t="s">
        <v>501</v>
      </c>
      <c r="N78">
        <v>36</v>
      </c>
      <c r="O78">
        <v>18</v>
      </c>
      <c r="P78">
        <v>19</v>
      </c>
      <c r="Q78">
        <v>5</v>
      </c>
      <c r="R78">
        <v>5</v>
      </c>
      <c r="S78">
        <v>100</v>
      </c>
      <c r="T78">
        <v>20</v>
      </c>
      <c r="U78">
        <v>32</v>
      </c>
      <c r="V78">
        <v>1</v>
      </c>
      <c r="W78" t="s">
        <v>288</v>
      </c>
      <c r="X78">
        <v>-3</v>
      </c>
      <c r="Y78" s="2" t="s">
        <v>310</v>
      </c>
      <c r="Z78" s="2"/>
      <c r="AA78" s="2"/>
      <c r="AB78" s="2"/>
      <c r="AC78" s="2"/>
      <c r="AD78" s="2"/>
      <c r="AE78" s="2"/>
      <c r="AF78" s="2"/>
      <c r="AG78" s="2"/>
      <c r="AH78" s="2"/>
      <c r="AI78" s="2"/>
      <c r="AJ78" s="2"/>
      <c r="AR78">
        <v>7</v>
      </c>
      <c r="AX78" s="2">
        <f>(SQRT(N78*U78)*POWER((MIN(P78,20)+SQRT(MAX(P78-20,0))),0.9)*Data!$B$1)*(1-(V78-1))</f>
        <v>36.030122922747744</v>
      </c>
      <c r="AY78" s="2"/>
      <c r="AZ78" s="2">
        <f>((POWER((N78*N78*U78), 0.33)*LOG10(S78)*10*Data!$B$1)*V78)+AY78</f>
        <v>50.112999997180935</v>
      </c>
      <c r="BA78" s="2">
        <f t="shared" si="57"/>
        <v>29.032258064516128</v>
      </c>
      <c r="BB78" s="2">
        <f t="shared" si="60"/>
        <v>0</v>
      </c>
      <c r="BE78" s="2">
        <v>1</v>
      </c>
      <c r="BF78" s="2">
        <v>1</v>
      </c>
      <c r="BG78" s="2">
        <f t="shared" si="59"/>
        <v>32</v>
      </c>
      <c r="BH78" s="2">
        <f t="shared" si="12"/>
        <v>32</v>
      </c>
      <c r="BI78" s="3"/>
      <c r="BJ78" s="3"/>
      <c r="BK78" s="3"/>
      <c r="BL78" s="2" t="str">
        <f>CONCATENATE(
ROUND(BI78*VLOOKUP(L78,'ID Scheme'!$A$2:$E$7,3),0), "x",
ROUND(BJ78*VLOOKUP(L78,'ID Scheme'!$A$2:$E$7,5),0), "x",
ROUND(BK78*VLOOKUP(L78,'ID Scheme'!$A$2:$E$7,4),0))</f>
        <v>0x0x0</v>
      </c>
    </row>
    <row r="79" spans="1:64" x14ac:dyDescent="0.35">
      <c r="A79" t="s">
        <v>43</v>
      </c>
      <c r="B79" t="s">
        <v>168</v>
      </c>
      <c r="C79" t="s">
        <v>285</v>
      </c>
      <c r="D79">
        <f>IF(H79 &gt; 2020, ((H79-2020)*4)+1610+J79,IF(H79 &gt; 1900, ((H79-1900)*10)+400+J79, ((H79-1730)*2)+J79))+VLOOKUP(L79,'ID Scheme'!$A$2:$B$7,2, FALSE)</f>
        <v>1331</v>
      </c>
      <c r="F79">
        <v>1331</v>
      </c>
      <c r="G79" t="s">
        <v>683</v>
      </c>
      <c r="H79">
        <v>1933</v>
      </c>
      <c r="I79">
        <v>1</v>
      </c>
      <c r="J79">
        <v>1</v>
      </c>
      <c r="K79" t="s">
        <v>523</v>
      </c>
      <c r="L79" t="s">
        <v>12</v>
      </c>
      <c r="M79" t="s">
        <v>501</v>
      </c>
      <c r="N79">
        <v>40</v>
      </c>
      <c r="O79">
        <v>20</v>
      </c>
      <c r="P79">
        <v>16</v>
      </c>
      <c r="Q79">
        <v>4</v>
      </c>
      <c r="R79">
        <v>6</v>
      </c>
      <c r="S79">
        <v>102</v>
      </c>
      <c r="T79">
        <v>20</v>
      </c>
      <c r="U79">
        <v>44</v>
      </c>
      <c r="V79">
        <v>1</v>
      </c>
      <c r="W79" t="s">
        <v>289</v>
      </c>
      <c r="X79">
        <v>3</v>
      </c>
      <c r="Y79" s="2" t="s">
        <v>309</v>
      </c>
      <c r="Z79" s="2"/>
      <c r="AA79" s="2"/>
      <c r="AB79" s="2"/>
      <c r="AC79" s="2"/>
      <c r="AD79" s="2"/>
      <c r="AE79" s="2"/>
      <c r="AF79" s="2"/>
      <c r="AG79" s="2"/>
      <c r="AH79" s="2"/>
      <c r="AI79" s="2"/>
      <c r="AJ79" s="2"/>
      <c r="AR79">
        <v>8</v>
      </c>
      <c r="AX79" s="2">
        <f>(SQRT(N79*U79)*POWER((MIN(P79,20)+SQRT(MAX(P79-20,0))),0.9)*Data!$B$1)*(1-(V79-1))</f>
        <v>38.152726710580495</v>
      </c>
      <c r="AY79" s="2"/>
      <c r="AZ79" s="2">
        <f>((POWER((N79*N79*U79), 0.33)*LOG10(S79)*10*Data!$B$1)*V79)+AY79</f>
        <v>59.931305258252422</v>
      </c>
      <c r="BA79" s="2">
        <f t="shared" si="57"/>
        <v>32.258064516129032</v>
      </c>
      <c r="BB79" s="2">
        <f t="shared" si="60"/>
        <v>0</v>
      </c>
      <c r="BE79" s="2">
        <v>1</v>
      </c>
      <c r="BF79" s="2">
        <v>1</v>
      </c>
      <c r="BG79" s="2">
        <f t="shared" si="59"/>
        <v>44</v>
      </c>
      <c r="BH79" s="2">
        <f t="shared" ref="BH79:BH155" si="68">(U79)/MAX(BE79-(1+BD79), 1)</f>
        <v>44</v>
      </c>
      <c r="BI79" s="3"/>
      <c r="BJ79" s="3"/>
      <c r="BK79" s="3"/>
      <c r="BL79" s="2" t="str">
        <f>CONCATENATE(
ROUND(BI79*VLOOKUP(L79,'ID Scheme'!$A$2:$E$7,3),0), "x",
ROUND(BJ79*VLOOKUP(L79,'ID Scheme'!$A$2:$E$7,5),0), "x",
ROUND(BK79*VLOOKUP(L79,'ID Scheme'!$A$2:$E$7,4),0))</f>
        <v>0x0x0</v>
      </c>
    </row>
    <row r="80" spans="1:64" x14ac:dyDescent="0.35">
      <c r="A80" t="s">
        <v>101</v>
      </c>
      <c r="B80" t="s">
        <v>169</v>
      </c>
      <c r="C80" t="s">
        <v>285</v>
      </c>
      <c r="D80">
        <f>IF(H80 &gt; 2020, ((H80-2020)*4)+1610+J80,IF(H80 &gt; 1900, ((H80-1900)*10)+400+J80, ((H80-1730)*2)+J80))+VLOOKUP(L80,'ID Scheme'!$A$2:$B$7,2, FALSE)</f>
        <v>1332</v>
      </c>
      <c r="F80">
        <v>1332</v>
      </c>
      <c r="G80" t="s">
        <v>683</v>
      </c>
      <c r="H80">
        <v>1933</v>
      </c>
      <c r="I80">
        <v>3</v>
      </c>
      <c r="J80">
        <v>2</v>
      </c>
      <c r="K80" t="s">
        <v>523</v>
      </c>
      <c r="L80" t="s">
        <v>12</v>
      </c>
      <c r="M80" t="s">
        <v>501</v>
      </c>
      <c r="N80">
        <v>48</v>
      </c>
      <c r="O80">
        <v>25</v>
      </c>
      <c r="P80">
        <v>15</v>
      </c>
      <c r="Q80">
        <v>5</v>
      </c>
      <c r="R80">
        <v>4</v>
      </c>
      <c r="S80">
        <v>90</v>
      </c>
      <c r="T80">
        <v>20</v>
      </c>
      <c r="U80">
        <v>20</v>
      </c>
      <c r="V80">
        <v>1</v>
      </c>
      <c r="W80" t="s">
        <v>289</v>
      </c>
      <c r="X80">
        <v>0</v>
      </c>
      <c r="Y80" s="2" t="s">
        <v>308</v>
      </c>
      <c r="Z80" s="2"/>
      <c r="AA80" s="2"/>
      <c r="AB80" s="2"/>
      <c r="AC80" s="2"/>
      <c r="AD80" s="2"/>
      <c r="AE80" s="2"/>
      <c r="AF80" s="2"/>
      <c r="AG80" s="2"/>
      <c r="AH80" s="2"/>
      <c r="AI80" s="2"/>
      <c r="AJ80" s="2"/>
      <c r="AR80">
        <v>6</v>
      </c>
      <c r="AX80" s="2">
        <f>(SQRT(N80*U80)*POWER((MIN(P80,20)+SQRT(MAX(P80-20,0))),0.9)*Data!$B$1)*(1-(V80-1))</f>
        <v>26.587592451565005</v>
      </c>
      <c r="AY80" s="2"/>
      <c r="AZ80" s="2">
        <f>((POWER((N80*N80*U80), 0.33)*LOG10(S80)*10*Data!$B$1)*V80)+AY80</f>
        <v>50.698934782631881</v>
      </c>
      <c r="BA80" s="2">
        <f t="shared" si="57"/>
        <v>38.70967741935484</v>
      </c>
      <c r="BB80" s="2">
        <f t="shared" si="60"/>
        <v>0</v>
      </c>
      <c r="BE80" s="2">
        <v>1</v>
      </c>
      <c r="BF80" s="2">
        <v>1</v>
      </c>
      <c r="BG80" s="2">
        <f t="shared" si="59"/>
        <v>20</v>
      </c>
      <c r="BH80" s="2">
        <f t="shared" si="68"/>
        <v>20</v>
      </c>
      <c r="BK80" s="3"/>
      <c r="BL80" s="2" t="str">
        <f>CONCATENATE(
ROUND(BI80*VLOOKUP(L80,'ID Scheme'!$A$2:$E$7,3),0), "x",
ROUND(BJ80*VLOOKUP(L80,'ID Scheme'!$A$2:$E$7,5),0), "x",
ROUND(BK80*VLOOKUP(L80,'ID Scheme'!$A$2:$E$7,4),0))</f>
        <v>0x0x0</v>
      </c>
    </row>
    <row r="81" spans="1:65" x14ac:dyDescent="0.35">
      <c r="A81" t="s">
        <v>92</v>
      </c>
      <c r="B81" t="s">
        <v>170</v>
      </c>
      <c r="C81" t="s">
        <v>285</v>
      </c>
      <c r="D81">
        <f>IF(H81 &gt; 2020, ((H81-2020)*4)+1610+J81,IF(H81 &gt; 1900, ((H81-1900)*10)+400+J81, ((H81-1730)*2)+J81))+VLOOKUP(L81,'ID Scheme'!$A$2:$B$7,2, FALSE)</f>
        <v>1371</v>
      </c>
      <c r="F81">
        <v>1371</v>
      </c>
      <c r="G81" t="s">
        <v>683</v>
      </c>
      <c r="H81">
        <v>1937</v>
      </c>
      <c r="I81">
        <v>1</v>
      </c>
      <c r="J81">
        <v>1</v>
      </c>
      <c r="K81" t="s">
        <v>523</v>
      </c>
      <c r="L81" t="s">
        <v>12</v>
      </c>
      <c r="M81" t="s">
        <v>501</v>
      </c>
      <c r="N81">
        <v>44</v>
      </c>
      <c r="O81">
        <v>15</v>
      </c>
      <c r="P81">
        <v>15</v>
      </c>
      <c r="Q81">
        <v>4</v>
      </c>
      <c r="R81">
        <v>5</v>
      </c>
      <c r="S81">
        <v>100</v>
      </c>
      <c r="T81">
        <v>20</v>
      </c>
      <c r="U81">
        <v>38</v>
      </c>
      <c r="V81">
        <v>1</v>
      </c>
      <c r="W81" t="s">
        <v>289</v>
      </c>
      <c r="X81">
        <v>1</v>
      </c>
      <c r="Y81" s="2" t="s">
        <v>307</v>
      </c>
      <c r="Z81" s="2"/>
      <c r="AA81" s="2"/>
      <c r="AB81" s="2"/>
      <c r="AC81" s="2"/>
      <c r="AD81" s="2"/>
      <c r="AE81" s="2"/>
      <c r="AF81" s="2"/>
      <c r="AG81" s="2"/>
      <c r="AH81" s="2"/>
      <c r="AI81" s="2"/>
      <c r="AJ81" s="2"/>
      <c r="AR81">
        <v>7</v>
      </c>
      <c r="AX81" s="2">
        <f>(SQRT(N81*U81)*POWER((MIN(P81,20)+SQRT(MAX(P81-20,0))),0.9)*Data!$B$1)*(1-(V81-1))</f>
        <v>35.088235816466785</v>
      </c>
      <c r="AY81" s="2"/>
      <c r="AZ81" s="2">
        <f>((POWER((N81*N81*U81), 0.33)*LOG10(S81)*10*Data!$B$1)*V81)+AY81</f>
        <v>60.547834117089934</v>
      </c>
      <c r="BA81" s="2">
        <f t="shared" si="57"/>
        <v>35.483870967741936</v>
      </c>
      <c r="BB81" s="2">
        <f t="shared" si="60"/>
        <v>0</v>
      </c>
      <c r="BE81" s="2">
        <v>1</v>
      </c>
      <c r="BF81" s="2">
        <v>1</v>
      </c>
      <c r="BG81" s="2">
        <f t="shared" si="59"/>
        <v>38</v>
      </c>
      <c r="BH81" s="2">
        <f t="shared" si="68"/>
        <v>38</v>
      </c>
      <c r="BI81" s="3">
        <v>8.4</v>
      </c>
      <c r="BJ81" s="3">
        <v>2.4</v>
      </c>
      <c r="BK81" s="3">
        <v>2.6</v>
      </c>
      <c r="BL81" s="2" t="str">
        <f>CONCATENATE(
ROUND(BI81*VLOOKUP(L81,'ID Scheme'!$A$2:$E$7,3),0), "x",
ROUND(BJ81*VLOOKUP(L81,'ID Scheme'!$A$2:$E$7,5),0), "x",
ROUND(BK81*VLOOKUP(L81,'ID Scheme'!$A$2:$E$7,4),0))</f>
        <v>78x35x25</v>
      </c>
    </row>
    <row r="82" spans="1:65" x14ac:dyDescent="0.35">
      <c r="A82" t="s">
        <v>27</v>
      </c>
      <c r="B82" t="s">
        <v>161</v>
      </c>
      <c r="C82" t="s">
        <v>285</v>
      </c>
      <c r="D82">
        <f>IF(H82 &gt; 2020, ((H82-2020)*4)+1610+J82,IF(H82 &gt; 1900, ((H82-1900)*10)+400+J82, ((H82-1730)*2)+J82))+VLOOKUP(L82,'ID Scheme'!$A$2:$B$7,2, FALSE)</f>
        <v>1451</v>
      </c>
      <c r="F82">
        <v>1451</v>
      </c>
      <c r="G82" t="s">
        <v>683</v>
      </c>
      <c r="H82">
        <v>1945</v>
      </c>
      <c r="I82">
        <v>9</v>
      </c>
      <c r="J82">
        <v>1</v>
      </c>
      <c r="K82" t="s">
        <v>523</v>
      </c>
      <c r="L82" t="s">
        <v>12</v>
      </c>
      <c r="M82" t="s">
        <v>501</v>
      </c>
      <c r="N82">
        <v>38</v>
      </c>
      <c r="O82">
        <v>20</v>
      </c>
      <c r="P82">
        <v>20</v>
      </c>
      <c r="Q82">
        <v>7</v>
      </c>
      <c r="R82">
        <v>7</v>
      </c>
      <c r="S82">
        <v>115</v>
      </c>
      <c r="T82">
        <v>20</v>
      </c>
      <c r="U82">
        <v>57</v>
      </c>
      <c r="V82">
        <v>1</v>
      </c>
      <c r="W82" t="s">
        <v>289</v>
      </c>
      <c r="X82">
        <v>3</v>
      </c>
      <c r="Y82" s="2" t="s">
        <v>306</v>
      </c>
      <c r="Z82" s="2"/>
      <c r="AA82" s="2"/>
      <c r="AB82" s="2"/>
      <c r="AC82" s="2"/>
      <c r="AD82" s="2"/>
      <c r="AE82" s="2"/>
      <c r="AF82" s="2"/>
      <c r="AG82" s="2"/>
      <c r="AH82" s="2"/>
      <c r="AI82" s="2"/>
      <c r="AJ82" s="2"/>
      <c r="AR82">
        <v>8</v>
      </c>
      <c r="AX82" s="2">
        <f>(SQRT(N82*U82)*POWER((MIN(P82,20)+SQRT(MAX(P82-20,0))),0.9)*Data!$B$1)*(1-(V82-1))</f>
        <v>51.738935086655786</v>
      </c>
      <c r="AY82" s="2"/>
      <c r="AZ82" s="2">
        <f>((POWER((N82*N82*U82), 0.33)*LOG10(S82)*10*Data!$B$1)*V82)+AY82</f>
        <v>64.739815215748749</v>
      </c>
      <c r="BA82" s="2">
        <f t="shared" si="57"/>
        <v>30.64516129032258</v>
      </c>
      <c r="BB82" s="2">
        <f t="shared" si="60"/>
        <v>0</v>
      </c>
      <c r="BE82" s="2">
        <v>1</v>
      </c>
      <c r="BF82" s="2">
        <v>1</v>
      </c>
      <c r="BG82" s="2">
        <f t="shared" si="59"/>
        <v>57</v>
      </c>
      <c r="BH82" s="2">
        <f t="shared" si="68"/>
        <v>57</v>
      </c>
      <c r="BI82" s="3"/>
      <c r="BJ82" s="3"/>
      <c r="BK82" s="3"/>
      <c r="BL82" s="2" t="str">
        <f>CONCATENATE(
ROUND(BI82*VLOOKUP(L82,'ID Scheme'!$A$2:$E$7,3),0), "x",
ROUND(BJ82*VLOOKUP(L82,'ID Scheme'!$A$2:$E$7,5),0), "x",
ROUND(BK82*VLOOKUP(L82,'ID Scheme'!$A$2:$E$7,4),0))</f>
        <v>0x0x0</v>
      </c>
    </row>
    <row r="83" spans="1:65" x14ac:dyDescent="0.35">
      <c r="A83" t="s">
        <v>86</v>
      </c>
      <c r="B83" t="s">
        <v>171</v>
      </c>
      <c r="C83" t="s">
        <v>285</v>
      </c>
      <c r="D83">
        <f>IF(H83 &gt; 2020, ((H83-2020)*4)+1610+J83,IF(H83 &gt; 1900, ((H83-1900)*10)+400+J83, ((H83-1730)*2)+J83))+VLOOKUP(L83,'ID Scheme'!$A$2:$B$7,2, FALSE)</f>
        <v>1491</v>
      </c>
      <c r="F83">
        <v>1491</v>
      </c>
      <c r="G83" t="s">
        <v>683</v>
      </c>
      <c r="H83">
        <v>1949</v>
      </c>
      <c r="I83">
        <v>6</v>
      </c>
      <c r="J83">
        <v>1</v>
      </c>
      <c r="K83" t="s">
        <v>523</v>
      </c>
      <c r="L83" t="s">
        <v>12</v>
      </c>
      <c r="M83" t="s">
        <v>501</v>
      </c>
      <c r="N83">
        <v>42</v>
      </c>
      <c r="O83">
        <v>20</v>
      </c>
      <c r="P83">
        <v>18</v>
      </c>
      <c r="Q83">
        <v>6</v>
      </c>
      <c r="R83">
        <v>6.5</v>
      </c>
      <c r="S83">
        <v>120</v>
      </c>
      <c r="T83">
        <v>20</v>
      </c>
      <c r="U83">
        <v>58</v>
      </c>
      <c r="V83">
        <v>1</v>
      </c>
      <c r="W83" t="s">
        <v>289</v>
      </c>
      <c r="X83">
        <v>3</v>
      </c>
      <c r="Y83" s="2" t="s">
        <v>292</v>
      </c>
      <c r="Z83" s="2"/>
      <c r="AA83" s="2"/>
      <c r="AB83" s="2"/>
      <c r="AC83" s="2"/>
      <c r="AD83" s="2"/>
      <c r="AE83" s="2"/>
      <c r="AF83" s="2"/>
      <c r="AG83" s="2"/>
      <c r="AH83" s="2"/>
      <c r="AI83" s="2"/>
      <c r="AJ83" s="2"/>
      <c r="AR83">
        <v>7</v>
      </c>
      <c r="AX83" s="2">
        <f>(SQRT(N83*U83)*POWER((MIN(P83,20)+SQRT(MAX(P83-20,0))),0.9)*Data!$B$1)*(1-(V83-1))</f>
        <v>49.905126406384355</v>
      </c>
      <c r="AY83" s="2"/>
      <c r="AZ83" s="2">
        <f>((POWER((N83*N83*U83), 0.33)*LOG10(S83)*10*Data!$B$1)*V83)+AY83</f>
        <v>70.182588528436455</v>
      </c>
      <c r="BA83" s="2">
        <f t="shared" si="57"/>
        <v>33.870967741935488</v>
      </c>
      <c r="BB83" s="2">
        <f t="shared" si="60"/>
        <v>0</v>
      </c>
      <c r="BE83" s="2">
        <v>1</v>
      </c>
      <c r="BF83" s="2">
        <v>1</v>
      </c>
      <c r="BG83" s="2">
        <f t="shared" si="59"/>
        <v>58</v>
      </c>
      <c r="BH83" s="2">
        <f t="shared" si="68"/>
        <v>58</v>
      </c>
      <c r="BI83" s="3">
        <v>9.1</v>
      </c>
      <c r="BJ83" s="3">
        <v>2.4</v>
      </c>
      <c r="BK83" s="3">
        <v>3.9</v>
      </c>
      <c r="BL83" s="2" t="str">
        <f>CONCATENATE(
ROUND(BI83*VLOOKUP(L83,'ID Scheme'!$A$2:$E$7,3),0), "x",
ROUND(BJ83*VLOOKUP(L83,'ID Scheme'!$A$2:$E$7,5),0), "x",
ROUND(BK83*VLOOKUP(L83,'ID Scheme'!$A$2:$E$7,4),0))</f>
        <v>85x35x38</v>
      </c>
      <c r="BM83" t="s">
        <v>87</v>
      </c>
    </row>
    <row r="84" spans="1:65" x14ac:dyDescent="0.35">
      <c r="A84" t="s">
        <v>581</v>
      </c>
      <c r="B84" t="s">
        <v>582</v>
      </c>
      <c r="C84" t="s">
        <v>285</v>
      </c>
      <c r="D84">
        <f>IF(H84 &gt; 2020, ((H84-2020)*4)+1610+J84,IF(H84 &gt; 1900, ((H84-1900)*10)+400+J84, ((H84-1730)*2)+J84))+VLOOKUP(L84,'ID Scheme'!$A$2:$B$7,2, FALSE)</f>
        <v>1502</v>
      </c>
      <c r="F84">
        <v>1502</v>
      </c>
      <c r="G84" t="s">
        <v>683</v>
      </c>
      <c r="H84">
        <v>1950</v>
      </c>
      <c r="I84">
        <v>7</v>
      </c>
      <c r="J84">
        <v>2</v>
      </c>
      <c r="K84" t="s">
        <v>523</v>
      </c>
      <c r="L84" t="s">
        <v>12</v>
      </c>
      <c r="M84" t="s">
        <v>506</v>
      </c>
      <c r="N84">
        <v>30</v>
      </c>
      <c r="O84">
        <v>20</v>
      </c>
      <c r="P84">
        <v>17</v>
      </c>
      <c r="Q84">
        <v>5</v>
      </c>
      <c r="R84">
        <v>5</v>
      </c>
      <c r="S84">
        <v>75</v>
      </c>
      <c r="T84">
        <v>20</v>
      </c>
      <c r="U84">
        <v>56</v>
      </c>
      <c r="V84">
        <v>1</v>
      </c>
      <c r="W84" t="s">
        <v>365</v>
      </c>
      <c r="X84">
        <v>3</v>
      </c>
      <c r="Y84" s="2" t="s">
        <v>583</v>
      </c>
      <c r="Z84" s="2"/>
      <c r="AA84" s="2"/>
      <c r="AB84" s="2"/>
      <c r="AC84" s="2"/>
      <c r="AD84" s="2"/>
      <c r="AE84" s="2"/>
      <c r="AF84" s="2"/>
      <c r="AG84" s="2"/>
      <c r="AH84" s="2"/>
      <c r="AI84" s="2"/>
      <c r="AJ84" s="2"/>
      <c r="AR84">
        <v>8</v>
      </c>
      <c r="AX84" s="2">
        <f>(SQRT(N84*U84)*POWER((MIN(P84,20)+SQRT(MAX(P84-20,0))),0.9)*Data!$B$1)*(1-(V84-1))</f>
        <v>39.365877210261296</v>
      </c>
      <c r="AY84" s="2"/>
      <c r="AZ84" s="2">
        <f>((POWER((N84*N84*U84), 0.33)*LOG10(S84)*10*Data!$B$1)*V84)+AY84</f>
        <v>50.104738782023908</v>
      </c>
      <c r="BA84" s="2">
        <f t="shared" si="57"/>
        <v>24.193548387096776</v>
      </c>
      <c r="BB84" s="2">
        <f t="shared" ref="BB84" si="69">AK84/1.24</f>
        <v>0</v>
      </c>
      <c r="BE84" s="2">
        <v>1</v>
      </c>
      <c r="BF84" s="2">
        <v>1</v>
      </c>
      <c r="BG84" s="2">
        <f t="shared" si="59"/>
        <v>56</v>
      </c>
      <c r="BH84" s="2">
        <f t="shared" si="68"/>
        <v>56</v>
      </c>
      <c r="BI84" s="3">
        <v>11</v>
      </c>
      <c r="BJ84" s="3">
        <v>2.5</v>
      </c>
      <c r="BK84" s="3">
        <v>3.8</v>
      </c>
      <c r="BL84" s="2" t="str">
        <f>CONCATENATE(
ROUND(BI84*VLOOKUP(L84,'ID Scheme'!$A$2:$E$7,3),0), "x",
ROUND(BJ84*VLOOKUP(L84,'ID Scheme'!$A$2:$E$7,5),0), "x",
ROUND(BK84*VLOOKUP(L84,'ID Scheme'!$A$2:$E$7,4),0))</f>
        <v>103x36x37</v>
      </c>
    </row>
    <row r="85" spans="1:65" x14ac:dyDescent="0.35">
      <c r="A85" t="s">
        <v>85</v>
      </c>
      <c r="B85" t="s">
        <v>172</v>
      </c>
      <c r="C85" t="s">
        <v>285</v>
      </c>
      <c r="D85">
        <f>IF(H85 &gt; 2020, ((H85-2020)*4)+1610+J85,IF(H85 &gt; 1900, ((H85-1900)*10)+400+J85, ((H85-1730)*2)+J85))+VLOOKUP(L85,'ID Scheme'!$A$2:$B$7,2, FALSE)</f>
        <v>1501</v>
      </c>
      <c r="F85">
        <v>1501</v>
      </c>
      <c r="G85" t="s">
        <v>683</v>
      </c>
      <c r="H85">
        <v>1950</v>
      </c>
      <c r="I85">
        <v>1</v>
      </c>
      <c r="J85">
        <v>1</v>
      </c>
      <c r="K85" t="s">
        <v>523</v>
      </c>
      <c r="L85" t="s">
        <v>12</v>
      </c>
      <c r="M85" t="s">
        <v>501</v>
      </c>
      <c r="N85">
        <v>45</v>
      </c>
      <c r="O85">
        <v>15</v>
      </c>
      <c r="P85">
        <v>17</v>
      </c>
      <c r="Q85">
        <v>4</v>
      </c>
      <c r="R85">
        <v>5</v>
      </c>
      <c r="S85">
        <v>120</v>
      </c>
      <c r="T85">
        <v>20</v>
      </c>
      <c r="U85">
        <v>42</v>
      </c>
      <c r="V85">
        <v>1</v>
      </c>
      <c r="W85" t="s">
        <v>289</v>
      </c>
      <c r="X85">
        <v>1</v>
      </c>
      <c r="Y85" s="2" t="s">
        <v>293</v>
      </c>
      <c r="Z85" s="2"/>
      <c r="AA85" s="2"/>
      <c r="AB85" s="2"/>
      <c r="AC85" s="2"/>
      <c r="AD85" s="2"/>
      <c r="AE85" s="2"/>
      <c r="AF85" s="2"/>
      <c r="AG85" s="2"/>
      <c r="AH85" s="2"/>
      <c r="AI85" s="2"/>
      <c r="AJ85" s="2"/>
      <c r="AR85">
        <v>7</v>
      </c>
      <c r="AX85" s="2">
        <f>(SQRT(N85*U85)*POWER((MIN(P85,20)+SQRT(MAX(P85-20,0))),0.9)*Data!$B$1)*(1-(V85-1))</f>
        <v>41.753818084099102</v>
      </c>
      <c r="AY85" s="2"/>
      <c r="AZ85" s="2">
        <f>((POWER((N85*N85*U85), 0.33)*LOG10(S85)*10*Data!$B$1)*V85)+AY85</f>
        <v>66.030735917412429</v>
      </c>
      <c r="BA85" s="2">
        <f t="shared" si="57"/>
        <v>36.29032258064516</v>
      </c>
      <c r="BB85" s="2">
        <f t="shared" si="60"/>
        <v>0</v>
      </c>
      <c r="BE85" s="2">
        <v>1</v>
      </c>
      <c r="BF85" s="2">
        <v>1</v>
      </c>
      <c r="BG85" s="2">
        <f t="shared" si="59"/>
        <v>42</v>
      </c>
      <c r="BH85" s="2">
        <f t="shared" si="68"/>
        <v>42</v>
      </c>
      <c r="BI85" s="3">
        <v>9.1</v>
      </c>
      <c r="BJ85" s="3">
        <v>2.4</v>
      </c>
      <c r="BK85" s="3">
        <v>2.6</v>
      </c>
      <c r="BL85" s="2" t="str">
        <f>CONCATENATE(
ROUND(BI85*VLOOKUP(L85,'ID Scheme'!$A$2:$E$7,3),0), "x",
ROUND(BJ85*VLOOKUP(L85,'ID Scheme'!$A$2:$E$7,5),0), "x",
ROUND(BK85*VLOOKUP(L85,'ID Scheme'!$A$2:$E$7,4),0))</f>
        <v>85x35x25</v>
      </c>
      <c r="BM85" t="s">
        <v>87</v>
      </c>
    </row>
    <row r="86" spans="1:65" x14ac:dyDescent="0.35">
      <c r="A86" t="s">
        <v>28</v>
      </c>
      <c r="B86" t="s">
        <v>173</v>
      </c>
      <c r="C86" t="s">
        <v>285</v>
      </c>
      <c r="D86">
        <f>IF(H86 &gt; 2020, ((H86-2020)*4)+1610+J86,IF(H86 &gt; 1900, ((H86-1900)*10)+400+J86, ((H86-1730)*2)+J86))+VLOOKUP(L86,'ID Scheme'!$A$2:$B$7,2, FALSE)</f>
        <v>1541</v>
      </c>
      <c r="F86">
        <v>1541</v>
      </c>
      <c r="G86" t="s">
        <v>683</v>
      </c>
      <c r="H86">
        <v>1954</v>
      </c>
      <c r="I86">
        <v>9</v>
      </c>
      <c r="J86">
        <v>1</v>
      </c>
      <c r="K86" t="s">
        <v>523</v>
      </c>
      <c r="L86" t="s">
        <v>12</v>
      </c>
      <c r="M86" t="s">
        <v>501</v>
      </c>
      <c r="N86">
        <v>40</v>
      </c>
      <c r="O86">
        <v>40</v>
      </c>
      <c r="P86">
        <v>25</v>
      </c>
      <c r="Q86">
        <v>7</v>
      </c>
      <c r="R86">
        <v>7.5</v>
      </c>
      <c r="S86">
        <v>115</v>
      </c>
      <c r="T86">
        <v>20</v>
      </c>
      <c r="U86">
        <v>72</v>
      </c>
      <c r="V86">
        <v>1</v>
      </c>
      <c r="W86" t="s">
        <v>289</v>
      </c>
      <c r="X86">
        <v>3</v>
      </c>
      <c r="Y86" s="2" t="s">
        <v>305</v>
      </c>
      <c r="Z86" s="2"/>
      <c r="AA86" s="2"/>
      <c r="AB86" s="2"/>
      <c r="AC86" s="2"/>
      <c r="AD86" s="2"/>
      <c r="AE86" s="2"/>
      <c r="AF86" s="2"/>
      <c r="AG86" s="2"/>
      <c r="AH86" s="2"/>
      <c r="AI86" s="2"/>
      <c r="AJ86" s="2"/>
      <c r="AR86">
        <v>8</v>
      </c>
      <c r="AX86" s="2">
        <f>(SQRT(N86*U86)*POWER((MIN(P86,20)+SQRT(MAX(P86-20,0))),0.9)*Data!$B$1)*(1-(V86-1))</f>
        <v>65.631102684772316</v>
      </c>
      <c r="AY86" s="2"/>
      <c r="AZ86" s="2">
        <f>((POWER((N86*N86*U86), 0.33)*LOG10(S86)*10*Data!$B$1)*V86)+AY86</f>
        <v>72.3360679145528</v>
      </c>
      <c r="BA86" s="2">
        <f t="shared" si="57"/>
        <v>32.258064516129032</v>
      </c>
      <c r="BB86" s="2">
        <f t="shared" si="60"/>
        <v>0</v>
      </c>
      <c r="BE86" s="2">
        <v>1</v>
      </c>
      <c r="BF86" s="2">
        <v>1</v>
      </c>
      <c r="BG86" s="2">
        <f t="shared" si="59"/>
        <v>72</v>
      </c>
      <c r="BH86" s="2">
        <f t="shared" si="68"/>
        <v>72</v>
      </c>
      <c r="BI86" s="3"/>
      <c r="BJ86" s="3"/>
      <c r="BK86" s="3"/>
      <c r="BL86" s="2" t="str">
        <f>CONCATENATE(
ROUND(BI86*VLOOKUP(L86,'ID Scheme'!$A$2:$E$7,3),0), "x",
ROUND(BJ86*VLOOKUP(L86,'ID Scheme'!$A$2:$E$7,5),0), "x",
ROUND(BK86*VLOOKUP(L86,'ID Scheme'!$A$2:$E$7,4),0))</f>
        <v>0x0x0</v>
      </c>
    </row>
    <row r="87" spans="1:65" x14ac:dyDescent="0.35">
      <c r="A87" t="s">
        <v>29</v>
      </c>
      <c r="B87" t="s">
        <v>174</v>
      </c>
      <c r="C87" t="s">
        <v>285</v>
      </c>
      <c r="D87">
        <f>IF(H87 &gt; 2020, ((H87-2020)*4)+1610+J87,IF(H87 &gt; 1900, ((H87-1900)*10)+400+J87, ((H87-1730)*2)+J87))+VLOOKUP(L87,'ID Scheme'!$A$2:$B$7,2, FALSE)</f>
        <v>1581</v>
      </c>
      <c r="F87">
        <v>1581</v>
      </c>
      <c r="G87" t="s">
        <v>683</v>
      </c>
      <c r="H87">
        <v>1958</v>
      </c>
      <c r="I87">
        <v>6</v>
      </c>
      <c r="J87">
        <v>1</v>
      </c>
      <c r="K87" t="s">
        <v>523</v>
      </c>
      <c r="L87" t="s">
        <v>12</v>
      </c>
      <c r="M87" t="s">
        <v>501</v>
      </c>
      <c r="N87">
        <v>76</v>
      </c>
      <c r="O87">
        <v>15</v>
      </c>
      <c r="P87">
        <v>16</v>
      </c>
      <c r="Q87">
        <v>4</v>
      </c>
      <c r="R87">
        <v>6</v>
      </c>
      <c r="S87">
        <v>138</v>
      </c>
      <c r="T87">
        <v>24</v>
      </c>
      <c r="U87">
        <v>34</v>
      </c>
      <c r="V87">
        <v>1.1000000000000001</v>
      </c>
      <c r="W87" t="s">
        <v>295</v>
      </c>
      <c r="X87">
        <v>2</v>
      </c>
      <c r="Y87" s="2" t="s">
        <v>296</v>
      </c>
      <c r="Z87" s="2"/>
      <c r="AA87" s="2"/>
      <c r="AB87" s="2"/>
      <c r="AC87" s="2"/>
      <c r="AD87" s="2"/>
      <c r="AE87" s="2"/>
      <c r="AF87" s="2"/>
      <c r="AG87" s="2"/>
      <c r="AH87" s="2"/>
      <c r="AI87" s="2"/>
      <c r="AJ87" s="2"/>
      <c r="AK87">
        <v>62</v>
      </c>
      <c r="AR87">
        <v>8</v>
      </c>
      <c r="AX87" s="2">
        <f>(SQRT(N87*U87)*POWER((MIN(P87,20)+SQRT(MAX(P87-20,0))),0.9)*Data!$B$1)*(1-(V87-1))</f>
        <v>41.606196119796323</v>
      </c>
      <c r="AY87" s="2"/>
      <c r="AZ87" s="2">
        <f>((POWER((N87*N87*U87), 0.33)*LOG10(S87)*10*Data!$B$1)*V87)+AY87</f>
        <v>98.529935018135305</v>
      </c>
      <c r="BA87" s="2">
        <f t="shared" si="57"/>
        <v>61.29032258064516</v>
      </c>
      <c r="BB87" s="2">
        <f t="shared" si="60"/>
        <v>50</v>
      </c>
      <c r="BE87" s="2">
        <v>1</v>
      </c>
      <c r="BF87" s="2">
        <v>1</v>
      </c>
      <c r="BG87" s="2">
        <f t="shared" si="59"/>
        <v>34</v>
      </c>
      <c r="BH87" s="2">
        <f t="shared" si="68"/>
        <v>34</v>
      </c>
      <c r="BI87" s="3"/>
      <c r="BJ87" s="3"/>
      <c r="BK87" s="3"/>
      <c r="BL87" s="2" t="str">
        <f>CONCATENATE(
ROUND(BI87*VLOOKUP(L87,'ID Scheme'!$A$2:$E$7,3),0), "x",
ROUND(BJ87*VLOOKUP(L87,'ID Scheme'!$A$2:$E$7,5),0), "x",
ROUND(BK87*VLOOKUP(L87,'ID Scheme'!$A$2:$E$7,4),0))</f>
        <v>0x0x0</v>
      </c>
    </row>
    <row r="88" spans="1:65" x14ac:dyDescent="0.35">
      <c r="A88" t="s">
        <v>59</v>
      </c>
      <c r="B88" t="s">
        <v>175</v>
      </c>
      <c r="C88" t="s">
        <v>285</v>
      </c>
      <c r="D88">
        <f>IF(H88 &gt; 2020, ((H88-2020)*4)+1610+J88,IF(H88 &gt; 1900, ((H88-1900)*10)+400+J88, ((H88-1730)*2)+J88))+VLOOKUP(L88,'ID Scheme'!$A$2:$B$7,2, FALSE)</f>
        <v>1582</v>
      </c>
      <c r="F88">
        <v>1582</v>
      </c>
      <c r="G88" t="s">
        <v>683</v>
      </c>
      <c r="H88">
        <v>1958</v>
      </c>
      <c r="I88">
        <v>1</v>
      </c>
      <c r="J88">
        <v>2</v>
      </c>
      <c r="K88" t="s">
        <v>523</v>
      </c>
      <c r="L88" t="s">
        <v>12</v>
      </c>
      <c r="M88" t="s">
        <v>501</v>
      </c>
      <c r="N88">
        <v>55</v>
      </c>
      <c r="O88">
        <v>30</v>
      </c>
      <c r="P88">
        <v>25</v>
      </c>
      <c r="Q88">
        <v>4</v>
      </c>
      <c r="R88">
        <v>7</v>
      </c>
      <c r="S88">
        <v>140</v>
      </c>
      <c r="T88">
        <v>20</v>
      </c>
      <c r="U88">
        <v>57</v>
      </c>
      <c r="V88">
        <v>1</v>
      </c>
      <c r="W88" t="s">
        <v>299</v>
      </c>
      <c r="X88">
        <v>3</v>
      </c>
      <c r="Y88" s="2" t="s">
        <v>300</v>
      </c>
      <c r="Z88" s="2"/>
      <c r="AA88" s="2"/>
      <c r="AB88" s="2"/>
      <c r="AC88" s="2"/>
      <c r="AD88" s="2"/>
      <c r="AE88" s="2"/>
      <c r="AF88" s="2"/>
      <c r="AG88" s="2"/>
      <c r="AH88" s="2"/>
      <c r="AI88" s="2"/>
      <c r="AJ88" s="2"/>
      <c r="AR88">
        <v>8</v>
      </c>
      <c r="AX88" s="2">
        <f>(SQRT(N88*U88)*POWER((MIN(P88,20)+SQRT(MAX(P88-20,0))),0.9)*Data!$B$1)*(1-(V88-1))</f>
        <v>68.475029766042482</v>
      </c>
      <c r="AY88" s="2"/>
      <c r="AZ88" s="2">
        <f>((POWER((N88*N88*U88), 0.33)*LOG10(S88)*10*Data!$B$1)*V88)+AY88</f>
        <v>86.05873713759469</v>
      </c>
      <c r="BA88" s="2">
        <f t="shared" si="57"/>
        <v>44.354838709677416</v>
      </c>
      <c r="BB88" s="2">
        <f t="shared" si="60"/>
        <v>0</v>
      </c>
      <c r="BE88" s="2">
        <v>1</v>
      </c>
      <c r="BF88" s="2">
        <v>1</v>
      </c>
      <c r="BG88" s="2">
        <f t="shared" si="59"/>
        <v>57</v>
      </c>
      <c r="BH88" s="2">
        <f t="shared" si="68"/>
        <v>57</v>
      </c>
      <c r="BI88" s="3"/>
      <c r="BJ88" s="3"/>
      <c r="BK88" s="3"/>
      <c r="BL88" s="2" t="str">
        <f>CONCATENATE(
ROUND(BI88*VLOOKUP(L88,'ID Scheme'!$A$2:$E$7,3),0), "x",
ROUND(BJ88*VLOOKUP(L88,'ID Scheme'!$A$2:$E$7,5),0), "x",
ROUND(BK88*VLOOKUP(L88,'ID Scheme'!$A$2:$E$7,4),0))</f>
        <v>0x0x0</v>
      </c>
    </row>
    <row r="89" spans="1:65" x14ac:dyDescent="0.35">
      <c r="A89" t="s">
        <v>579</v>
      </c>
      <c r="B89" t="s">
        <v>578</v>
      </c>
      <c r="C89" t="s">
        <v>285</v>
      </c>
      <c r="D89">
        <f>IF(H89 &gt; 2020, ((H89-2020)*4)+1610+J89,IF(H89 &gt; 1900, ((H89-1900)*10)+400+J89, ((H89-1730)*2)+J89))+VLOOKUP(L89,'ID Scheme'!$A$2:$B$7,2, FALSE)</f>
        <v>1601</v>
      </c>
      <c r="F89">
        <v>1601</v>
      </c>
      <c r="G89" t="s">
        <v>683</v>
      </c>
      <c r="H89">
        <v>1960</v>
      </c>
      <c r="I89">
        <v>2</v>
      </c>
      <c r="J89">
        <v>1</v>
      </c>
      <c r="K89" t="s">
        <v>523</v>
      </c>
      <c r="L89" t="s">
        <v>12</v>
      </c>
      <c r="M89" t="s">
        <v>506</v>
      </c>
      <c r="N89">
        <v>30</v>
      </c>
      <c r="O89">
        <v>-1</v>
      </c>
      <c r="P89">
        <v>19</v>
      </c>
      <c r="Q89">
        <v>5</v>
      </c>
      <c r="R89">
        <v>5</v>
      </c>
      <c r="S89">
        <v>95</v>
      </c>
      <c r="T89">
        <v>20</v>
      </c>
      <c r="U89">
        <v>65</v>
      </c>
      <c r="V89">
        <v>1</v>
      </c>
      <c r="W89" t="s">
        <v>365</v>
      </c>
      <c r="X89">
        <v>3</v>
      </c>
      <c r="Y89" s="2" t="s">
        <v>580</v>
      </c>
      <c r="Z89" s="2"/>
      <c r="AA89" s="2"/>
      <c r="AB89" s="2"/>
      <c r="AC89" s="2"/>
      <c r="AD89" s="2"/>
      <c r="AE89" s="2"/>
      <c r="AF89" s="2"/>
      <c r="AG89" s="2"/>
      <c r="AH89" s="2"/>
      <c r="AI89" s="2"/>
      <c r="AJ89" s="2"/>
      <c r="AR89">
        <v>8</v>
      </c>
      <c r="AX89" s="2">
        <f>(SQRT(N89*U89)*POWER((MIN(P89,20)+SQRT(MAX(P89-20,0))),0.9)*Data!$B$1)*(1-(V89-1))</f>
        <v>46.876676153043313</v>
      </c>
      <c r="AY89" s="2"/>
      <c r="AZ89" s="2">
        <f>((POWER((N89*N89*U89), 0.33)*LOG10(S89)*10*Data!$B$1)*V89)+AY89</f>
        <v>55.512181741920003</v>
      </c>
      <c r="BA89" s="2">
        <f t="shared" si="57"/>
        <v>24.193548387096776</v>
      </c>
      <c r="BB89" s="2">
        <f t="shared" si="60"/>
        <v>0</v>
      </c>
      <c r="BE89" s="2">
        <v>1</v>
      </c>
      <c r="BF89" s="2">
        <v>1</v>
      </c>
      <c r="BG89" s="2">
        <f t="shared" si="59"/>
        <v>65</v>
      </c>
      <c r="BH89" s="2">
        <f t="shared" si="68"/>
        <v>65</v>
      </c>
      <c r="BI89" s="3">
        <v>11</v>
      </c>
      <c r="BJ89" s="3">
        <v>2.5</v>
      </c>
      <c r="BK89" s="3">
        <v>3.8</v>
      </c>
      <c r="BL89" s="2" t="str">
        <f>CONCATENATE(
ROUND(BI89*VLOOKUP(L89,'ID Scheme'!$A$2:$E$7,3),0), "x",
ROUND(BJ89*VLOOKUP(L89,'ID Scheme'!$A$2:$E$7,5),0), "x",
ROUND(BK89*VLOOKUP(L89,'ID Scheme'!$A$2:$E$7,4),0))</f>
        <v>103x36x37</v>
      </c>
    </row>
    <row r="90" spans="1:65" x14ac:dyDescent="0.35">
      <c r="A90" t="s">
        <v>25</v>
      </c>
      <c r="B90" t="s">
        <v>176</v>
      </c>
      <c r="C90" t="s">
        <v>285</v>
      </c>
      <c r="D90">
        <f>IF(H90 &gt; 2020, ((H90-2020)*4)+1610+J90,IF(H90 &gt; 1900, ((H90-1900)*10)+400+J90, ((H90-1730)*2)+J90))+VLOOKUP(L90,'ID Scheme'!$A$2:$B$7,2, FALSE)</f>
        <v>1631</v>
      </c>
      <c r="F90">
        <v>1631</v>
      </c>
      <c r="G90" t="s">
        <v>683</v>
      </c>
      <c r="H90">
        <v>1963</v>
      </c>
      <c r="I90">
        <v>6</v>
      </c>
      <c r="J90">
        <v>1</v>
      </c>
      <c r="K90" t="s">
        <v>523</v>
      </c>
      <c r="L90" t="s">
        <v>12</v>
      </c>
      <c r="M90" t="s">
        <v>501</v>
      </c>
      <c r="N90">
        <v>55</v>
      </c>
      <c r="O90">
        <v>20</v>
      </c>
      <c r="P90">
        <v>18</v>
      </c>
      <c r="Q90">
        <v>4</v>
      </c>
      <c r="R90">
        <v>10</v>
      </c>
      <c r="S90">
        <v>143</v>
      </c>
      <c r="T90">
        <v>20</v>
      </c>
      <c r="U90">
        <v>52</v>
      </c>
      <c r="V90">
        <v>1</v>
      </c>
      <c r="W90" t="s">
        <v>299</v>
      </c>
      <c r="X90">
        <v>3</v>
      </c>
      <c r="Y90" s="2" t="s">
        <v>301</v>
      </c>
      <c r="Z90" s="2"/>
      <c r="AA90" s="2"/>
      <c r="AB90" s="2"/>
      <c r="AC90" s="2"/>
      <c r="AD90" s="2"/>
      <c r="AE90" s="2"/>
      <c r="AF90" s="2"/>
      <c r="AG90" s="2"/>
      <c r="AH90" s="2"/>
      <c r="AI90" s="2"/>
      <c r="AJ90" s="2"/>
      <c r="AR90">
        <v>8</v>
      </c>
      <c r="AX90" s="2">
        <f>(SQRT(N90*U90)*POWER((MIN(P90,20)+SQRT(MAX(P90-20,0))),0.9)*Data!$B$1)*(1-(V90-1))</f>
        <v>54.074129222607461</v>
      </c>
      <c r="AY90" s="2"/>
      <c r="AZ90" s="2">
        <f>((POWER((N90*N90*U90), 0.33)*LOG10(S90)*10*Data!$B$1)*V90)+AY90</f>
        <v>83.848776966287019</v>
      </c>
      <c r="BA90" s="2">
        <f t="shared" si="57"/>
        <v>44.354838709677416</v>
      </c>
      <c r="BB90" s="2">
        <f t="shared" si="60"/>
        <v>0</v>
      </c>
      <c r="BE90" s="2">
        <v>1</v>
      </c>
      <c r="BF90" s="2">
        <v>1</v>
      </c>
      <c r="BG90" s="2">
        <f t="shared" si="59"/>
        <v>52</v>
      </c>
      <c r="BH90" s="2">
        <f t="shared" si="68"/>
        <v>52</v>
      </c>
      <c r="BI90" s="3">
        <v>11</v>
      </c>
      <c r="BJ90" s="3">
        <v>2.5</v>
      </c>
      <c r="BK90" s="3"/>
      <c r="BL90" s="2" t="str">
        <f>CONCATENATE(
ROUND(BI90*VLOOKUP(L90,'ID Scheme'!$A$2:$E$7,3),0), "x",
ROUND(BJ90*VLOOKUP(L90,'ID Scheme'!$A$2:$E$7,5),0), "x",
ROUND(BK90*VLOOKUP(L90,'ID Scheme'!$A$2:$E$7,4),0))</f>
        <v>103x36x0</v>
      </c>
    </row>
    <row r="91" spans="1:65" x14ac:dyDescent="0.35">
      <c r="A91" t="s">
        <v>45</v>
      </c>
      <c r="B91" t="s">
        <v>177</v>
      </c>
      <c r="C91" t="s">
        <v>285</v>
      </c>
      <c r="D91">
        <f>IF(H91 &gt; 2020, ((H91-2020)*4)+1610+J91,IF(H91 &gt; 1900, ((H91-1900)*10)+400+J91, ((H91-1730)*2)+J91))+VLOOKUP(L91,'ID Scheme'!$A$2:$B$7,2, FALSE)</f>
        <v>1721</v>
      </c>
      <c r="F91">
        <v>1721</v>
      </c>
      <c r="G91" t="s">
        <v>683</v>
      </c>
      <c r="H91">
        <v>1972</v>
      </c>
      <c r="I91">
        <v>1</v>
      </c>
      <c r="J91">
        <v>1</v>
      </c>
      <c r="K91" t="s">
        <v>523</v>
      </c>
      <c r="L91" t="s">
        <v>12</v>
      </c>
      <c r="M91" t="s">
        <v>501</v>
      </c>
      <c r="N91">
        <v>52</v>
      </c>
      <c r="O91">
        <v>23</v>
      </c>
      <c r="P91">
        <v>22</v>
      </c>
      <c r="Q91">
        <v>5</v>
      </c>
      <c r="R91">
        <v>7</v>
      </c>
      <c r="S91">
        <v>165</v>
      </c>
      <c r="T91">
        <v>20</v>
      </c>
      <c r="U91">
        <v>58</v>
      </c>
      <c r="V91">
        <v>1</v>
      </c>
      <c r="W91" t="s">
        <v>289</v>
      </c>
      <c r="X91">
        <v>3</v>
      </c>
      <c r="Y91" s="2" t="s">
        <v>302</v>
      </c>
      <c r="Z91" s="2"/>
      <c r="AA91" s="2"/>
      <c r="AB91" s="2"/>
      <c r="AC91" s="2"/>
      <c r="AD91" s="2"/>
      <c r="AE91" s="2"/>
      <c r="AF91" s="2"/>
      <c r="AG91" s="2"/>
      <c r="AH91" s="2"/>
      <c r="AI91" s="2"/>
      <c r="AJ91" s="2"/>
      <c r="AR91">
        <v>8</v>
      </c>
      <c r="AX91" s="2">
        <f>(SQRT(N91*U91)*POWER((MIN(P91,20)+SQRT(MAX(P91-20,0))),0.9)*Data!$B$1)*(1-(V91-1))</f>
        <v>64.924535113354011</v>
      </c>
      <c r="AY91" s="2"/>
      <c r="AZ91" s="2">
        <f>((POWER((N91*N91*U91), 0.33)*LOG10(S91)*10*Data!$B$1)*V91)+AY91</f>
        <v>86.181726874059862</v>
      </c>
      <c r="BA91" s="2">
        <f t="shared" si="57"/>
        <v>41.935483870967744</v>
      </c>
      <c r="BB91" s="2">
        <f t="shared" si="60"/>
        <v>0</v>
      </c>
      <c r="BE91" s="2">
        <v>1</v>
      </c>
      <c r="BF91" s="2">
        <v>1</v>
      </c>
      <c r="BG91" s="2">
        <f t="shared" si="59"/>
        <v>58</v>
      </c>
      <c r="BH91" s="2">
        <f t="shared" si="68"/>
        <v>58</v>
      </c>
      <c r="BI91" s="3">
        <v>11.3</v>
      </c>
      <c r="BJ91" s="3">
        <v>2.5</v>
      </c>
      <c r="BK91" s="3"/>
      <c r="BL91" s="2" t="str">
        <f>CONCATENATE(
ROUND(BI91*VLOOKUP(L91,'ID Scheme'!$A$2:$E$7,3),0), "x",
ROUND(BJ91*VLOOKUP(L91,'ID Scheme'!$A$2:$E$7,5),0), "x",
ROUND(BK91*VLOOKUP(L91,'ID Scheme'!$A$2:$E$7,4),0))</f>
        <v>106x36x0</v>
      </c>
    </row>
    <row r="92" spans="1:65" x14ac:dyDescent="0.35">
      <c r="A92" t="s">
        <v>94</v>
      </c>
      <c r="B92" t="s">
        <v>178</v>
      </c>
      <c r="C92" t="s">
        <v>285</v>
      </c>
      <c r="D92">
        <f>IF(H92 &gt; 2020, ((H92-2020)*4)+1610+J92,IF(H92 &gt; 1900, ((H92-1900)*10)+400+J92, ((H92-1730)*2)+J92))+VLOOKUP(L92,'ID Scheme'!$A$2:$B$7,2, FALSE)</f>
        <v>1771</v>
      </c>
      <c r="F92">
        <v>1771</v>
      </c>
      <c r="G92" t="s">
        <v>683</v>
      </c>
      <c r="H92">
        <v>1977</v>
      </c>
      <c r="I92">
        <v>1</v>
      </c>
      <c r="J92">
        <v>1</v>
      </c>
      <c r="K92" t="s">
        <v>523</v>
      </c>
      <c r="L92" t="s">
        <v>12</v>
      </c>
      <c r="M92" t="s">
        <v>501</v>
      </c>
      <c r="N92">
        <v>45</v>
      </c>
      <c r="O92">
        <v>12</v>
      </c>
      <c r="P92">
        <v>19</v>
      </c>
      <c r="Q92">
        <v>7</v>
      </c>
      <c r="R92">
        <v>10</v>
      </c>
      <c r="S92">
        <v>210</v>
      </c>
      <c r="T92">
        <v>20</v>
      </c>
      <c r="U92">
        <v>71</v>
      </c>
      <c r="V92">
        <v>1</v>
      </c>
      <c r="W92" t="s">
        <v>299</v>
      </c>
      <c r="X92">
        <v>3</v>
      </c>
      <c r="Y92" s="2" t="s">
        <v>303</v>
      </c>
      <c r="Z92" s="2"/>
      <c r="AA92" s="2"/>
      <c r="AB92" s="2"/>
      <c r="AC92" s="2"/>
      <c r="AD92" s="2"/>
      <c r="AE92" s="2"/>
      <c r="AF92" s="2"/>
      <c r="AG92" s="2"/>
      <c r="AH92" s="2"/>
      <c r="AI92" s="2"/>
      <c r="AJ92" s="2"/>
      <c r="AR92">
        <v>8</v>
      </c>
      <c r="AX92" s="2">
        <f>(SQRT(N92*U92)*POWER((MIN(P92,20)+SQRT(MAX(P92-20,0))),0.9)*Data!$B$1)*(1-(V92-1))</f>
        <v>60.003272308491312</v>
      </c>
      <c r="AY92" s="2"/>
      <c r="AZ92" s="2">
        <f>((POWER((N92*N92*U92), 0.33)*LOG10(S92)*10*Data!$B$1)*V92)+AY92</f>
        <v>87.700083475967674</v>
      </c>
      <c r="BA92" s="2">
        <f t="shared" si="57"/>
        <v>36.29032258064516</v>
      </c>
      <c r="BB92" s="2">
        <f t="shared" si="60"/>
        <v>0</v>
      </c>
      <c r="BE92" s="2">
        <v>1</v>
      </c>
      <c r="BF92" s="2">
        <v>1</v>
      </c>
      <c r="BG92" s="2">
        <f t="shared" si="59"/>
        <v>71</v>
      </c>
      <c r="BH92" s="2">
        <f t="shared" si="68"/>
        <v>71</v>
      </c>
      <c r="BI92" s="3">
        <v>12</v>
      </c>
      <c r="BJ92" s="3">
        <v>2.5</v>
      </c>
      <c r="BK92" s="3">
        <v>4.2</v>
      </c>
      <c r="BL92" s="2" t="str">
        <f>CONCATENATE(
ROUND(BI92*VLOOKUP(L92,'ID Scheme'!$A$2:$E$7,3),0), "x",
ROUND(BJ92*VLOOKUP(L92,'ID Scheme'!$A$2:$E$7,5),0), "x",
ROUND(BK92*VLOOKUP(L92,'ID Scheme'!$A$2:$E$7,4),0))</f>
        <v>112x36x41</v>
      </c>
    </row>
    <row r="93" spans="1:65" x14ac:dyDescent="0.35">
      <c r="A93" t="s">
        <v>34</v>
      </c>
      <c r="B93" t="s">
        <v>179</v>
      </c>
      <c r="C93" t="s">
        <v>285</v>
      </c>
      <c r="D93">
        <f>IF(H93 &gt; 2020, ((H93-2020)*4)+1610+J93,IF(H93 &gt; 1900, ((H93-1900)*10)+400+J93, ((H93-1730)*2)+J93))+VLOOKUP(L93,'ID Scheme'!$A$2:$B$7,2, FALSE)</f>
        <v>1781</v>
      </c>
      <c r="F93">
        <v>1781</v>
      </c>
      <c r="G93" t="s">
        <v>683</v>
      </c>
      <c r="H93">
        <v>1978</v>
      </c>
      <c r="I93">
        <v>6</v>
      </c>
      <c r="J93">
        <v>1</v>
      </c>
      <c r="K93" t="s">
        <v>523</v>
      </c>
      <c r="L93" t="s">
        <v>12</v>
      </c>
      <c r="M93" t="s">
        <v>501</v>
      </c>
      <c r="N93">
        <v>62</v>
      </c>
      <c r="O93">
        <v>25</v>
      </c>
      <c r="P93">
        <v>22</v>
      </c>
      <c r="Q93">
        <v>4</v>
      </c>
      <c r="R93">
        <v>12</v>
      </c>
      <c r="S93">
        <v>245</v>
      </c>
      <c r="T93">
        <v>18</v>
      </c>
      <c r="U93">
        <v>55</v>
      </c>
      <c r="V93">
        <v>1</v>
      </c>
      <c r="W93" t="s">
        <v>295</v>
      </c>
      <c r="X93">
        <v>3</v>
      </c>
      <c r="Y93" s="2" t="s">
        <v>304</v>
      </c>
      <c r="Z93" s="2"/>
      <c r="AA93" s="2"/>
      <c r="AB93" s="2"/>
      <c r="AC93" s="2"/>
      <c r="AD93" s="2"/>
      <c r="AE93" s="2"/>
      <c r="AF93" s="2"/>
      <c r="AG93" s="2"/>
      <c r="AH93" s="2"/>
      <c r="AI93" s="2"/>
      <c r="AJ93" s="2"/>
      <c r="AR93">
        <v>8</v>
      </c>
      <c r="AX93" s="2">
        <f>(SQRT(N93*U93)*POWER((MIN(P93,20)+SQRT(MAX(P93-20,0))),0.9)*Data!$B$1)*(1-(V93-1))</f>
        <v>69.035165364270128</v>
      </c>
      <c r="AY93" s="2"/>
      <c r="AZ93" s="2">
        <f>((POWER((N93*N93*U93), 0.33)*LOG10(S93)*10*Data!$B$1)*V93)+AY93</f>
        <v>102.47214024912293</v>
      </c>
      <c r="BA93" s="2">
        <f t="shared" si="57"/>
        <v>50</v>
      </c>
      <c r="BB93" s="2">
        <f t="shared" si="60"/>
        <v>0</v>
      </c>
      <c r="BE93" s="2">
        <v>1</v>
      </c>
      <c r="BF93" s="2">
        <v>1</v>
      </c>
      <c r="BG93" s="2">
        <f t="shared" si="59"/>
        <v>55</v>
      </c>
      <c r="BH93" s="2">
        <f t="shared" si="68"/>
        <v>55</v>
      </c>
      <c r="BI93" s="3">
        <v>12</v>
      </c>
      <c r="BJ93" s="3">
        <v>2.5</v>
      </c>
      <c r="BK93" s="3">
        <v>3.3</v>
      </c>
      <c r="BL93" s="2" t="str">
        <f>CONCATENATE(
ROUND(BI93*VLOOKUP(L93,'ID Scheme'!$A$2:$E$7,3),0), "x",
ROUND(BJ93*VLOOKUP(L93,'ID Scheme'!$A$2:$E$7,5),0), "x",
ROUND(BK93*VLOOKUP(L93,'ID Scheme'!$A$2:$E$7,4),0))</f>
        <v>112x36x32</v>
      </c>
    </row>
    <row r="94" spans="1:65" x14ac:dyDescent="0.35">
      <c r="A94" t="s">
        <v>32</v>
      </c>
      <c r="B94" t="s">
        <v>180</v>
      </c>
      <c r="C94" t="s">
        <v>285</v>
      </c>
      <c r="D94">
        <f>IF(H94 &gt; 2020, ((H94-2020)*4)+1610+J94,IF(H94 &gt; 1900, ((H94-1900)*10)+400+J94, ((H94-1730)*2)+J94))+VLOOKUP(L94,'ID Scheme'!$A$2:$B$7,2, FALSE)</f>
        <v>1801</v>
      </c>
      <c r="F94">
        <v>1801</v>
      </c>
      <c r="G94" t="s">
        <v>683</v>
      </c>
      <c r="H94">
        <v>1980</v>
      </c>
      <c r="I94">
        <v>1</v>
      </c>
      <c r="J94">
        <v>1</v>
      </c>
      <c r="K94" t="s">
        <v>523</v>
      </c>
      <c r="L94" t="s">
        <v>12</v>
      </c>
      <c r="M94" t="s">
        <v>501</v>
      </c>
      <c r="N94">
        <v>47</v>
      </c>
      <c r="O94">
        <v>13</v>
      </c>
      <c r="P94">
        <v>22</v>
      </c>
      <c r="Q94">
        <v>7</v>
      </c>
      <c r="R94">
        <v>10</v>
      </c>
      <c r="S94">
        <v>180</v>
      </c>
      <c r="T94">
        <v>20</v>
      </c>
      <c r="U94">
        <v>73</v>
      </c>
      <c r="V94">
        <v>1</v>
      </c>
      <c r="W94" t="s">
        <v>289</v>
      </c>
      <c r="X94">
        <v>3</v>
      </c>
      <c r="Y94" s="2" t="s">
        <v>313</v>
      </c>
      <c r="Z94" s="2"/>
      <c r="AA94" s="2"/>
      <c r="AB94" s="2"/>
      <c r="AC94" s="2"/>
      <c r="AD94" s="2"/>
      <c r="AE94" s="2"/>
      <c r="AF94" s="2"/>
      <c r="AG94" s="2"/>
      <c r="AH94" s="2"/>
      <c r="AI94" s="2"/>
      <c r="AJ94" s="2"/>
      <c r="AR94">
        <v>8</v>
      </c>
      <c r="AX94" s="2">
        <f>(SQRT(N94*U94)*POWER((MIN(P94,20)+SQRT(MAX(P94-20,0))),0.9)*Data!$B$1)*(1-(V94-1))</f>
        <v>69.247410718668419</v>
      </c>
      <c r="AY94" s="2"/>
      <c r="AZ94" s="2">
        <f>((POWER((N94*N94*U94), 0.33)*LOG10(S94)*10*Data!$B$1)*V94)+AY94</f>
        <v>88.458876415134782</v>
      </c>
      <c r="BA94" s="2">
        <f t="shared" si="57"/>
        <v>37.903225806451616</v>
      </c>
      <c r="BB94" s="2">
        <f t="shared" si="60"/>
        <v>0</v>
      </c>
      <c r="BE94" s="2">
        <v>1</v>
      </c>
      <c r="BF94" s="2">
        <v>1</v>
      </c>
      <c r="BG94" s="2">
        <f t="shared" si="59"/>
        <v>73</v>
      </c>
      <c r="BH94" s="2">
        <f t="shared" si="68"/>
        <v>73</v>
      </c>
      <c r="BI94" s="3">
        <v>12</v>
      </c>
      <c r="BJ94" s="3">
        <v>2.5</v>
      </c>
      <c r="BK94" s="3">
        <v>4.2</v>
      </c>
      <c r="BL94" s="2" t="str">
        <f>CONCATENATE(
ROUND(BI94*VLOOKUP(L94,'ID Scheme'!$A$2:$E$7,3),0), "x",
ROUND(BJ94*VLOOKUP(L94,'ID Scheme'!$A$2:$E$7,5),0), "x",
ROUND(BK94*VLOOKUP(L94,'ID Scheme'!$A$2:$E$7,4),0))</f>
        <v>112x36x41</v>
      </c>
    </row>
    <row r="95" spans="1:65" x14ac:dyDescent="0.35">
      <c r="A95" t="s">
        <v>481</v>
      </c>
      <c r="B95" t="s">
        <v>482</v>
      </c>
      <c r="C95" t="s">
        <v>285</v>
      </c>
      <c r="D95">
        <f>IF(H95 &gt; 2020, ((H95-2020)*4)+1610+J95,IF(H95 &gt; 1900, ((H95-1900)*10)+400+J95, ((H95-1730)*2)+J95))+VLOOKUP(L95,'ID Scheme'!$A$2:$B$7,2, FALSE)</f>
        <v>1861</v>
      </c>
      <c r="F95">
        <v>1861</v>
      </c>
      <c r="G95" t="s">
        <v>683</v>
      </c>
      <c r="H95">
        <v>1986</v>
      </c>
      <c r="I95">
        <v>10</v>
      </c>
      <c r="J95">
        <v>1</v>
      </c>
      <c r="K95" t="s">
        <v>523</v>
      </c>
      <c r="L95" t="s">
        <v>12</v>
      </c>
      <c r="M95" t="s">
        <v>501</v>
      </c>
      <c r="N95">
        <v>64</v>
      </c>
      <c r="O95">
        <v>14</v>
      </c>
      <c r="P95">
        <v>11</v>
      </c>
      <c r="Q95">
        <v>5</v>
      </c>
      <c r="R95">
        <v>6</v>
      </c>
      <c r="S95">
        <v>130</v>
      </c>
      <c r="T95">
        <v>24</v>
      </c>
      <c r="U95">
        <v>33</v>
      </c>
      <c r="V95">
        <v>1</v>
      </c>
      <c r="W95" t="s">
        <v>289</v>
      </c>
      <c r="X95">
        <v>2</v>
      </c>
      <c r="Y95" s="2" t="s">
        <v>483</v>
      </c>
      <c r="Z95" s="2"/>
      <c r="AA95" s="2"/>
      <c r="AB95" s="2"/>
      <c r="AC95" s="2"/>
      <c r="AD95" s="2"/>
      <c r="AE95" s="2"/>
      <c r="AF95" s="2"/>
      <c r="AG95" s="2"/>
      <c r="AH95" s="2"/>
      <c r="AI95" s="2"/>
      <c r="AJ95" s="2"/>
      <c r="AR95">
        <v>7</v>
      </c>
      <c r="AX95" s="2">
        <f>(SQRT(N95*U95)*POWER((MIN(P95,20)+SQRT(MAX(P95-20,0))),0.9)*Data!$B$1)*(1-(V95-1))</f>
        <v>29.830575842658725</v>
      </c>
      <c r="AY95" s="2"/>
      <c r="AZ95" s="2">
        <f>((POWER((N95*N95*U95), 0.33)*LOG10(S95)*10*Data!$B$1)*V95)+AY95</f>
        <v>78.224535261541249</v>
      </c>
      <c r="BA95" s="2">
        <f t="shared" si="57"/>
        <v>51.612903225806456</v>
      </c>
      <c r="BB95" s="2">
        <f t="shared" si="60"/>
        <v>0</v>
      </c>
      <c r="BE95" s="2">
        <v>1</v>
      </c>
      <c r="BF95" s="2">
        <v>1</v>
      </c>
      <c r="BG95" s="2">
        <f t="shared" si="59"/>
        <v>33</v>
      </c>
      <c r="BH95" s="2">
        <f t="shared" si="68"/>
        <v>33</v>
      </c>
      <c r="BI95" s="3">
        <v>8.4</v>
      </c>
      <c r="BJ95" s="3">
        <v>2.2999999999999998</v>
      </c>
      <c r="BK95" s="3">
        <v>2.7</v>
      </c>
      <c r="BL95" s="2" t="str">
        <f>CONCATENATE(
ROUND(BI95*VLOOKUP(L95,'ID Scheme'!$A$2:$E$7,3),0), "x",
ROUND(BJ95*VLOOKUP(L95,'ID Scheme'!$A$2:$E$7,5),0), "x",
ROUND(BK95*VLOOKUP(L95,'ID Scheme'!$A$2:$E$7,4),0))</f>
        <v>78x33x26</v>
      </c>
    </row>
    <row r="96" spans="1:65" x14ac:dyDescent="0.35">
      <c r="A96" t="s">
        <v>46</v>
      </c>
      <c r="B96" t="s">
        <v>181</v>
      </c>
      <c r="C96" t="s">
        <v>285</v>
      </c>
      <c r="D96">
        <f>IF(H96 &gt; 2020, ((H96-2020)*4)+1610+J96,IF(H96 &gt; 1900, ((H96-1900)*10)+400+J96, ((H96-1730)*2)+J96))+VLOOKUP(L96,'ID Scheme'!$A$2:$B$7,2, FALSE)</f>
        <v>1891</v>
      </c>
      <c r="F96">
        <v>1891</v>
      </c>
      <c r="G96" t="s">
        <v>683</v>
      </c>
      <c r="H96">
        <v>1989</v>
      </c>
      <c r="I96">
        <v>1</v>
      </c>
      <c r="J96">
        <v>1</v>
      </c>
      <c r="K96" t="s">
        <v>523</v>
      </c>
      <c r="L96" t="s">
        <v>12</v>
      </c>
      <c r="M96" t="s">
        <v>501</v>
      </c>
      <c r="N96">
        <v>56</v>
      </c>
      <c r="O96">
        <v>19</v>
      </c>
      <c r="P96">
        <v>21</v>
      </c>
      <c r="Q96">
        <v>5</v>
      </c>
      <c r="R96">
        <v>6</v>
      </c>
      <c r="S96">
        <v>130</v>
      </c>
      <c r="T96">
        <v>20</v>
      </c>
      <c r="U96">
        <v>50</v>
      </c>
      <c r="V96">
        <v>1</v>
      </c>
      <c r="W96" t="s">
        <v>289</v>
      </c>
      <c r="X96">
        <v>3</v>
      </c>
      <c r="Y96" s="2" t="s">
        <v>314</v>
      </c>
      <c r="Z96" s="2"/>
      <c r="AA96" s="2"/>
      <c r="AB96" s="2"/>
      <c r="AC96" s="2"/>
      <c r="AD96" s="2"/>
      <c r="AE96" s="2"/>
      <c r="AF96" s="2"/>
      <c r="AG96" s="2"/>
      <c r="AH96" s="2"/>
      <c r="AI96" s="2"/>
      <c r="AJ96" s="2"/>
      <c r="AR96">
        <v>8</v>
      </c>
      <c r="AX96" s="2">
        <f>(SQRT(N96*U96)*POWER((MIN(P96,20)+SQRT(MAX(P96-20,0))),0.9)*Data!$B$1)*(1-(V96-1))</f>
        <v>61.466381101342122</v>
      </c>
      <c r="AY96" s="2"/>
      <c r="AZ96" s="2">
        <f>((POWER((N96*N96*U96), 0.33)*LOG10(S96)*10*Data!$B$1)*V96)+AY96</f>
        <v>82.152126183000618</v>
      </c>
      <c r="BA96" s="2">
        <f t="shared" si="57"/>
        <v>45.161290322580648</v>
      </c>
      <c r="BB96" s="2">
        <f t="shared" si="60"/>
        <v>0</v>
      </c>
      <c r="BE96" s="2">
        <v>1</v>
      </c>
      <c r="BF96" s="2">
        <v>1</v>
      </c>
      <c r="BG96" s="2">
        <f t="shared" si="59"/>
        <v>50</v>
      </c>
      <c r="BH96" s="2">
        <f t="shared" si="68"/>
        <v>50</v>
      </c>
      <c r="BI96" s="3">
        <v>10.199999999999999</v>
      </c>
      <c r="BJ96" s="3">
        <v>2.4</v>
      </c>
      <c r="BK96" s="3">
        <v>2.7</v>
      </c>
      <c r="BL96" s="2" t="str">
        <f>CONCATENATE(
ROUND(BI96*VLOOKUP(L96,'ID Scheme'!$A$2:$E$7,3),0), "x",
ROUND(BJ96*VLOOKUP(L96,'ID Scheme'!$A$2:$E$7,5),0), "x",
ROUND(BK96*VLOOKUP(L96,'ID Scheme'!$A$2:$E$7,4),0))</f>
        <v>95x35x26</v>
      </c>
    </row>
    <row r="97" spans="1:65" x14ac:dyDescent="0.35">
      <c r="A97" t="s">
        <v>658</v>
      </c>
      <c r="B97" t="s">
        <v>659</v>
      </c>
      <c r="C97" t="s">
        <v>285</v>
      </c>
      <c r="D97">
        <f>IF(H97 &gt; 2020, ((H97-2020)*4)+1610+J97,IF(H97 &gt; 1900, ((H97-1900)*10)+400+J97, ((H97-1730)*2)+J97))+VLOOKUP(L97,'ID Scheme'!$A$2:$B$7,2, FALSE)</f>
        <v>1921</v>
      </c>
      <c r="F97">
        <v>1921</v>
      </c>
      <c r="G97" t="s">
        <v>683</v>
      </c>
      <c r="H97">
        <v>1992</v>
      </c>
      <c r="I97">
        <v>3</v>
      </c>
      <c r="J97">
        <v>1</v>
      </c>
      <c r="K97" t="s">
        <v>523</v>
      </c>
      <c r="L97" t="s">
        <v>12</v>
      </c>
      <c r="M97" t="s">
        <v>501</v>
      </c>
      <c r="N97">
        <v>48</v>
      </c>
      <c r="O97">
        <v>12</v>
      </c>
      <c r="P97">
        <v>22</v>
      </c>
      <c r="Q97">
        <v>7</v>
      </c>
      <c r="R97">
        <v>10</v>
      </c>
      <c r="S97">
        <v>240</v>
      </c>
      <c r="T97">
        <v>20</v>
      </c>
      <c r="U97">
        <v>73</v>
      </c>
      <c r="V97">
        <v>1</v>
      </c>
      <c r="W97" t="s">
        <v>295</v>
      </c>
      <c r="X97">
        <v>3</v>
      </c>
      <c r="Y97" s="2" t="s">
        <v>660</v>
      </c>
      <c r="Z97" s="2"/>
      <c r="AA97" s="2"/>
      <c r="AB97" s="2"/>
      <c r="AC97" s="2"/>
      <c r="AD97" s="2"/>
      <c r="AE97" s="2"/>
      <c r="AF97" s="2"/>
      <c r="AG97" s="2"/>
      <c r="AH97" s="2"/>
      <c r="AI97" s="2"/>
      <c r="AJ97" s="2"/>
      <c r="AR97">
        <v>8</v>
      </c>
      <c r="AX97" s="2">
        <f>(SQRT(N97*U97)*POWER((MIN(P97,20)+SQRT(MAX(P97-20,0))),0.9)*Data!$B$1)*(1-(V97-1))</f>
        <v>69.980207958730645</v>
      </c>
      <c r="AY97" s="2"/>
      <c r="AZ97" s="2">
        <f>((POWER((N97*N97*U97), 0.33)*LOG10(S97)*10*Data!$B$1)*V97)+AY97</f>
        <v>94.665672823321316</v>
      </c>
      <c r="BA97" s="2">
        <f t="shared" ref="BA97" si="70">N97/1.24</f>
        <v>38.70967741935484</v>
      </c>
      <c r="BB97" s="2">
        <f t="shared" ref="BB97" si="71">AK97/1.24</f>
        <v>0</v>
      </c>
      <c r="BE97" s="2">
        <v>1</v>
      </c>
      <c r="BF97" s="2">
        <v>1</v>
      </c>
      <c r="BG97" s="2">
        <f t="shared" ref="BG97" si="72">U97/BF97</f>
        <v>73</v>
      </c>
      <c r="BH97" s="2">
        <f t="shared" si="68"/>
        <v>73</v>
      </c>
      <c r="BI97" s="3">
        <v>12</v>
      </c>
      <c r="BJ97" s="3">
        <v>2.5</v>
      </c>
      <c r="BK97" s="3">
        <v>4.2</v>
      </c>
      <c r="BL97" s="2" t="str">
        <f>CONCATENATE(
ROUND(BI97*VLOOKUP(L97,'ID Scheme'!$A$2:$E$7,3),0), "x",
ROUND(BJ97*VLOOKUP(L97,'ID Scheme'!$A$2:$E$7,5),0), "x",
ROUND(BK97*VLOOKUP(L97,'ID Scheme'!$A$2:$E$7,4),0))</f>
        <v>112x36x41</v>
      </c>
    </row>
    <row r="98" spans="1:65" x14ac:dyDescent="0.35">
      <c r="A98" t="s">
        <v>97</v>
      </c>
      <c r="B98" t="s">
        <v>182</v>
      </c>
      <c r="C98" t="s">
        <v>285</v>
      </c>
      <c r="D98">
        <f>IF(H98 &gt; 2020, ((H98-2020)*4)+1610+J98,IF(H98 &gt; 1900, ((H98-1900)*10)+400+J98, ((H98-1730)*2)+J98))+VLOOKUP(L98,'ID Scheme'!$A$2:$B$7,2, FALSE)</f>
        <v>1951</v>
      </c>
      <c r="F98">
        <v>1951</v>
      </c>
      <c r="G98" t="s">
        <v>683</v>
      </c>
      <c r="H98">
        <v>1995</v>
      </c>
      <c r="I98">
        <v>1</v>
      </c>
      <c r="J98">
        <v>1</v>
      </c>
      <c r="K98" t="s">
        <v>523</v>
      </c>
      <c r="L98" t="s">
        <v>12</v>
      </c>
      <c r="M98" t="s">
        <v>501</v>
      </c>
      <c r="N98">
        <v>60</v>
      </c>
      <c r="O98">
        <v>21</v>
      </c>
      <c r="P98">
        <v>17</v>
      </c>
      <c r="Q98">
        <v>5</v>
      </c>
      <c r="R98">
        <v>6.5</v>
      </c>
      <c r="S98">
        <v>249</v>
      </c>
      <c r="T98">
        <v>20</v>
      </c>
      <c r="U98">
        <v>53</v>
      </c>
      <c r="V98">
        <v>1</v>
      </c>
      <c r="W98" t="s">
        <v>289</v>
      </c>
      <c r="X98">
        <v>3</v>
      </c>
      <c r="Y98" s="2" t="s">
        <v>315</v>
      </c>
      <c r="Z98" s="2"/>
      <c r="AA98" s="2"/>
      <c r="AB98" s="2"/>
      <c r="AC98" s="2"/>
      <c r="AD98" s="2"/>
      <c r="AE98" s="2"/>
      <c r="AF98" s="2"/>
      <c r="AG98" s="2"/>
      <c r="AH98" s="2"/>
      <c r="AI98" s="2"/>
      <c r="AJ98" s="2"/>
      <c r="AR98">
        <v>8</v>
      </c>
      <c r="AX98" s="2">
        <f>(SQRT(N98*U98)*POWER((MIN(P98,20)+SQRT(MAX(P98-20,0))),0.9)*Data!$B$1)*(1-(V98-1))</f>
        <v>54.160024560908056</v>
      </c>
      <c r="AY98" s="2"/>
      <c r="AZ98" s="2">
        <f>((POWER((N98*N98*U98), 0.33)*LOG10(S98)*10*Data!$B$1)*V98)+AY98</f>
        <v>99.351647021851662</v>
      </c>
      <c r="BA98" s="2">
        <f t="shared" si="57"/>
        <v>48.387096774193552</v>
      </c>
      <c r="BB98" s="2">
        <f t="shared" si="60"/>
        <v>0</v>
      </c>
      <c r="BE98" s="2">
        <v>1</v>
      </c>
      <c r="BF98" s="2">
        <v>1</v>
      </c>
      <c r="BG98" s="2">
        <f t="shared" si="59"/>
        <v>53</v>
      </c>
      <c r="BH98" s="2">
        <f t="shared" si="68"/>
        <v>53</v>
      </c>
      <c r="BI98" s="3">
        <v>10.199999999999999</v>
      </c>
      <c r="BJ98" s="3">
        <v>2.4</v>
      </c>
      <c r="BK98" s="3">
        <v>2.7</v>
      </c>
      <c r="BL98" s="2" t="str">
        <f>CONCATENATE(
ROUND(BI98*VLOOKUP(L98,'ID Scheme'!$A$2:$E$7,3),0), "x",
ROUND(BJ98*VLOOKUP(L98,'ID Scheme'!$A$2:$E$7,5),0), "x",
ROUND(BK98*VLOOKUP(L98,'ID Scheme'!$A$2:$E$7,4),0))</f>
        <v>95x35x26</v>
      </c>
      <c r="BM98" t="s">
        <v>98</v>
      </c>
    </row>
    <row r="99" spans="1:65" x14ac:dyDescent="0.35">
      <c r="A99" t="s">
        <v>484</v>
      </c>
      <c r="B99" t="s">
        <v>486</v>
      </c>
      <c r="C99" t="s">
        <v>285</v>
      </c>
      <c r="D99">
        <f>IF(H99 &gt; 2020, ((H99-2020)*4)+1610+J99,IF(H99 &gt; 1900, ((H99-1900)*10)+400+J99, ((H99-1730)*2)+J99))+VLOOKUP(L99,'ID Scheme'!$A$2:$B$7,2, FALSE)</f>
        <v>1971</v>
      </c>
      <c r="F99">
        <v>1971</v>
      </c>
      <c r="G99" t="s">
        <v>683</v>
      </c>
      <c r="H99">
        <v>1997</v>
      </c>
      <c r="I99">
        <v>1</v>
      </c>
      <c r="J99">
        <v>1</v>
      </c>
      <c r="K99" t="s">
        <v>523</v>
      </c>
      <c r="L99" t="s">
        <v>12</v>
      </c>
      <c r="M99" t="s">
        <v>501</v>
      </c>
      <c r="N99">
        <v>55</v>
      </c>
      <c r="O99">
        <v>21</v>
      </c>
      <c r="P99">
        <v>21</v>
      </c>
      <c r="Q99">
        <v>5</v>
      </c>
      <c r="R99">
        <v>10</v>
      </c>
      <c r="S99">
        <v>220</v>
      </c>
      <c r="T99">
        <v>20</v>
      </c>
      <c r="U99">
        <v>82</v>
      </c>
      <c r="V99">
        <v>1</v>
      </c>
      <c r="W99" t="s">
        <v>299</v>
      </c>
      <c r="X99">
        <v>3</v>
      </c>
      <c r="Y99" s="2" t="s">
        <v>485</v>
      </c>
      <c r="Z99" s="2"/>
      <c r="AA99" s="2"/>
      <c r="AB99" s="2"/>
      <c r="AC99" s="2"/>
      <c r="AD99" s="2"/>
      <c r="AE99" s="2"/>
      <c r="AF99" s="2"/>
      <c r="AG99" s="2"/>
      <c r="AH99" s="2"/>
      <c r="AI99" s="2"/>
      <c r="AJ99" s="2"/>
      <c r="AR99">
        <v>8</v>
      </c>
      <c r="AX99" s="2">
        <f>(SQRT(N99*U99)*POWER((MIN(P99,20)+SQRT(MAX(P99-20,0))),0.9)*Data!$B$1)*(1-(V99-1))</f>
        <v>78.009393174536498</v>
      </c>
      <c r="AY99" s="2"/>
      <c r="AZ99" s="2">
        <f>((POWER((N99*N99*U99), 0.33)*LOG10(S99)*10*Data!$B$1)*V99)+AY99</f>
        <v>105.90695322593139</v>
      </c>
      <c r="BA99" s="2">
        <f t="shared" si="57"/>
        <v>44.354838709677416</v>
      </c>
      <c r="BB99" s="2">
        <f t="shared" si="60"/>
        <v>0</v>
      </c>
      <c r="BE99" s="2">
        <v>1</v>
      </c>
      <c r="BF99" s="2">
        <v>1</v>
      </c>
      <c r="BG99" s="2">
        <f t="shared" si="59"/>
        <v>82</v>
      </c>
      <c r="BH99" s="2">
        <f t="shared" si="68"/>
        <v>82</v>
      </c>
      <c r="BI99" s="3">
        <v>11</v>
      </c>
      <c r="BJ99" s="3">
        <v>2.5499999999999998</v>
      </c>
      <c r="BK99" s="3">
        <v>4.4000000000000004</v>
      </c>
      <c r="BL99" s="2" t="str">
        <f>CONCATENATE(
ROUND(BI99*VLOOKUP(L99,'ID Scheme'!$A$2:$E$7,3),0), "x",
ROUND(BJ99*VLOOKUP(L99,'ID Scheme'!$A$2:$E$7,5),0), "x",
ROUND(BK99*VLOOKUP(L99,'ID Scheme'!$A$2:$E$7,4),0))</f>
        <v>103x37x43</v>
      </c>
    </row>
    <row r="100" spans="1:65" x14ac:dyDescent="0.35">
      <c r="A100" t="s">
        <v>64</v>
      </c>
      <c r="B100" t="s">
        <v>183</v>
      </c>
      <c r="C100" t="s">
        <v>285</v>
      </c>
      <c r="D100">
        <f>IF(H100 &gt; 2020, ((H100-2020)*4)+1610+J100,IF(H100 &gt; 1900, ((H100-1900)*10)+400+J100, ((H100-1730)*2)+J100))+VLOOKUP(L100,'ID Scheme'!$A$2:$B$7,2, FALSE)</f>
        <v>1981</v>
      </c>
      <c r="F100">
        <v>1981</v>
      </c>
      <c r="G100" t="s">
        <v>683</v>
      </c>
      <c r="H100">
        <v>1998</v>
      </c>
      <c r="I100">
        <v>1</v>
      </c>
      <c r="J100">
        <v>1</v>
      </c>
      <c r="K100" t="s">
        <v>523</v>
      </c>
      <c r="L100" t="s">
        <v>12</v>
      </c>
      <c r="M100" t="s">
        <v>501</v>
      </c>
      <c r="N100">
        <v>59</v>
      </c>
      <c r="O100">
        <v>15</v>
      </c>
      <c r="P100">
        <v>15</v>
      </c>
      <c r="Q100">
        <v>5</v>
      </c>
      <c r="R100">
        <v>7</v>
      </c>
      <c r="S100">
        <v>110</v>
      </c>
      <c r="T100">
        <v>20</v>
      </c>
      <c r="U100">
        <v>33</v>
      </c>
      <c r="V100">
        <v>1</v>
      </c>
      <c r="W100" t="s">
        <v>299</v>
      </c>
      <c r="X100">
        <v>2</v>
      </c>
      <c r="Y100" s="2" t="s">
        <v>316</v>
      </c>
      <c r="Z100" s="2"/>
      <c r="AA100" s="2"/>
      <c r="AB100" s="2"/>
      <c r="AC100" s="2"/>
      <c r="AD100" s="2"/>
      <c r="AE100" s="2"/>
      <c r="AF100" s="2"/>
      <c r="AG100" s="2"/>
      <c r="AH100" s="2"/>
      <c r="AI100" s="2"/>
      <c r="AJ100" s="2"/>
      <c r="AR100">
        <v>8</v>
      </c>
      <c r="AX100" s="2">
        <f>(SQRT(N100*U100)*POWER((MIN(P100,20)+SQRT(MAX(P100-20,0))),0.9)*Data!$B$1)*(1-(V100-1))</f>
        <v>37.863989611191968</v>
      </c>
      <c r="AY100" s="2"/>
      <c r="AZ100" s="2">
        <f>((POWER((N100*N100*U100), 0.33)*LOG10(S100)*10*Data!$B$1)*V100)+AY100</f>
        <v>71.591217050010968</v>
      </c>
      <c r="BA100" s="2">
        <f t="shared" si="57"/>
        <v>47.58064516129032</v>
      </c>
      <c r="BB100" s="2">
        <f t="shared" si="60"/>
        <v>0</v>
      </c>
      <c r="BE100" s="2">
        <v>1</v>
      </c>
      <c r="BF100" s="2">
        <v>1</v>
      </c>
      <c r="BG100" s="2">
        <f t="shared" si="59"/>
        <v>33</v>
      </c>
      <c r="BH100" s="2">
        <f t="shared" si="68"/>
        <v>33</v>
      </c>
      <c r="BI100" s="3">
        <v>10.199999999999999</v>
      </c>
      <c r="BJ100" s="3">
        <v>2.2999999999999998</v>
      </c>
      <c r="BK100" s="3">
        <v>2.7</v>
      </c>
      <c r="BL100" s="2" t="str">
        <f>CONCATENATE(
ROUND(BI100*VLOOKUP(L100,'ID Scheme'!$A$2:$E$7,3),0), "x",
ROUND(BJ100*VLOOKUP(L100,'ID Scheme'!$A$2:$E$7,5),0), "x",
ROUND(BK100*VLOOKUP(L100,'ID Scheme'!$A$2:$E$7,4),0))</f>
        <v>95x33x26</v>
      </c>
    </row>
    <row r="101" spans="1:65" x14ac:dyDescent="0.35">
      <c r="A101" t="s">
        <v>633</v>
      </c>
      <c r="B101" t="s">
        <v>634</v>
      </c>
      <c r="C101" t="s">
        <v>285</v>
      </c>
      <c r="D101">
        <f>IF(H101 &gt; 2020, ((H101-2020)*4)+1610+J101,IF(H101 &gt; 1900, ((H101-1900)*10)+400+J101, ((H101-1730)*2)+J101))+VLOOKUP(L101,'ID Scheme'!$A$2:$B$7,2, FALSE)</f>
        <v>1991</v>
      </c>
      <c r="F101">
        <v>1991</v>
      </c>
      <c r="G101" t="s">
        <v>683</v>
      </c>
      <c r="H101">
        <v>1999</v>
      </c>
      <c r="I101">
        <v>1</v>
      </c>
      <c r="J101">
        <v>1</v>
      </c>
      <c r="K101" t="s">
        <v>523</v>
      </c>
      <c r="L101" t="s">
        <v>12</v>
      </c>
      <c r="M101" t="s">
        <v>501</v>
      </c>
      <c r="N101">
        <v>58</v>
      </c>
      <c r="O101">
        <v>19</v>
      </c>
      <c r="P101">
        <v>19</v>
      </c>
      <c r="Q101">
        <v>5</v>
      </c>
      <c r="R101">
        <v>6</v>
      </c>
      <c r="S101">
        <v>180</v>
      </c>
      <c r="T101">
        <v>20</v>
      </c>
      <c r="U101">
        <v>59</v>
      </c>
      <c r="V101">
        <v>1</v>
      </c>
      <c r="W101" t="s">
        <v>289</v>
      </c>
      <c r="X101">
        <v>3</v>
      </c>
      <c r="Y101" s="2" t="s">
        <v>635</v>
      </c>
      <c r="Z101" s="2"/>
      <c r="AA101" s="2"/>
      <c r="AB101" s="2"/>
      <c r="AC101" s="2"/>
      <c r="AD101" s="2"/>
      <c r="AE101" s="2"/>
      <c r="AF101" s="2"/>
      <c r="AG101" s="2"/>
      <c r="AH101" s="2"/>
      <c r="AI101" s="2"/>
      <c r="AJ101" s="2"/>
      <c r="AR101">
        <v>8</v>
      </c>
      <c r="AX101" s="2">
        <f>(SQRT(N101*U101)*POWER((MIN(P101,20)+SQRT(MAX(P101-20,0))),0.9)*Data!$B$1)*(1-(V101-1))</f>
        <v>62.098270793102415</v>
      </c>
      <c r="AY101" s="2"/>
      <c r="AZ101" s="2">
        <f>((POWER((N101*N101*U101), 0.33)*LOG10(S101)*10*Data!$B$1)*V101)+AY101</f>
        <v>94.733575329138617</v>
      </c>
      <c r="BA101" s="2">
        <f t="shared" ref="BA101" si="73">N101/1.24</f>
        <v>46.774193548387096</v>
      </c>
      <c r="BB101" s="2">
        <f t="shared" ref="BB101" si="74">AK101/1.24</f>
        <v>0</v>
      </c>
      <c r="BE101" s="2">
        <v>1</v>
      </c>
      <c r="BF101" s="2">
        <v>1</v>
      </c>
      <c r="BG101" s="2">
        <f t="shared" ref="BG101" si="75">U101/BF101</f>
        <v>59</v>
      </c>
      <c r="BH101" s="2">
        <f t="shared" si="68"/>
        <v>59</v>
      </c>
      <c r="BI101" s="3">
        <v>10.199999999999999</v>
      </c>
      <c r="BJ101" s="3">
        <v>2.4</v>
      </c>
      <c r="BK101" s="3">
        <v>2.7</v>
      </c>
      <c r="BL101" s="2" t="str">
        <f>CONCATENATE(
ROUND(BI101*VLOOKUP(L101,'ID Scheme'!$A$2:$E$7,3),0), "x",
ROUND(BJ101*VLOOKUP(L101,'ID Scheme'!$A$2:$E$7,5),0), "x",
ROUND(BK101*VLOOKUP(L101,'ID Scheme'!$A$2:$E$7,4),0))</f>
        <v>95x35x26</v>
      </c>
    </row>
    <row r="102" spans="1:65" x14ac:dyDescent="0.35">
      <c r="A102" t="s">
        <v>35</v>
      </c>
      <c r="B102" t="s">
        <v>275</v>
      </c>
      <c r="C102" t="s">
        <v>285</v>
      </c>
      <c r="D102">
        <f>IF(H102 &gt; 2020, ((H102-2020)*4)+1610+J102,IF(H102 &gt; 1900, ((H102-1900)*10)+400+J102, ((H102-1730)*2)+J102))+VLOOKUP(L102,'ID Scheme'!$A$2:$B$7,2, FALSE)</f>
        <v>2011</v>
      </c>
      <c r="F102">
        <v>2011</v>
      </c>
      <c r="G102" t="s">
        <v>683</v>
      </c>
      <c r="H102">
        <v>2001</v>
      </c>
      <c r="I102">
        <v>1</v>
      </c>
      <c r="J102">
        <v>1</v>
      </c>
      <c r="K102" t="s">
        <v>523</v>
      </c>
      <c r="L102" t="s">
        <v>12</v>
      </c>
      <c r="M102" t="s">
        <v>501</v>
      </c>
      <c r="N102">
        <v>70</v>
      </c>
      <c r="O102">
        <v>-1</v>
      </c>
      <c r="P102">
        <v>22</v>
      </c>
      <c r="Q102">
        <v>4</v>
      </c>
      <c r="R102">
        <v>12</v>
      </c>
      <c r="S102">
        <v>320</v>
      </c>
      <c r="T102">
        <v>18</v>
      </c>
      <c r="U102">
        <v>58</v>
      </c>
      <c r="V102">
        <v>1</v>
      </c>
      <c r="W102" t="s">
        <v>295</v>
      </c>
      <c r="X102">
        <v>3</v>
      </c>
      <c r="Y102" s="2" t="s">
        <v>318</v>
      </c>
      <c r="Z102" s="2"/>
      <c r="AA102" s="2"/>
      <c r="AB102" s="2"/>
      <c r="AC102" s="2"/>
      <c r="AD102" s="2"/>
      <c r="AE102" s="2"/>
      <c r="AF102" s="2"/>
      <c r="AG102" s="2"/>
      <c r="AH102" s="2"/>
      <c r="AI102" s="2"/>
      <c r="AJ102" s="2"/>
      <c r="AK102">
        <v>62</v>
      </c>
      <c r="AR102">
        <v>8</v>
      </c>
      <c r="AX102" s="2">
        <f>(SQRT(N102*U102)*POWER((MIN(P102,20)+SQRT(MAX(P102-20,0))),0.9)*Data!$B$1)*(1-(V102-1))</f>
        <v>75.327958362845649</v>
      </c>
      <c r="AY102" s="2"/>
      <c r="AZ102" s="2">
        <f>((POWER((N102*N102*U102), 0.33)*LOG10(S102)*10*Data!$B$1)*V102)+AY102</f>
        <v>118.46524010653438</v>
      </c>
      <c r="BA102" s="2">
        <f t="shared" ref="BA102:BA154" si="76">N102/1.24</f>
        <v>56.451612903225808</v>
      </c>
      <c r="BB102" s="2">
        <f t="shared" si="60"/>
        <v>50</v>
      </c>
      <c r="BE102" s="2">
        <v>1</v>
      </c>
      <c r="BF102" s="2">
        <v>1</v>
      </c>
      <c r="BG102" s="2">
        <f t="shared" ref="BG102:BG154" si="77">U102/BF102</f>
        <v>58</v>
      </c>
      <c r="BH102" s="2">
        <f t="shared" si="68"/>
        <v>58</v>
      </c>
      <c r="BI102" s="3">
        <v>12</v>
      </c>
      <c r="BJ102" s="3">
        <v>2.5</v>
      </c>
      <c r="BK102" s="3">
        <v>3.3</v>
      </c>
      <c r="BL102" s="2" t="str">
        <f>CONCATENATE(
ROUND(BI102*VLOOKUP(L102,'ID Scheme'!$A$2:$E$7,3),0), "x",
ROUND(BJ102*VLOOKUP(L102,'ID Scheme'!$A$2:$E$7,5),0), "x",
ROUND(BK102*VLOOKUP(L102,'ID Scheme'!$A$2:$E$7,4),0))</f>
        <v>112x36x32</v>
      </c>
    </row>
    <row r="103" spans="1:65" x14ac:dyDescent="0.35">
      <c r="A103" t="s">
        <v>58</v>
      </c>
      <c r="B103" t="s">
        <v>184</v>
      </c>
      <c r="C103" t="s">
        <v>324</v>
      </c>
      <c r="D103">
        <f>IF(H103 &gt; 2020, ((H103-2020)*4)+1610+J103,IF(H103 &gt; 1900, ((H103-1900)*10)+400+J103, ((H103-1730)*2)+J103))+VLOOKUP(L103,'ID Scheme'!$A$2:$B$7,2, FALSE)</f>
        <v>2012</v>
      </c>
      <c r="F103">
        <v>2012</v>
      </c>
      <c r="G103" t="s">
        <v>683</v>
      </c>
      <c r="H103">
        <v>2001</v>
      </c>
      <c r="I103">
        <v>1</v>
      </c>
      <c r="J103">
        <v>2</v>
      </c>
      <c r="K103" t="s">
        <v>523</v>
      </c>
      <c r="L103" t="s">
        <v>12</v>
      </c>
      <c r="M103" t="s">
        <v>501</v>
      </c>
      <c r="N103">
        <v>55</v>
      </c>
      <c r="O103">
        <v>-1</v>
      </c>
      <c r="P103">
        <v>11</v>
      </c>
      <c r="Q103">
        <v>10</v>
      </c>
      <c r="R103">
        <v>14</v>
      </c>
      <c r="S103">
        <v>320</v>
      </c>
      <c r="T103">
        <v>25</v>
      </c>
      <c r="U103">
        <v>140</v>
      </c>
      <c r="V103">
        <v>1</v>
      </c>
      <c r="W103" t="s">
        <v>289</v>
      </c>
      <c r="X103">
        <v>3</v>
      </c>
      <c r="Y103" s="2" t="s">
        <v>325</v>
      </c>
      <c r="Z103" s="2"/>
      <c r="AA103" s="2"/>
      <c r="AB103" s="2"/>
      <c r="AC103" s="2"/>
      <c r="AD103" s="2"/>
      <c r="AE103" s="2"/>
      <c r="AF103" s="2"/>
      <c r="AG103" s="2"/>
      <c r="AH103" s="2"/>
      <c r="AI103" s="2"/>
      <c r="AJ103" s="2"/>
      <c r="AL103" t="s">
        <v>372</v>
      </c>
      <c r="AM103" t="s">
        <v>398</v>
      </c>
      <c r="AN103" t="s">
        <v>370</v>
      </c>
      <c r="AO103" t="s">
        <v>372</v>
      </c>
      <c r="AP103" t="s">
        <v>373</v>
      </c>
      <c r="AQ103" t="s">
        <v>548</v>
      </c>
      <c r="AR103">
        <v>6</v>
      </c>
      <c r="AX103" s="2">
        <f>(SQRT(N103*U103)*POWER((MIN(P103,20)+SQRT(MAX(P103-20,0))),0.9)*Data!$B$1)*(1-(V103-1))</f>
        <v>56.95869659296028</v>
      </c>
      <c r="AY103" s="2"/>
      <c r="AZ103" s="2">
        <f>((POWER((N103*N103*U103), 0.33)*LOG10(S103)*10*Data!$B$1)*V103)+AY103</f>
        <v>135.13150745681415</v>
      </c>
      <c r="BA103" s="2">
        <f t="shared" si="76"/>
        <v>44.354838709677416</v>
      </c>
      <c r="BB103" s="2">
        <f t="shared" si="60"/>
        <v>0</v>
      </c>
      <c r="BE103" s="2">
        <v>2</v>
      </c>
      <c r="BF103" s="2">
        <v>2</v>
      </c>
      <c r="BG103" s="2">
        <f t="shared" si="77"/>
        <v>70</v>
      </c>
      <c r="BH103" s="2">
        <f t="shared" si="68"/>
        <v>140</v>
      </c>
      <c r="BI103" s="3">
        <v>18</v>
      </c>
      <c r="BJ103" s="3">
        <v>2.5</v>
      </c>
      <c r="BK103" s="3">
        <v>3.2</v>
      </c>
      <c r="BL103" s="2" t="str">
        <f>CONCATENATE(
ROUND(BI103*VLOOKUP(L103,'ID Scheme'!$A$2:$E$7,3),0), "x",
ROUND(BJ103*VLOOKUP(L103,'ID Scheme'!$A$2:$E$7,5),0), "x",
ROUND(BK103*VLOOKUP(L103,'ID Scheme'!$A$2:$E$7,4),0))</f>
        <v>168x36x31</v>
      </c>
    </row>
    <row r="104" spans="1:65" x14ac:dyDescent="0.35">
      <c r="A104" t="s">
        <v>33</v>
      </c>
      <c r="B104" t="s">
        <v>185</v>
      </c>
      <c r="C104" t="s">
        <v>285</v>
      </c>
      <c r="D104">
        <f>IF(H104 &gt; 2020, ((H104-2020)*4)+1610+J104,IF(H104 &gt; 1900, ((H104-1900)*10)+400+J104, ((H104-1730)*2)+J104))+VLOOKUP(L104,'ID Scheme'!$A$2:$B$7,2, FALSE)</f>
        <v>2051</v>
      </c>
      <c r="F104">
        <v>2051</v>
      </c>
      <c r="G104" t="s">
        <v>683</v>
      </c>
      <c r="H104">
        <v>2005</v>
      </c>
      <c r="I104">
        <v>1</v>
      </c>
      <c r="J104">
        <v>1</v>
      </c>
      <c r="K104" t="s">
        <v>523</v>
      </c>
      <c r="L104" t="s">
        <v>12</v>
      </c>
      <c r="M104" t="s">
        <v>501</v>
      </c>
      <c r="N104">
        <v>60</v>
      </c>
      <c r="O104">
        <v>18</v>
      </c>
      <c r="P104">
        <v>20</v>
      </c>
      <c r="Q104">
        <v>7</v>
      </c>
      <c r="R104">
        <v>11</v>
      </c>
      <c r="S104">
        <v>185</v>
      </c>
      <c r="T104">
        <v>20</v>
      </c>
      <c r="U104">
        <v>90</v>
      </c>
      <c r="V104">
        <v>1</v>
      </c>
      <c r="W104" t="s">
        <v>295</v>
      </c>
      <c r="X104">
        <v>3</v>
      </c>
      <c r="Y104" s="2" t="s">
        <v>319</v>
      </c>
      <c r="Z104" s="2"/>
      <c r="AA104" s="2"/>
      <c r="AB104" s="2"/>
      <c r="AC104" s="2"/>
      <c r="AD104" s="2"/>
      <c r="AE104" s="2"/>
      <c r="AF104" s="2"/>
      <c r="AG104" s="2"/>
      <c r="AH104" s="2"/>
      <c r="AI104" s="2"/>
      <c r="AJ104" s="2"/>
      <c r="AR104">
        <v>8</v>
      </c>
      <c r="AX104" s="2">
        <f>(SQRT(N104*U104)*POWER((MIN(P104,20)+SQRT(MAX(P104-20,0))),0.9)*Data!$B$1)*(1-(V104-1))</f>
        <v>81.693055399982839</v>
      </c>
      <c r="AY104" s="2"/>
      <c r="AZ104" s="2">
        <f>((POWER((N104*N104*U104), 0.33)*LOG10(S104)*10*Data!$B$1)*V104)+AY104</f>
        <v>111.95037019981191</v>
      </c>
      <c r="BA104" s="2">
        <f t="shared" si="76"/>
        <v>48.387096774193552</v>
      </c>
      <c r="BB104" s="2">
        <f t="shared" si="60"/>
        <v>0</v>
      </c>
      <c r="BE104" s="2">
        <v>1</v>
      </c>
      <c r="BF104" s="2">
        <v>1</v>
      </c>
      <c r="BG104" s="2">
        <f t="shared" si="77"/>
        <v>90</v>
      </c>
      <c r="BH104" s="2">
        <f t="shared" si="68"/>
        <v>90</v>
      </c>
      <c r="BI104" s="3">
        <v>11.4</v>
      </c>
      <c r="BJ104" s="3">
        <v>2.5499999999999998</v>
      </c>
      <c r="BK104" s="3">
        <v>4.2</v>
      </c>
      <c r="BL104" s="2" t="str">
        <f>CONCATENATE(
ROUND(BI104*VLOOKUP(L104,'ID Scheme'!$A$2:$E$7,3),0), "x",
ROUND(BJ104*VLOOKUP(L104,'ID Scheme'!$A$2:$E$7,5),0), "x",
ROUND(BK104*VLOOKUP(L104,'ID Scheme'!$A$2:$E$7,4),0))</f>
        <v>106x37x41</v>
      </c>
    </row>
    <row r="105" spans="1:65" x14ac:dyDescent="0.35">
      <c r="A105" t="s">
        <v>320</v>
      </c>
      <c r="B105" t="s">
        <v>186</v>
      </c>
      <c r="C105" t="s">
        <v>285</v>
      </c>
      <c r="D105">
        <f>IF(H105 &gt; 2020, ((H105-2020)*4)+1610+J105,IF(H105 &gt; 1900, ((H105-1900)*10)+400+J105, ((H105-1730)*2)+J105))+VLOOKUP(L105,'ID Scheme'!$A$2:$B$7,2, FALSE)</f>
        <v>2112</v>
      </c>
      <c r="F105">
        <v>2112</v>
      </c>
      <c r="G105" t="s">
        <v>683</v>
      </c>
      <c r="H105">
        <v>2011</v>
      </c>
      <c r="I105">
        <v>1</v>
      </c>
      <c r="J105">
        <v>2</v>
      </c>
      <c r="K105" t="s">
        <v>523</v>
      </c>
      <c r="L105" t="s">
        <v>12</v>
      </c>
      <c r="M105" t="s">
        <v>501</v>
      </c>
      <c r="N105">
        <v>50</v>
      </c>
      <c r="O105">
        <v>-1</v>
      </c>
      <c r="P105">
        <v>16</v>
      </c>
      <c r="Q105">
        <v>6</v>
      </c>
      <c r="R105">
        <v>10</v>
      </c>
      <c r="S105">
        <v>101</v>
      </c>
      <c r="T105">
        <v>22</v>
      </c>
      <c r="U105">
        <v>72</v>
      </c>
      <c r="V105">
        <v>1</v>
      </c>
      <c r="W105" t="s">
        <v>321</v>
      </c>
      <c r="X105">
        <v>3</v>
      </c>
      <c r="Y105" s="2" t="s">
        <v>322</v>
      </c>
      <c r="Z105" s="2"/>
      <c r="AA105" s="2"/>
      <c r="AB105" s="2"/>
      <c r="AC105" s="2"/>
      <c r="AD105" s="2"/>
      <c r="AE105" s="2"/>
      <c r="AF105" s="2"/>
      <c r="AG105" s="2"/>
      <c r="AH105" s="2"/>
      <c r="AI105" s="2"/>
      <c r="AJ105" s="2"/>
      <c r="AR105">
        <v>8</v>
      </c>
      <c r="AX105" s="2">
        <f>(SQRT(N105*U105)*POWER((MIN(P105,20)+SQRT(MAX(P105-20,0))),0.9)*Data!$B$1)*(1-(V105-1))</f>
        <v>54.565796394374324</v>
      </c>
      <c r="AY105" s="2"/>
      <c r="AZ105" s="2">
        <f>((POWER((N105*N105*U105), 0.33)*LOG10(S105)*10*Data!$B$1)*V105)+AY105</f>
        <v>81.520821564001579</v>
      </c>
      <c r="BA105" s="2">
        <f t="shared" si="76"/>
        <v>40.322580645161288</v>
      </c>
      <c r="BB105" s="2">
        <f t="shared" si="60"/>
        <v>0</v>
      </c>
      <c r="BE105" s="2">
        <v>1</v>
      </c>
      <c r="BF105" s="2">
        <v>1</v>
      </c>
      <c r="BG105" s="2">
        <f t="shared" si="77"/>
        <v>72</v>
      </c>
      <c r="BH105" s="2">
        <f t="shared" si="68"/>
        <v>72</v>
      </c>
      <c r="BI105" s="3"/>
      <c r="BJ105" s="3"/>
      <c r="BK105" s="3"/>
      <c r="BL105" s="2" t="str">
        <f>CONCATENATE(
ROUND(BI105*VLOOKUP(L105,'ID Scheme'!$A$2:$E$7,3),0), "x",
ROUND(BJ105*VLOOKUP(L105,'ID Scheme'!$A$2:$E$7,5),0), "x",
ROUND(BK105*VLOOKUP(L105,'ID Scheme'!$A$2:$E$7,4),0))</f>
        <v>0x0x0</v>
      </c>
    </row>
    <row r="106" spans="1:65" x14ac:dyDescent="0.35">
      <c r="A106" t="s">
        <v>66</v>
      </c>
      <c r="B106" t="s">
        <v>187</v>
      </c>
      <c r="C106" t="s">
        <v>285</v>
      </c>
      <c r="D106">
        <f>IF(H106 &gt; 2020, ((H106-2020)*4)+1610+J106,IF(H106 &gt; 1900, ((H106-1900)*10)+400+J106, ((H106-1730)*2)+J106))+VLOOKUP(L106,'ID Scheme'!$A$2:$B$7,2, FALSE)</f>
        <v>2121</v>
      </c>
      <c r="F106">
        <v>2121</v>
      </c>
      <c r="G106" t="s">
        <v>683</v>
      </c>
      <c r="H106">
        <v>2012</v>
      </c>
      <c r="I106">
        <v>1</v>
      </c>
      <c r="J106">
        <v>1</v>
      </c>
      <c r="K106" t="s">
        <v>523</v>
      </c>
      <c r="L106" t="s">
        <v>12</v>
      </c>
      <c r="M106" t="s">
        <v>501</v>
      </c>
      <c r="N106">
        <v>50</v>
      </c>
      <c r="O106">
        <v>-1</v>
      </c>
      <c r="P106">
        <v>20</v>
      </c>
      <c r="Q106">
        <v>7</v>
      </c>
      <c r="R106">
        <v>12.5</v>
      </c>
      <c r="S106">
        <v>185</v>
      </c>
      <c r="T106">
        <v>23</v>
      </c>
      <c r="U106">
        <v>87</v>
      </c>
      <c r="V106">
        <v>1</v>
      </c>
      <c r="W106" t="s">
        <v>299</v>
      </c>
      <c r="X106">
        <v>3</v>
      </c>
      <c r="Y106" s="2" t="s">
        <v>323</v>
      </c>
      <c r="Z106" s="2"/>
      <c r="AA106" s="2"/>
      <c r="AB106" s="2"/>
      <c r="AC106" s="2"/>
      <c r="AD106" s="2"/>
      <c r="AE106" s="2"/>
      <c r="AF106" s="2"/>
      <c r="AG106" s="2"/>
      <c r="AH106" s="2"/>
      <c r="AI106" s="2"/>
      <c r="AJ106" s="2"/>
      <c r="AR106">
        <v>8</v>
      </c>
      <c r="AX106" s="2">
        <f>(SQRT(N106*U106)*POWER((MIN(P106,20)+SQRT(MAX(P106-20,0))),0.9)*Data!$B$1)*(1-(V106-1))</f>
        <v>73.321761154546138</v>
      </c>
      <c r="AY106" s="2"/>
      <c r="AZ106" s="2">
        <f>((POWER((N106*N106*U106), 0.33)*LOG10(S106)*10*Data!$B$1)*V106)+AY106</f>
        <v>98.153826904979823</v>
      </c>
      <c r="BA106" s="2">
        <f t="shared" si="76"/>
        <v>40.322580645161288</v>
      </c>
      <c r="BB106" s="2">
        <f t="shared" si="60"/>
        <v>0</v>
      </c>
      <c r="BE106" s="2">
        <v>1</v>
      </c>
      <c r="BF106" s="2">
        <v>1</v>
      </c>
      <c r="BG106" s="2">
        <f t="shared" si="77"/>
        <v>87</v>
      </c>
      <c r="BH106" s="2">
        <f t="shared" si="68"/>
        <v>87</v>
      </c>
      <c r="BI106" s="3"/>
      <c r="BJ106" s="3"/>
      <c r="BK106" s="3"/>
      <c r="BL106" s="2" t="str">
        <f>CONCATENATE(
ROUND(BI106*VLOOKUP(L106,'ID Scheme'!$A$2:$E$7,3),0), "x",
ROUND(BJ106*VLOOKUP(L106,'ID Scheme'!$A$2:$E$7,5),0), "x",
ROUND(BK106*VLOOKUP(L106,'ID Scheme'!$A$2:$E$7,4),0))</f>
        <v>0x0x0</v>
      </c>
    </row>
    <row r="107" spans="1:65" x14ac:dyDescent="0.35">
      <c r="A107" t="s">
        <v>65</v>
      </c>
      <c r="B107" t="s">
        <v>188</v>
      </c>
      <c r="C107" t="s">
        <v>285</v>
      </c>
      <c r="D107">
        <f>IF(H107 &gt; 2020, ((H107-2020)*4)+1610+J107,IF(H107 &gt; 1900, ((H107-1900)*10)+400+J107, ((H107-1730)*2)+J107))+VLOOKUP(L107,'ID Scheme'!$A$2:$B$7,2, FALSE)</f>
        <v>2122</v>
      </c>
      <c r="F107">
        <v>2122</v>
      </c>
      <c r="G107" t="s">
        <v>683</v>
      </c>
      <c r="H107">
        <v>2012</v>
      </c>
      <c r="I107">
        <v>1</v>
      </c>
      <c r="J107">
        <v>2</v>
      </c>
      <c r="K107" t="s">
        <v>523</v>
      </c>
      <c r="L107" t="s">
        <v>12</v>
      </c>
      <c r="M107" t="s">
        <v>501</v>
      </c>
      <c r="N107">
        <v>60</v>
      </c>
      <c r="O107">
        <v>-1</v>
      </c>
      <c r="P107">
        <v>16</v>
      </c>
      <c r="Q107">
        <v>5</v>
      </c>
      <c r="R107">
        <v>7.5</v>
      </c>
      <c r="S107">
        <v>110</v>
      </c>
      <c r="T107">
        <v>20</v>
      </c>
      <c r="U107">
        <v>35</v>
      </c>
      <c r="V107">
        <v>0.95</v>
      </c>
      <c r="W107" t="s">
        <v>299</v>
      </c>
      <c r="X107">
        <v>2</v>
      </c>
      <c r="Y107" s="2" t="s">
        <v>317</v>
      </c>
      <c r="Z107" s="2"/>
      <c r="AA107" s="2"/>
      <c r="AB107" s="2"/>
      <c r="AC107" s="2"/>
      <c r="AD107" s="2"/>
      <c r="AE107" s="2"/>
      <c r="AF107" s="2"/>
      <c r="AG107" s="2"/>
      <c r="AH107" s="2"/>
      <c r="AI107" s="2"/>
      <c r="AJ107" s="2"/>
      <c r="AR107">
        <v>8</v>
      </c>
      <c r="AX107" s="2">
        <f>(SQRT(N107*U107)*POWER((MIN(P107,20)+SQRT(MAX(P107-20,0))),0.9)*Data!$B$1)*(1-(V107-1))</f>
        <v>43.759081158234544</v>
      </c>
      <c r="AY107" s="2"/>
      <c r="AZ107" s="2">
        <f>((POWER((N107*N107*U107), 0.33)*LOG10(S107)*10*Data!$B$1)*V107)+AY107</f>
        <v>70.118675319420305</v>
      </c>
      <c r="BA107" s="2">
        <f t="shared" si="76"/>
        <v>48.387096774193552</v>
      </c>
      <c r="BB107" s="2">
        <f t="shared" si="60"/>
        <v>0</v>
      </c>
      <c r="BE107" s="2">
        <v>1</v>
      </c>
      <c r="BF107" s="2">
        <v>1</v>
      </c>
      <c r="BG107" s="2">
        <f t="shared" si="77"/>
        <v>35</v>
      </c>
      <c r="BH107" s="2">
        <f t="shared" si="68"/>
        <v>35</v>
      </c>
      <c r="BI107" s="3">
        <v>10.199999999999999</v>
      </c>
      <c r="BJ107" s="3">
        <v>2.2999999999999998</v>
      </c>
      <c r="BK107" s="3">
        <v>2.7</v>
      </c>
      <c r="BL107" s="2" t="str">
        <f>CONCATENATE(
ROUND(BI107*VLOOKUP(L107,'ID Scheme'!$A$2:$E$7,3),0), "x",
ROUND(BJ107*VLOOKUP(L107,'ID Scheme'!$A$2:$E$7,5),0), "x",
ROUND(BK107*VLOOKUP(L107,'ID Scheme'!$A$2:$E$7,4),0))</f>
        <v>95x33x26</v>
      </c>
    </row>
    <row r="108" spans="1:65" x14ac:dyDescent="0.35">
      <c r="A108" t="s">
        <v>636</v>
      </c>
      <c r="B108" t="s">
        <v>637</v>
      </c>
      <c r="C108" t="s">
        <v>285</v>
      </c>
      <c r="D108">
        <f>IF(H108 &gt; 2020, ((H108-2020)*4)+1610+J108,IF(H108 &gt; 1900, ((H108-1900)*10)+400+J108, ((H108-1730)*2)+J108))+VLOOKUP(L108,'ID Scheme'!$A$2:$B$7,2, FALSE)</f>
        <v>2131</v>
      </c>
      <c r="F108">
        <v>2131</v>
      </c>
      <c r="G108" t="s">
        <v>683</v>
      </c>
      <c r="H108">
        <v>2013</v>
      </c>
      <c r="I108">
        <v>5</v>
      </c>
      <c r="J108">
        <v>1</v>
      </c>
      <c r="K108" t="s">
        <v>523</v>
      </c>
      <c r="L108" t="s">
        <v>12</v>
      </c>
      <c r="M108" t="s">
        <v>501</v>
      </c>
      <c r="N108">
        <v>59</v>
      </c>
      <c r="O108">
        <v>-1</v>
      </c>
      <c r="P108">
        <v>18</v>
      </c>
      <c r="Q108">
        <v>5</v>
      </c>
      <c r="R108">
        <v>6</v>
      </c>
      <c r="S108">
        <v>175</v>
      </c>
      <c r="T108">
        <v>20</v>
      </c>
      <c r="U108">
        <v>59</v>
      </c>
      <c r="V108">
        <v>1</v>
      </c>
      <c r="W108" t="s">
        <v>289</v>
      </c>
      <c r="X108">
        <v>3</v>
      </c>
      <c r="Y108" s="2" t="s">
        <v>638</v>
      </c>
      <c r="Z108" s="2"/>
      <c r="AA108" s="2"/>
      <c r="AB108" s="2"/>
      <c r="AC108" s="2"/>
      <c r="AD108" s="2"/>
      <c r="AE108" s="2"/>
      <c r="AF108" s="2"/>
      <c r="AG108" s="2"/>
      <c r="AH108" s="2"/>
      <c r="AI108" s="2"/>
      <c r="AJ108" s="2"/>
      <c r="AR108">
        <v>8</v>
      </c>
      <c r="AX108" s="2">
        <f>(SQRT(N108*U108)*POWER((MIN(P108,20)+SQRT(MAX(P108-20,0))),0.9)*Data!$B$1)*(1-(V108-1))</f>
        <v>59.656604337726122</v>
      </c>
      <c r="AY108" s="2"/>
      <c r="AZ108" s="2">
        <f>((POWER((N108*N108*U108), 0.33)*LOG10(S108)*10*Data!$B$1)*V108)+AY108</f>
        <v>95.288698571508277</v>
      </c>
      <c r="BA108" s="2">
        <f t="shared" si="76"/>
        <v>47.58064516129032</v>
      </c>
      <c r="BB108" s="2">
        <f t="shared" si="60"/>
        <v>0</v>
      </c>
      <c r="BE108" s="2">
        <v>1</v>
      </c>
      <c r="BF108" s="2">
        <v>1</v>
      </c>
      <c r="BG108" s="2">
        <f t="shared" si="77"/>
        <v>59</v>
      </c>
      <c r="BH108" s="2">
        <f t="shared" si="68"/>
        <v>59</v>
      </c>
      <c r="BI108" s="3">
        <v>10.199999999999999</v>
      </c>
      <c r="BJ108" s="3">
        <v>2.4</v>
      </c>
      <c r="BK108" s="3">
        <v>2.7</v>
      </c>
      <c r="BL108" s="2" t="str">
        <f>CONCATENATE(
ROUND(BI108*VLOOKUP(L108,'ID Scheme'!$A$2:$E$7,3),0), "x",
ROUND(BJ108*VLOOKUP(L108,'ID Scheme'!$A$2:$E$7,5),0), "x",
ROUND(BK108*VLOOKUP(L108,'ID Scheme'!$A$2:$E$7,4),0))</f>
        <v>95x35x26</v>
      </c>
    </row>
    <row r="109" spans="1:65" x14ac:dyDescent="0.35">
      <c r="A109" t="s">
        <v>489</v>
      </c>
      <c r="B109" t="s">
        <v>491</v>
      </c>
      <c r="C109" t="s">
        <v>285</v>
      </c>
      <c r="D109">
        <f>IF(H109 &gt; 2020, ((H109-2020)*4)+1610+J109,IF(H109 &gt; 1900, ((H109-1900)*10)+400+J109, ((H109-1730)*2)+J109))+VLOOKUP(L109,'ID Scheme'!$A$2:$B$7,2, FALSE)</f>
        <v>2141</v>
      </c>
      <c r="F109">
        <v>2141</v>
      </c>
      <c r="G109" t="s">
        <v>683</v>
      </c>
      <c r="H109">
        <v>2014</v>
      </c>
      <c r="I109">
        <v>10</v>
      </c>
      <c r="J109">
        <v>1</v>
      </c>
      <c r="K109" t="s">
        <v>523</v>
      </c>
      <c r="L109" t="s">
        <v>12</v>
      </c>
      <c r="M109" t="s">
        <v>501</v>
      </c>
      <c r="N109">
        <v>60</v>
      </c>
      <c r="O109">
        <v>-1</v>
      </c>
      <c r="P109">
        <v>20</v>
      </c>
      <c r="Q109">
        <v>7</v>
      </c>
      <c r="R109">
        <v>11</v>
      </c>
      <c r="S109">
        <v>240</v>
      </c>
      <c r="T109">
        <v>20</v>
      </c>
      <c r="U109">
        <v>90</v>
      </c>
      <c r="V109">
        <v>0.9</v>
      </c>
      <c r="W109" t="s">
        <v>299</v>
      </c>
      <c r="X109">
        <v>3</v>
      </c>
      <c r="Y109" s="2" t="s">
        <v>490</v>
      </c>
      <c r="Z109" s="2"/>
      <c r="AA109" s="2"/>
      <c r="AB109" s="2"/>
      <c r="AC109" s="2"/>
      <c r="AD109" s="2"/>
      <c r="AE109" s="2"/>
      <c r="AF109" s="2"/>
      <c r="AG109" s="2"/>
      <c r="AH109" s="2"/>
      <c r="AI109" s="2"/>
      <c r="AJ109" s="2"/>
      <c r="AR109">
        <v>8</v>
      </c>
      <c r="AX109" s="2">
        <f>(SQRT(N109*U109)*POWER((MIN(P109,20)+SQRT(MAX(P109-20,0))),0.9)*Data!$B$1)*(1-(V109-1))</f>
        <v>89.86236093998113</v>
      </c>
      <c r="AY109" s="2"/>
      <c r="AZ109" s="2">
        <f>((POWER((N109*N109*U109), 0.33)*LOG10(S109)*10*Data!$B$1)*V109)+AY109</f>
        <v>105.77891991708935</v>
      </c>
      <c r="BA109" s="2">
        <f t="shared" ref="BA109" si="78">N109/1.24</f>
        <v>48.387096774193552</v>
      </c>
      <c r="BB109" s="2">
        <f t="shared" si="60"/>
        <v>0</v>
      </c>
      <c r="BE109" s="2">
        <v>1</v>
      </c>
      <c r="BF109" s="2">
        <v>1</v>
      </c>
      <c r="BG109" s="2">
        <f t="shared" ref="BG109" si="79">U109/BF109</f>
        <v>90</v>
      </c>
      <c r="BH109" s="2">
        <f t="shared" si="68"/>
        <v>90</v>
      </c>
      <c r="BI109" s="3">
        <v>11.4</v>
      </c>
      <c r="BJ109" s="3">
        <v>2.5499999999999998</v>
      </c>
      <c r="BK109" s="3">
        <v>4.2</v>
      </c>
      <c r="BL109" s="2" t="str">
        <f>CONCATENATE(
ROUND(BI109*VLOOKUP(L109,'ID Scheme'!$A$2:$E$7,3),0), "x",
ROUND(BJ109*VLOOKUP(L109,'ID Scheme'!$A$2:$E$7,5),0), "x",
ROUND(BK109*VLOOKUP(L109,'ID Scheme'!$A$2:$E$7,4),0))</f>
        <v>106x37x41</v>
      </c>
    </row>
    <row r="110" spans="1:65" x14ac:dyDescent="0.35">
      <c r="A110" t="s">
        <v>666</v>
      </c>
      <c r="B110" t="s">
        <v>668</v>
      </c>
      <c r="C110" t="s">
        <v>285</v>
      </c>
      <c r="D110">
        <f>IF(H110 &gt; 2020, ((H110-2020)*4)+1610+J110,IF(H110 &gt; 1900, ((H110-1900)*10)+400+J110, ((H110-1730)*2)+J110))+VLOOKUP(L110,'ID Scheme'!$A$2:$B$7,2, FALSE)</f>
        <v>2181</v>
      </c>
      <c r="F110">
        <v>2181</v>
      </c>
      <c r="G110" t="s">
        <v>683</v>
      </c>
      <c r="H110">
        <v>2018</v>
      </c>
      <c r="I110">
        <v>5</v>
      </c>
      <c r="J110">
        <v>1</v>
      </c>
      <c r="K110" t="s">
        <v>523</v>
      </c>
      <c r="L110" t="s">
        <v>12</v>
      </c>
      <c r="M110" t="s">
        <v>501</v>
      </c>
      <c r="N110">
        <v>58</v>
      </c>
      <c r="O110">
        <v>-1</v>
      </c>
      <c r="P110">
        <v>18</v>
      </c>
      <c r="Q110">
        <v>7</v>
      </c>
      <c r="R110">
        <v>11</v>
      </c>
      <c r="S110">
        <v>230</v>
      </c>
      <c r="T110">
        <v>20</v>
      </c>
      <c r="U110">
        <v>96</v>
      </c>
      <c r="V110">
        <v>0.9</v>
      </c>
      <c r="W110" t="s">
        <v>299</v>
      </c>
      <c r="X110">
        <v>3</v>
      </c>
      <c r="Y110" s="2" t="s">
        <v>667</v>
      </c>
      <c r="Z110" s="2"/>
      <c r="AA110" s="2"/>
      <c r="AB110" s="2"/>
      <c r="AC110" s="2"/>
      <c r="AD110" s="2"/>
      <c r="AE110" s="2"/>
      <c r="AF110" s="2"/>
      <c r="AG110" s="2"/>
      <c r="AH110" s="2"/>
      <c r="AI110" s="2"/>
      <c r="AJ110" s="2"/>
      <c r="AR110">
        <v>8</v>
      </c>
      <c r="AX110" s="2">
        <f>(SQRT(N110*U110)*POWER((MIN(P110,20)+SQRT(MAX(P110-20,0))),0.9)*Data!$B$1)*(1-(V110-1))</f>
        <v>82.994405131650922</v>
      </c>
      <c r="AY110" s="2"/>
      <c r="AZ110" s="2">
        <f>((POWER((N110*N110*U110), 0.33)*LOG10(S110)*10*Data!$B$1)*V110)+AY110</f>
        <v>104.84448815432327</v>
      </c>
      <c r="BA110" s="2">
        <f t="shared" si="76"/>
        <v>46.774193548387096</v>
      </c>
      <c r="BB110" s="2">
        <f t="shared" ref="BB110:BB149" si="80">AK110/1.24</f>
        <v>0</v>
      </c>
      <c r="BE110" s="2">
        <v>1</v>
      </c>
      <c r="BF110" s="2">
        <v>1</v>
      </c>
      <c r="BG110" s="2">
        <f t="shared" si="77"/>
        <v>96</v>
      </c>
      <c r="BH110" s="2">
        <f t="shared" si="68"/>
        <v>96</v>
      </c>
      <c r="BI110" s="3">
        <v>10.5</v>
      </c>
      <c r="BJ110" s="3">
        <v>2.52</v>
      </c>
      <c r="BK110" s="3">
        <v>4.4000000000000004</v>
      </c>
      <c r="BL110" s="2" t="str">
        <f>CONCATENATE(
ROUND(BI110*VLOOKUP(L110,'ID Scheme'!$A$2:$E$7,3),0), "x",
ROUND(BJ110*VLOOKUP(L110,'ID Scheme'!$A$2:$E$7,5),0), "x",
ROUND(BK110*VLOOKUP(L110,'ID Scheme'!$A$2:$E$7,4),0))</f>
        <v>98x36x43</v>
      </c>
    </row>
    <row r="111" spans="1:65" x14ac:dyDescent="0.35">
      <c r="A111" t="s">
        <v>604</v>
      </c>
      <c r="B111" t="s">
        <v>603</v>
      </c>
      <c r="C111" t="s">
        <v>285</v>
      </c>
      <c r="D111">
        <f>IF(H111 &gt; 2020, ((H111-2020)*4)+1610+J111,IF(H111 &gt; 1900, ((H111-1900)*10)+400+J111, ((H111-1730)*2)+J111))+VLOOKUP(L111,'ID Scheme'!$A$2:$B$7,2, FALSE)</f>
        <v>2201</v>
      </c>
      <c r="F111">
        <v>2201</v>
      </c>
      <c r="G111" t="s">
        <v>683</v>
      </c>
      <c r="H111">
        <v>2020</v>
      </c>
      <c r="I111">
        <v>1</v>
      </c>
      <c r="J111">
        <v>1</v>
      </c>
      <c r="K111" t="s">
        <v>523</v>
      </c>
      <c r="L111" t="s">
        <v>12</v>
      </c>
      <c r="M111" t="s">
        <v>501</v>
      </c>
      <c r="N111">
        <v>55</v>
      </c>
      <c r="O111">
        <v>-1</v>
      </c>
      <c r="P111">
        <v>20</v>
      </c>
      <c r="Q111">
        <v>7</v>
      </c>
      <c r="R111">
        <v>12</v>
      </c>
      <c r="S111">
        <v>300</v>
      </c>
      <c r="T111">
        <v>20</v>
      </c>
      <c r="U111">
        <v>90</v>
      </c>
      <c r="V111">
        <v>0.75</v>
      </c>
      <c r="W111" t="s">
        <v>605</v>
      </c>
      <c r="X111">
        <v>1</v>
      </c>
      <c r="Y111" s="2" t="s">
        <v>606</v>
      </c>
      <c r="Z111" s="2"/>
      <c r="AA111" s="2"/>
      <c r="AB111" s="2"/>
      <c r="AC111" s="2"/>
      <c r="AD111" s="2"/>
      <c r="AE111" s="2"/>
      <c r="AF111" s="2"/>
      <c r="AG111" s="2"/>
      <c r="AH111" s="2"/>
      <c r="AI111" s="2"/>
      <c r="AJ111" s="2"/>
      <c r="AR111">
        <v>8</v>
      </c>
      <c r="AX111" s="2">
        <f>(SQRT(N111*U111)*POWER((MIN(P111,20)+SQRT(MAX(P111-20,0))),0.9)*Data!$B$1)*(1-(V111-1))</f>
        <v>97.768932194229819</v>
      </c>
      <c r="AY111" s="2"/>
      <c r="AZ111" s="2">
        <f>((POWER((N111*N111*U111), 0.33)*LOG10(S111)*10*Data!$B$1)*V111)+AY111</f>
        <v>86.618208225799165</v>
      </c>
      <c r="BA111" s="2">
        <f t="shared" ref="BA111:BA112" si="81">N111/1.24</f>
        <v>44.354838709677416</v>
      </c>
      <c r="BB111" s="2">
        <f t="shared" ref="BB111:BB112" si="82">AK111/1.24</f>
        <v>0</v>
      </c>
      <c r="BE111" s="2">
        <v>1</v>
      </c>
      <c r="BF111" s="2">
        <v>1</v>
      </c>
      <c r="BG111" s="2">
        <f t="shared" ref="BG111:BG112" si="83">U111/BF111</f>
        <v>90</v>
      </c>
      <c r="BH111" s="2">
        <f t="shared" si="68"/>
        <v>90</v>
      </c>
      <c r="BI111" s="3">
        <v>11.4</v>
      </c>
      <c r="BJ111" s="3">
        <v>2.5499999999999998</v>
      </c>
      <c r="BK111" s="3">
        <v>4.2</v>
      </c>
      <c r="BL111" s="2" t="str">
        <f>CONCATENATE(
ROUND(BI111*VLOOKUP(L111,'ID Scheme'!$A$2:$E$7,3),0), "x",
ROUND(BJ111*VLOOKUP(L111,'ID Scheme'!$A$2:$E$7,5),0), "x",
ROUND(BK111*VLOOKUP(L111,'ID Scheme'!$A$2:$E$7,4),0))</f>
        <v>106x37x41</v>
      </c>
    </row>
    <row r="112" spans="1:65" x14ac:dyDescent="0.35">
      <c r="A112" t="s">
        <v>663</v>
      </c>
      <c r="B112" t="s">
        <v>664</v>
      </c>
      <c r="C112" t="s">
        <v>285</v>
      </c>
      <c r="D112">
        <f>IF(H112 &gt; 2020, ((H112-2020)*4)+1610+J112,IF(H112 &gt; 1900, ((H112-1900)*10)+400+J112, ((H112-1730)*2)+J112))+VLOOKUP(L112,'ID Scheme'!$A$2:$B$7,2, FALSE)</f>
        <v>2223</v>
      </c>
      <c r="F112">
        <v>2223</v>
      </c>
      <c r="G112" t="s">
        <v>683</v>
      </c>
      <c r="H112">
        <v>2023</v>
      </c>
      <c r="I112">
        <v>1</v>
      </c>
      <c r="J112">
        <v>1</v>
      </c>
      <c r="K112" t="s">
        <v>523</v>
      </c>
      <c r="L112" t="s">
        <v>12</v>
      </c>
      <c r="M112" t="s">
        <v>501</v>
      </c>
      <c r="N112">
        <v>45</v>
      </c>
      <c r="O112">
        <v>-1</v>
      </c>
      <c r="P112">
        <v>17</v>
      </c>
      <c r="Q112">
        <v>8</v>
      </c>
      <c r="R112">
        <v>9</v>
      </c>
      <c r="S112">
        <v>275</v>
      </c>
      <c r="T112">
        <v>20</v>
      </c>
      <c r="U112">
        <v>97</v>
      </c>
      <c r="V112">
        <v>0.75</v>
      </c>
      <c r="W112" t="s">
        <v>365</v>
      </c>
      <c r="X112">
        <v>1</v>
      </c>
      <c r="Y112" s="2" t="s">
        <v>665</v>
      </c>
      <c r="Z112" s="2"/>
      <c r="AA112" s="2"/>
      <c r="AB112" s="2"/>
      <c r="AC112" s="2"/>
      <c r="AD112" s="2"/>
      <c r="AE112" s="2"/>
      <c r="AF112" s="2"/>
      <c r="AG112" s="2"/>
      <c r="AH112" s="2"/>
      <c r="AI112" s="2"/>
      <c r="AJ112" s="2"/>
      <c r="AR112">
        <v>8</v>
      </c>
      <c r="AX112" s="2">
        <f>(SQRT(N112*U112)*POWER((MIN(P112,20)+SQRT(MAX(P112-20,0))),0.9)*Data!$B$1)*(1-(V112-1))</f>
        <v>79.317210047723009</v>
      </c>
      <c r="AY112" s="2"/>
      <c r="AZ112" s="2">
        <f>((POWER((N112*N112*U112), 0.33)*LOG10(S112)*10*Data!$B$1)*V112)+AY112</f>
        <v>76.585842585166972</v>
      </c>
      <c r="BA112" s="2">
        <f t="shared" si="81"/>
        <v>36.29032258064516</v>
      </c>
      <c r="BB112" s="2">
        <f t="shared" si="82"/>
        <v>0</v>
      </c>
      <c r="BE112" s="2">
        <v>1</v>
      </c>
      <c r="BF112" s="2">
        <v>1</v>
      </c>
      <c r="BG112" s="2">
        <f t="shared" si="83"/>
        <v>97</v>
      </c>
      <c r="BH112" s="2">
        <f t="shared" si="68"/>
        <v>97</v>
      </c>
      <c r="BI112" s="3">
        <v>12.1</v>
      </c>
      <c r="BJ112" s="3">
        <v>2.5</v>
      </c>
      <c r="BK112" s="3">
        <v>3.4</v>
      </c>
      <c r="BL112" s="2" t="str">
        <f>CONCATENATE(
ROUND(BI112*VLOOKUP(L112,'ID Scheme'!$A$2:$E$7,3),0), "x",
ROUND(BJ112*VLOOKUP(L112,'ID Scheme'!$A$2:$E$7,5),0), "x",
ROUND(BK112*VLOOKUP(L112,'ID Scheme'!$A$2:$E$7,4),0))</f>
        <v>113x36x33</v>
      </c>
    </row>
    <row r="113" spans="1:64" x14ac:dyDescent="0.35">
      <c r="A113" t="s">
        <v>763</v>
      </c>
      <c r="B113" t="s">
        <v>762</v>
      </c>
      <c r="C113" t="s">
        <v>349</v>
      </c>
      <c r="D113">
        <v>0</v>
      </c>
      <c r="F113">
        <v>-1</v>
      </c>
      <c r="Z113" t="s">
        <v>331</v>
      </c>
      <c r="AF113" t="s">
        <v>331</v>
      </c>
      <c r="AG113" t="s">
        <v>331</v>
      </c>
      <c r="AQ113" t="s">
        <v>768</v>
      </c>
      <c r="AR113">
        <v>5</v>
      </c>
      <c r="AZ113" s="2"/>
      <c r="BH113" s="2">
        <f t="shared" ref="BH113" si="84">(U113)/MAX(BE113-(1+BD113), 1)</f>
        <v>0</v>
      </c>
    </row>
    <row r="114" spans="1:64" x14ac:dyDescent="0.35">
      <c r="A114" t="s">
        <v>22</v>
      </c>
      <c r="B114" t="s">
        <v>228</v>
      </c>
      <c r="C114" t="s">
        <v>327</v>
      </c>
      <c r="D114">
        <f>IF(H114 &gt; 2020, ((H114-2020)*4)+1610+J114,IF(H114 &gt; 1900, ((H114-1900)*10)+400+J114, ((H114-1730)*2)+J114))+VLOOKUP(L114,'ID Scheme'!$A$2:$B$7,2, FALSE)</f>
        <v>3071</v>
      </c>
      <c r="F114">
        <v>3071</v>
      </c>
      <c r="G114" t="s">
        <v>683</v>
      </c>
      <c r="H114">
        <v>1907</v>
      </c>
      <c r="I114">
        <v>1</v>
      </c>
      <c r="J114">
        <v>1</v>
      </c>
      <c r="K114" t="s">
        <v>522</v>
      </c>
      <c r="L114" t="s">
        <v>13</v>
      </c>
      <c r="M114" t="s">
        <v>501</v>
      </c>
      <c r="N114">
        <v>22</v>
      </c>
      <c r="O114">
        <v>15</v>
      </c>
      <c r="P114">
        <v>15</v>
      </c>
      <c r="Q114">
        <v>5</v>
      </c>
      <c r="R114">
        <v>5.5</v>
      </c>
      <c r="S114">
        <v>35</v>
      </c>
      <c r="T114">
        <v>20</v>
      </c>
      <c r="U114">
        <v>18</v>
      </c>
      <c r="V114">
        <v>1</v>
      </c>
      <c r="W114" t="s">
        <v>289</v>
      </c>
      <c r="X114">
        <v>2</v>
      </c>
      <c r="Y114" s="2" t="s">
        <v>333</v>
      </c>
      <c r="Z114" s="2" t="s">
        <v>331</v>
      </c>
      <c r="AA114" s="2"/>
      <c r="AB114" s="2"/>
      <c r="AC114" s="2"/>
      <c r="AD114" s="2"/>
      <c r="AE114" s="2"/>
      <c r="AF114" s="2" t="s">
        <v>331</v>
      </c>
      <c r="AG114" s="2" t="s">
        <v>331</v>
      </c>
      <c r="AH114" s="2"/>
      <c r="AI114" s="2"/>
      <c r="AJ114" s="2"/>
      <c r="AR114">
        <v>7</v>
      </c>
      <c r="AX114" s="2">
        <f>(SQRT(N114*U114)*POWER((MIN(P114,20)+SQRT(MAX(P114-20,0))),0.9)*Data!$B$1)*(1-(V114-1))</f>
        <v>17.076190437355692</v>
      </c>
      <c r="AY114" s="2"/>
      <c r="AZ114" s="2">
        <f>((POWER((N114*N114*U114), 0.33)*LOG10(S114)*10*Data!$B$1)*V114)+AY114</f>
        <v>23.11886954917755</v>
      </c>
      <c r="BA114" s="2">
        <f t="shared" si="76"/>
        <v>17.741935483870968</v>
      </c>
      <c r="BB114" s="2">
        <f t="shared" si="80"/>
        <v>0</v>
      </c>
      <c r="BE114" s="2">
        <v>1</v>
      </c>
      <c r="BF114" s="2">
        <v>1</v>
      </c>
      <c r="BG114" s="2">
        <f t="shared" si="77"/>
        <v>18</v>
      </c>
      <c r="BH114" s="2">
        <f t="shared" si="68"/>
        <v>18</v>
      </c>
      <c r="BI114" s="3"/>
      <c r="BJ114" s="3"/>
      <c r="BK114" s="3"/>
      <c r="BL114" s="2" t="str">
        <f>CONCATENATE(
ROUND(BI114*VLOOKUP(L114,'ID Scheme'!$A$2:$E$7,3),0), "x",
ROUND(BJ114*VLOOKUP(L114,'ID Scheme'!$A$2:$E$7,5),0), "x",
ROUND(BK114*VLOOKUP(L114,'ID Scheme'!$A$2:$E$7,4),0))</f>
        <v>0x0x0</v>
      </c>
    </row>
    <row r="115" spans="1:64" x14ac:dyDescent="0.35">
      <c r="A115" t="s">
        <v>22</v>
      </c>
      <c r="B115" t="s">
        <v>773</v>
      </c>
      <c r="C115" t="s">
        <v>348</v>
      </c>
      <c r="D115">
        <f>IF(H115 &gt; 2020, ((H115-2020)*4)+1610+J115,IF(H115 &gt; 1900, ((H115-1900)*10)+400+J115, ((H115-1730)*2)+J115))+VLOOKUP(L115,'ID Scheme'!$A$2:$B$7,2, FALSE)</f>
        <v>3072</v>
      </c>
      <c r="E115">
        <v>3071</v>
      </c>
      <c r="F115">
        <v>3072</v>
      </c>
      <c r="G115" t="s">
        <v>683</v>
      </c>
      <c r="H115">
        <v>1907</v>
      </c>
      <c r="I115">
        <v>1</v>
      </c>
      <c r="J115">
        <v>2</v>
      </c>
      <c r="K115" t="s">
        <v>522</v>
      </c>
      <c r="L115" t="s">
        <v>13</v>
      </c>
      <c r="M115" t="s">
        <v>501</v>
      </c>
      <c r="N115">
        <v>22</v>
      </c>
      <c r="O115">
        <v>15</v>
      </c>
      <c r="P115">
        <v>15</v>
      </c>
      <c r="Q115">
        <v>5</v>
      </c>
      <c r="R115">
        <v>7.5</v>
      </c>
      <c r="S115">
        <v>35</v>
      </c>
      <c r="T115">
        <v>20</v>
      </c>
      <c r="U115">
        <v>26</v>
      </c>
      <c r="V115">
        <v>1</v>
      </c>
      <c r="W115" t="s">
        <v>289</v>
      </c>
      <c r="X115">
        <v>2</v>
      </c>
      <c r="Y115" s="2" t="s">
        <v>333</v>
      </c>
      <c r="Z115" s="2" t="s">
        <v>331</v>
      </c>
      <c r="AA115" s="2"/>
      <c r="AB115" s="2"/>
      <c r="AC115" s="2"/>
      <c r="AD115" s="2"/>
      <c r="AE115" s="2"/>
      <c r="AF115" s="2" t="s">
        <v>331</v>
      </c>
      <c r="AG115" s="2" t="s">
        <v>331</v>
      </c>
      <c r="AH115" s="2"/>
      <c r="AI115" s="2" t="s">
        <v>762</v>
      </c>
      <c r="AJ115" s="2"/>
      <c r="AM115">
        <v>1</v>
      </c>
      <c r="AN115" t="s">
        <v>780</v>
      </c>
      <c r="AO115" t="s">
        <v>403</v>
      </c>
      <c r="AP115" t="s">
        <v>766</v>
      </c>
      <c r="AQ115" t="s">
        <v>787</v>
      </c>
      <c r="AR115">
        <v>7</v>
      </c>
      <c r="AU115" t="s">
        <v>228</v>
      </c>
      <c r="AV115">
        <v>1</v>
      </c>
      <c r="AX115" s="2">
        <f>(SQRT(N115*U115)*POWER((MIN(P115,20)+SQRT(MAX(P115-20,0))),0.9)*Data!$B$1)*(1-(V115-1))</f>
        <v>20.523026737157927</v>
      </c>
      <c r="AY115" s="2"/>
      <c r="AZ115" s="2">
        <f>((POWER((N115*N115*U115), 0.33)*LOG10(S115)*10*Data!$B$1)*V115)+AY115</f>
        <v>26.101644633425998</v>
      </c>
      <c r="BA115" s="2">
        <f t="shared" ref="BA115" si="85">N115/1.24</f>
        <v>17.741935483870968</v>
      </c>
      <c r="BB115" s="2">
        <f t="shared" ref="BB115" si="86">AK115/1.24</f>
        <v>0</v>
      </c>
      <c r="BE115" s="2">
        <v>2</v>
      </c>
      <c r="BF115" s="2">
        <v>2</v>
      </c>
      <c r="BG115" s="2">
        <f t="shared" ref="BG115" si="87">U115/BF115</f>
        <v>13</v>
      </c>
      <c r="BH115" s="2">
        <f t="shared" ref="BH115" si="88">(U115)/MAX(BE115-(1+BD115), 1)</f>
        <v>26</v>
      </c>
      <c r="BI115" s="3"/>
      <c r="BJ115" s="3"/>
      <c r="BK115" s="3"/>
      <c r="BL115" s="2" t="str">
        <f>CONCATENATE(
ROUND(BI115*VLOOKUP(L115,'ID Scheme'!$A$2:$E$7,3),0), "x",
ROUND(BJ115*VLOOKUP(L115,'ID Scheme'!$A$2:$E$7,5),0), "x",
ROUND(BK115*VLOOKUP(L115,'ID Scheme'!$A$2:$E$7,4),0))</f>
        <v>0x0x0</v>
      </c>
    </row>
    <row r="116" spans="1:64" x14ac:dyDescent="0.35">
      <c r="A116" t="s">
        <v>234</v>
      </c>
      <c r="B116" t="s">
        <v>233</v>
      </c>
      <c r="C116" t="s">
        <v>327</v>
      </c>
      <c r="D116">
        <f>IF(H116 &gt; 2020, ((H116-2020)*4)+1610+J116,IF(H116 &gt; 1900, ((H116-1900)*10)+400+J116, ((H116-1730)*2)+J116))+VLOOKUP(L116,'ID Scheme'!$A$2:$B$7,2, FALSE)</f>
        <v>3131</v>
      </c>
      <c r="F116">
        <v>3131</v>
      </c>
      <c r="G116" t="s">
        <v>683</v>
      </c>
      <c r="H116">
        <v>1913</v>
      </c>
      <c r="I116">
        <v>1</v>
      </c>
      <c r="J116">
        <v>1</v>
      </c>
      <c r="K116" t="s">
        <v>522</v>
      </c>
      <c r="L116" t="s">
        <v>13</v>
      </c>
      <c r="M116" t="s">
        <v>508</v>
      </c>
      <c r="N116">
        <v>24</v>
      </c>
      <c r="O116">
        <v>20</v>
      </c>
      <c r="P116">
        <v>18</v>
      </c>
      <c r="Q116">
        <v>5</v>
      </c>
      <c r="R116">
        <v>4.5</v>
      </c>
      <c r="S116">
        <v>30</v>
      </c>
      <c r="T116">
        <v>20</v>
      </c>
      <c r="U116">
        <v>18</v>
      </c>
      <c r="V116">
        <v>1</v>
      </c>
      <c r="W116" t="s">
        <v>289</v>
      </c>
      <c r="X116">
        <v>2</v>
      </c>
      <c r="Y116" s="2" t="s">
        <v>478</v>
      </c>
      <c r="Z116" s="2" t="s">
        <v>331</v>
      </c>
      <c r="AA116" s="2"/>
      <c r="AB116" s="2"/>
      <c r="AC116" s="2" t="s">
        <v>331</v>
      </c>
      <c r="AD116" s="2"/>
      <c r="AE116" s="2"/>
      <c r="AF116" s="2" t="s">
        <v>331</v>
      </c>
      <c r="AG116" s="2" t="s">
        <v>331</v>
      </c>
      <c r="AH116" s="2"/>
      <c r="AI116" s="2"/>
      <c r="AJ116" s="2"/>
      <c r="AR116">
        <v>7</v>
      </c>
      <c r="AX116" s="2">
        <f>(SQRT(N116*U116)*POWER((MIN(P116,20)+SQRT(MAX(P116-20,0))),0.9)*Data!$B$1)*(1-(V116-1))</f>
        <v>21.01591926507977</v>
      </c>
      <c r="AY116" s="2"/>
      <c r="AZ116" s="2">
        <f>((POWER((N116*N116*U116), 0.33)*LOG10(S116)*10*Data!$B$1)*V116)+AY116</f>
        <v>23.42376794797384</v>
      </c>
      <c r="BA116" s="2">
        <f t="shared" si="76"/>
        <v>19.35483870967742</v>
      </c>
      <c r="BB116" s="2">
        <f t="shared" si="80"/>
        <v>0</v>
      </c>
      <c r="BE116" s="2">
        <v>1</v>
      </c>
      <c r="BF116" s="2">
        <v>1</v>
      </c>
      <c r="BG116" s="2">
        <f t="shared" si="77"/>
        <v>18</v>
      </c>
      <c r="BH116" s="2">
        <f t="shared" si="68"/>
        <v>18</v>
      </c>
      <c r="BI116" s="3"/>
      <c r="BJ116" s="3"/>
      <c r="BK116" s="3"/>
      <c r="BL116" s="2" t="str">
        <f>CONCATENATE(
ROUND(BI116*VLOOKUP(L116,'ID Scheme'!$A$2:$E$7,3),0), "x",
ROUND(BJ116*VLOOKUP(L116,'ID Scheme'!$A$2:$E$7,5),0), "x",
ROUND(BK116*VLOOKUP(L116,'ID Scheme'!$A$2:$E$7,4),0))</f>
        <v>0x0x0</v>
      </c>
    </row>
    <row r="117" spans="1:64" x14ac:dyDescent="0.35">
      <c r="A117" t="s">
        <v>234</v>
      </c>
      <c r="B117" t="s">
        <v>774</v>
      </c>
      <c r="C117" t="s">
        <v>348</v>
      </c>
      <c r="D117">
        <f>IF(H117 &gt; 2020, ((H117-2020)*4)+1610+J117,IF(H117 &gt; 1900, ((H117-1900)*10)+400+J117, ((H117-1730)*2)+J117))+VLOOKUP(L117,'ID Scheme'!$A$2:$B$7,2, FALSE)</f>
        <v>3132</v>
      </c>
      <c r="E117">
        <v>3131</v>
      </c>
      <c r="F117">
        <v>3132</v>
      </c>
      <c r="G117" t="s">
        <v>683</v>
      </c>
      <c r="H117">
        <v>1913</v>
      </c>
      <c r="I117">
        <v>1</v>
      </c>
      <c r="J117">
        <v>2</v>
      </c>
      <c r="K117" t="s">
        <v>522</v>
      </c>
      <c r="L117" t="s">
        <v>13</v>
      </c>
      <c r="M117" t="s">
        <v>508</v>
      </c>
      <c r="N117">
        <v>24</v>
      </c>
      <c r="O117">
        <v>20</v>
      </c>
      <c r="P117">
        <v>18</v>
      </c>
      <c r="Q117">
        <v>5</v>
      </c>
      <c r="R117">
        <v>6.5</v>
      </c>
      <c r="S117">
        <v>30</v>
      </c>
      <c r="T117">
        <v>20</v>
      </c>
      <c r="U117">
        <v>26</v>
      </c>
      <c r="V117">
        <v>1</v>
      </c>
      <c r="W117" t="s">
        <v>289</v>
      </c>
      <c r="X117">
        <v>2</v>
      </c>
      <c r="Y117" s="2" t="s">
        <v>478</v>
      </c>
      <c r="Z117" s="2" t="s">
        <v>331</v>
      </c>
      <c r="AA117" s="2"/>
      <c r="AB117" s="2"/>
      <c r="AC117" s="2"/>
      <c r="AD117" s="2"/>
      <c r="AE117" s="2"/>
      <c r="AF117" s="2" t="s">
        <v>331</v>
      </c>
      <c r="AG117" s="2" t="s">
        <v>331</v>
      </c>
      <c r="AH117" s="2"/>
      <c r="AI117" s="2" t="s">
        <v>762</v>
      </c>
      <c r="AJ117" s="2"/>
      <c r="AM117">
        <v>1</v>
      </c>
      <c r="AN117" t="s">
        <v>780</v>
      </c>
      <c r="AO117" t="s">
        <v>403</v>
      </c>
      <c r="AP117" t="s">
        <v>766</v>
      </c>
      <c r="AQ117" t="s">
        <v>786</v>
      </c>
      <c r="AR117">
        <v>7</v>
      </c>
      <c r="AU117" t="s">
        <v>233</v>
      </c>
      <c r="AV117">
        <v>1</v>
      </c>
      <c r="AX117" s="2">
        <f>(SQRT(N117*U117)*POWER((MIN(P117,20)+SQRT(MAX(P117-20,0))),0.9)*Data!$B$1)*(1-(V117-1))</f>
        <v>25.257991503752191</v>
      </c>
      <c r="AY117" s="2"/>
      <c r="AZ117" s="2">
        <f>((POWER((N117*N117*U117), 0.33)*LOG10(S117)*10*Data!$B$1)*V117)+AY117</f>
        <v>26.445880740548478</v>
      </c>
      <c r="BA117" s="2">
        <f t="shared" ref="BA117:BA118" si="89">N117/1.24</f>
        <v>19.35483870967742</v>
      </c>
      <c r="BB117" s="2">
        <f t="shared" ref="BB117:BB118" si="90">AK117/1.24</f>
        <v>0</v>
      </c>
      <c r="BE117" s="2">
        <v>2</v>
      </c>
      <c r="BF117" s="2">
        <v>2</v>
      </c>
      <c r="BG117" s="2">
        <f t="shared" ref="BG117:BG118" si="91">U117/BF117</f>
        <v>13</v>
      </c>
      <c r="BH117" s="2">
        <f t="shared" ref="BH117:BH118" si="92">(U117)/MAX(BE117-(1+BD117), 1)</f>
        <v>26</v>
      </c>
      <c r="BI117" s="3"/>
      <c r="BJ117" s="3"/>
      <c r="BK117" s="3"/>
      <c r="BL117" s="2" t="str">
        <f>CONCATENATE(
ROUND(BI117*VLOOKUP(L117,'ID Scheme'!$A$2:$E$7,3),0), "x",
ROUND(BJ117*VLOOKUP(L117,'ID Scheme'!$A$2:$E$7,5),0), "x",
ROUND(BK117*VLOOKUP(L117,'ID Scheme'!$A$2:$E$7,4),0))</f>
        <v>0x0x0</v>
      </c>
    </row>
    <row r="118" spans="1:64" x14ac:dyDescent="0.35">
      <c r="A118" t="s">
        <v>597</v>
      </c>
      <c r="B118" t="s">
        <v>598</v>
      </c>
      <c r="C118" t="s">
        <v>327</v>
      </c>
      <c r="D118">
        <f>IF(H118 &gt; 2020, ((H118-2020)*4)+1610+J118,IF(H118 &gt; 1900, ((H118-1900)*10)+400+J118, ((H118-1730)*2)+J118))+VLOOKUP(L118,'ID Scheme'!$A$2:$B$7,2, FALSE)</f>
        <v>3231</v>
      </c>
      <c r="F118">
        <v>3231</v>
      </c>
      <c r="G118" t="s">
        <v>683</v>
      </c>
      <c r="H118">
        <v>1923</v>
      </c>
      <c r="I118">
        <v>1</v>
      </c>
      <c r="J118">
        <v>1</v>
      </c>
      <c r="K118" t="s">
        <v>522</v>
      </c>
      <c r="L118" t="s">
        <v>13</v>
      </c>
      <c r="M118" t="s">
        <v>501</v>
      </c>
      <c r="N118">
        <v>28</v>
      </c>
      <c r="O118">
        <v>21</v>
      </c>
      <c r="P118">
        <v>19</v>
      </c>
      <c r="Q118">
        <v>5</v>
      </c>
      <c r="R118">
        <v>4.5</v>
      </c>
      <c r="S118">
        <v>40</v>
      </c>
      <c r="T118">
        <v>20</v>
      </c>
      <c r="U118">
        <v>18</v>
      </c>
      <c r="V118">
        <v>1</v>
      </c>
      <c r="W118" t="s">
        <v>289</v>
      </c>
      <c r="X118">
        <v>2</v>
      </c>
      <c r="Y118" s="2" t="s">
        <v>599</v>
      </c>
      <c r="Z118" s="2" t="s">
        <v>331</v>
      </c>
      <c r="AA118" s="2"/>
      <c r="AB118" s="2"/>
      <c r="AC118" s="2" t="s">
        <v>331</v>
      </c>
      <c r="AD118" s="2"/>
      <c r="AE118" s="2"/>
      <c r="AF118" s="2" t="s">
        <v>331</v>
      </c>
      <c r="AG118" s="2" t="s">
        <v>331</v>
      </c>
      <c r="AH118" s="2"/>
      <c r="AI118" s="2"/>
      <c r="AJ118" s="2"/>
      <c r="AR118">
        <v>7</v>
      </c>
      <c r="AX118" s="2">
        <f>(SQRT(N118*U118)*POWER((MIN(P118,20)+SQRT(MAX(P118-20,0))),0.9)*Data!$B$1)*(1-(V118-1))</f>
        <v>23.83168624016955</v>
      </c>
      <c r="AY118" s="2"/>
      <c r="AZ118" s="2">
        <f>((POWER((N118*N118*U118), 0.33)*LOG10(S118)*10*Data!$B$1)*V118)+AY118</f>
        <v>28.125759935399518</v>
      </c>
      <c r="BA118" s="2">
        <f t="shared" si="89"/>
        <v>22.580645161290324</v>
      </c>
      <c r="BB118" s="2">
        <f t="shared" si="90"/>
        <v>0</v>
      </c>
      <c r="BE118" s="2">
        <v>1</v>
      </c>
      <c r="BF118" s="2">
        <v>1</v>
      </c>
      <c r="BG118" s="2">
        <f t="shared" si="91"/>
        <v>18</v>
      </c>
      <c r="BH118" s="2">
        <f t="shared" si="92"/>
        <v>18</v>
      </c>
      <c r="BI118" s="3"/>
      <c r="BJ118" s="3"/>
      <c r="BK118" s="3"/>
      <c r="BL118" s="2" t="str">
        <f>CONCATENATE(
ROUND(BI118*VLOOKUP(L118,'ID Scheme'!$A$2:$E$7,3),0), "x",
ROUND(BJ118*VLOOKUP(L118,'ID Scheme'!$A$2:$E$7,5),0), "x",
ROUND(BK118*VLOOKUP(L118,'ID Scheme'!$A$2:$E$7,4),0))</f>
        <v>0x0x0</v>
      </c>
    </row>
    <row r="119" spans="1:64" x14ac:dyDescent="0.35">
      <c r="A119" t="s">
        <v>597</v>
      </c>
      <c r="B119" t="s">
        <v>775</v>
      </c>
      <c r="C119" t="s">
        <v>348</v>
      </c>
      <c r="D119">
        <f>IF(H119 &gt; 2020, ((H119-2020)*4)+1610+J119,IF(H119 &gt; 1900, ((H119-1900)*10)+400+J119, ((H119-1730)*2)+J119))+VLOOKUP(L119,'ID Scheme'!$A$2:$B$7,2, FALSE)</f>
        <v>3232</v>
      </c>
      <c r="E119">
        <v>3231</v>
      </c>
      <c r="F119">
        <v>3232</v>
      </c>
      <c r="G119" t="s">
        <v>683</v>
      </c>
      <c r="H119">
        <v>1923</v>
      </c>
      <c r="I119">
        <v>1</v>
      </c>
      <c r="J119">
        <v>2</v>
      </c>
      <c r="K119" t="s">
        <v>522</v>
      </c>
      <c r="L119" t="s">
        <v>13</v>
      </c>
      <c r="M119" t="s">
        <v>501</v>
      </c>
      <c r="N119">
        <v>28</v>
      </c>
      <c r="O119">
        <v>21</v>
      </c>
      <c r="P119">
        <v>19</v>
      </c>
      <c r="Q119">
        <v>5</v>
      </c>
      <c r="R119">
        <v>6.5</v>
      </c>
      <c r="S119">
        <v>40</v>
      </c>
      <c r="T119">
        <v>20</v>
      </c>
      <c r="U119">
        <v>26</v>
      </c>
      <c r="V119">
        <v>1</v>
      </c>
      <c r="W119" t="s">
        <v>289</v>
      </c>
      <c r="X119">
        <v>2</v>
      </c>
      <c r="Y119" s="2" t="s">
        <v>599</v>
      </c>
      <c r="Z119" s="2" t="s">
        <v>331</v>
      </c>
      <c r="AA119" s="2"/>
      <c r="AB119" s="2"/>
      <c r="AC119" s="2"/>
      <c r="AD119" s="2"/>
      <c r="AE119" s="2"/>
      <c r="AF119" s="2" t="s">
        <v>331</v>
      </c>
      <c r="AG119" s="2" t="s">
        <v>331</v>
      </c>
      <c r="AH119" s="2"/>
      <c r="AI119" s="2" t="s">
        <v>762</v>
      </c>
      <c r="AJ119" s="2"/>
      <c r="AM119">
        <v>1</v>
      </c>
      <c r="AN119" t="s">
        <v>780</v>
      </c>
      <c r="AO119" t="s">
        <v>403</v>
      </c>
      <c r="AP119" t="s">
        <v>766</v>
      </c>
      <c r="AQ119" t="s">
        <v>785</v>
      </c>
      <c r="AR119">
        <v>7</v>
      </c>
      <c r="AU119" t="s">
        <v>598</v>
      </c>
      <c r="AV119">
        <v>1</v>
      </c>
      <c r="AX119" s="2">
        <f>(SQRT(N119*U119)*POWER((MIN(P119,20)+SQRT(MAX(P119-20,0))),0.9)*Data!$B$1)*(1-(V119-1))</f>
        <v>28.642122239900306</v>
      </c>
      <c r="AY119" s="2"/>
      <c r="AZ119" s="2">
        <f>((POWER((N119*N119*U119), 0.33)*LOG10(S119)*10*Data!$B$1)*V119)+AY119</f>
        <v>31.754519368572037</v>
      </c>
      <c r="BA119" s="2">
        <f t="shared" si="76"/>
        <v>22.580645161290324</v>
      </c>
      <c r="BB119" s="2">
        <f t="shared" ref="BB119" si="93">AK119/1.24</f>
        <v>0</v>
      </c>
      <c r="BE119" s="2">
        <v>2</v>
      </c>
      <c r="BF119" s="2">
        <v>2</v>
      </c>
      <c r="BG119" s="2">
        <f t="shared" si="77"/>
        <v>13</v>
      </c>
      <c r="BH119" s="2">
        <f t="shared" si="68"/>
        <v>26</v>
      </c>
      <c r="BI119" s="3"/>
      <c r="BJ119" s="3"/>
      <c r="BK119" s="3"/>
      <c r="BL119" s="2" t="str">
        <f>CONCATENATE(
ROUND(BI119*VLOOKUP(L119,'ID Scheme'!$A$2:$E$7,3),0), "x",
ROUND(BJ119*VLOOKUP(L119,'ID Scheme'!$A$2:$E$7,5),0), "x",
ROUND(BK119*VLOOKUP(L119,'ID Scheme'!$A$2:$E$7,4),0))</f>
        <v>0x0x0</v>
      </c>
    </row>
    <row r="120" spans="1:64" x14ac:dyDescent="0.35">
      <c r="A120" t="s">
        <v>61</v>
      </c>
      <c r="B120" t="s">
        <v>189</v>
      </c>
      <c r="C120" t="s">
        <v>327</v>
      </c>
      <c r="D120">
        <f>IF(H120 &gt; 2020, ((H120-2020)*4)+1610+J120,IF(H120 &gt; 1900, ((H120-1900)*10)+400+J120, ((H120-1730)*2)+J120))+VLOOKUP(L120,'ID Scheme'!$A$2:$B$7,2, FALSE)</f>
        <v>3351</v>
      </c>
      <c r="F120">
        <v>3351</v>
      </c>
      <c r="G120" t="s">
        <v>683</v>
      </c>
      <c r="H120">
        <v>1935</v>
      </c>
      <c r="I120">
        <v>1</v>
      </c>
      <c r="J120">
        <v>1</v>
      </c>
      <c r="K120" t="s">
        <v>522</v>
      </c>
      <c r="L120" t="s">
        <v>13</v>
      </c>
      <c r="M120" t="s">
        <v>501</v>
      </c>
      <c r="N120">
        <v>29</v>
      </c>
      <c r="O120">
        <v>25</v>
      </c>
      <c r="P120">
        <v>15</v>
      </c>
      <c r="Q120">
        <v>5</v>
      </c>
      <c r="R120">
        <v>7</v>
      </c>
      <c r="S120">
        <v>110</v>
      </c>
      <c r="T120">
        <v>20</v>
      </c>
      <c r="U120">
        <v>24</v>
      </c>
      <c r="V120">
        <v>1</v>
      </c>
      <c r="W120" t="s">
        <v>289</v>
      </c>
      <c r="X120">
        <v>3</v>
      </c>
      <c r="Y120" s="2" t="s">
        <v>335</v>
      </c>
      <c r="Z120" s="2" t="s">
        <v>331</v>
      </c>
      <c r="AA120" s="2"/>
      <c r="AB120" s="2"/>
      <c r="AC120" s="2"/>
      <c r="AD120" s="2"/>
      <c r="AE120" s="2"/>
      <c r="AF120" s="2"/>
      <c r="AG120" s="2"/>
      <c r="AH120" s="2"/>
      <c r="AI120" s="2"/>
      <c r="AJ120" s="2"/>
      <c r="AR120">
        <v>8</v>
      </c>
      <c r="AX120" s="2">
        <f>(SQRT(N120*U120)*POWER((MIN(P120,20)+SQRT(MAX(P120-20,0))),0.9)*Data!$B$1)*(1-(V120-1))</f>
        <v>22.638519219874436</v>
      </c>
      <c r="AY120" s="2"/>
      <c r="AZ120" s="2">
        <f>((POWER((N120*N120*U120), 0.33)*LOG10(S120)*10*Data!$B$1)*V120)+AY120</f>
        <v>40.331112889521961</v>
      </c>
      <c r="BA120" s="2">
        <f t="shared" ref="BA120" si="94">N120/1.24</f>
        <v>23.387096774193548</v>
      </c>
      <c r="BB120" s="2">
        <f t="shared" ref="BB120" si="95">AK120/1.24</f>
        <v>0</v>
      </c>
      <c r="BE120" s="2">
        <v>1</v>
      </c>
      <c r="BF120" s="2">
        <v>1</v>
      </c>
      <c r="BG120" s="2">
        <f t="shared" ref="BG120" si="96">U120/BF120</f>
        <v>24</v>
      </c>
      <c r="BH120" s="2">
        <f t="shared" ref="BH120" si="97">(U120)/MAX(BE120-(1+BD120), 1)</f>
        <v>24</v>
      </c>
      <c r="BI120" s="3"/>
      <c r="BJ120" s="3"/>
      <c r="BK120" s="3"/>
      <c r="BL120" s="2" t="str">
        <f>CONCATENATE(
ROUND(BI120*VLOOKUP(L120,'ID Scheme'!$A$2:$E$7,3),0), "x",
ROUND(BJ120*VLOOKUP(L120,'ID Scheme'!$A$2:$E$7,5),0), "x",
ROUND(BK120*VLOOKUP(L120,'ID Scheme'!$A$2:$E$7,4),0))</f>
        <v>0x0x0</v>
      </c>
    </row>
    <row r="121" spans="1:64" x14ac:dyDescent="0.35">
      <c r="A121" t="s">
        <v>61</v>
      </c>
      <c r="B121" t="s">
        <v>777</v>
      </c>
      <c r="C121" t="s">
        <v>348</v>
      </c>
      <c r="D121">
        <f>IF(H121 &gt; 2020, ((H121-2020)*4)+1610+J121,IF(H121 &gt; 1900, ((H121-1900)*10)+400+J121, ((H121-1730)*2)+J121))+VLOOKUP(L121,'ID Scheme'!$A$2:$B$7,2, FALSE)</f>
        <v>3352</v>
      </c>
      <c r="E121">
        <v>3351</v>
      </c>
      <c r="F121">
        <v>3352</v>
      </c>
      <c r="G121" t="s">
        <v>683</v>
      </c>
      <c r="H121">
        <v>1935</v>
      </c>
      <c r="I121">
        <v>1</v>
      </c>
      <c r="J121">
        <v>2</v>
      </c>
      <c r="K121" t="s">
        <v>522</v>
      </c>
      <c r="L121" t="s">
        <v>13</v>
      </c>
      <c r="M121" t="s">
        <v>501</v>
      </c>
      <c r="N121">
        <v>29</v>
      </c>
      <c r="O121">
        <v>25</v>
      </c>
      <c r="P121">
        <v>15</v>
      </c>
      <c r="Q121">
        <v>5</v>
      </c>
      <c r="R121">
        <v>9</v>
      </c>
      <c r="S121">
        <v>110</v>
      </c>
      <c r="T121">
        <v>20</v>
      </c>
      <c r="U121">
        <v>34</v>
      </c>
      <c r="V121">
        <v>1</v>
      </c>
      <c r="W121" t="s">
        <v>289</v>
      </c>
      <c r="X121">
        <v>3</v>
      </c>
      <c r="Y121" s="2" t="s">
        <v>335</v>
      </c>
      <c r="Z121" s="2" t="s">
        <v>331</v>
      </c>
      <c r="AA121" s="2"/>
      <c r="AB121" s="2"/>
      <c r="AC121" s="2"/>
      <c r="AD121" s="2"/>
      <c r="AE121" s="2"/>
      <c r="AF121" s="2" t="s">
        <v>331</v>
      </c>
      <c r="AG121" s="2" t="s">
        <v>331</v>
      </c>
      <c r="AH121" s="2"/>
      <c r="AI121" s="2" t="s">
        <v>762</v>
      </c>
      <c r="AJ121" s="2"/>
      <c r="AM121">
        <v>1</v>
      </c>
      <c r="AN121" t="s">
        <v>782</v>
      </c>
      <c r="AO121" t="s">
        <v>403</v>
      </c>
      <c r="AP121" t="s">
        <v>765</v>
      </c>
      <c r="AQ121" t="s">
        <v>783</v>
      </c>
      <c r="AR121">
        <v>8</v>
      </c>
      <c r="AU121" t="s">
        <v>189</v>
      </c>
      <c r="AV121">
        <v>1</v>
      </c>
      <c r="AX121" s="2">
        <f>(SQRT(N121*U121)*POWER((MIN(P121,20)+SQRT(MAX(P121-20,0))),0.9)*Data!$B$1)*(1-(V121-1))</f>
        <v>26.945227456154168</v>
      </c>
      <c r="AY121" s="2"/>
      <c r="AZ121" s="2">
        <f>((POWER((N121*N121*U121), 0.33)*LOG10(S121)*10*Data!$B$1)*V121)+AY121</f>
        <v>45.243744260219479</v>
      </c>
      <c r="BA121" s="2">
        <f t="shared" si="76"/>
        <v>23.387096774193548</v>
      </c>
      <c r="BB121" s="2">
        <f t="shared" si="80"/>
        <v>0</v>
      </c>
      <c r="BE121" s="2">
        <v>2</v>
      </c>
      <c r="BF121" s="2">
        <v>2</v>
      </c>
      <c r="BG121" s="2">
        <f t="shared" si="77"/>
        <v>17</v>
      </c>
      <c r="BH121" s="2">
        <f t="shared" si="68"/>
        <v>34</v>
      </c>
      <c r="BI121" s="3"/>
      <c r="BJ121" s="3"/>
      <c r="BK121" s="3"/>
      <c r="BL121" s="2" t="str">
        <f>CONCATENATE(
ROUND(BI121*VLOOKUP(L121,'ID Scheme'!$A$2:$E$7,3),0), "x",
ROUND(BJ121*VLOOKUP(L121,'ID Scheme'!$A$2:$E$7,5),0), "x",
ROUND(BK121*VLOOKUP(L121,'ID Scheme'!$A$2:$E$7,4),0))</f>
        <v>0x0x0</v>
      </c>
    </row>
    <row r="122" spans="1:64" x14ac:dyDescent="0.35">
      <c r="A122" t="s">
        <v>0</v>
      </c>
      <c r="B122" t="s">
        <v>206</v>
      </c>
      <c r="C122" t="s">
        <v>327</v>
      </c>
      <c r="D122">
        <f>IF(H122 &gt; 2020, ((H122-2020)*4)+1610+J122,IF(H122 &gt; 1900, ((H122-1900)*10)+400+J122, ((H122-1730)*2)+J122))+VLOOKUP(L122,'ID Scheme'!$A$2:$B$7,2, FALSE)</f>
        <v>3361</v>
      </c>
      <c r="F122">
        <v>3361</v>
      </c>
      <c r="G122" t="s">
        <v>683</v>
      </c>
      <c r="H122">
        <v>1936</v>
      </c>
      <c r="I122">
        <v>1</v>
      </c>
      <c r="J122">
        <v>1</v>
      </c>
      <c r="K122" t="s">
        <v>522</v>
      </c>
      <c r="L122" t="s">
        <v>13</v>
      </c>
      <c r="M122" t="s">
        <v>501</v>
      </c>
      <c r="N122">
        <v>37</v>
      </c>
      <c r="O122">
        <v>20</v>
      </c>
      <c r="P122">
        <v>15</v>
      </c>
      <c r="Q122">
        <v>5</v>
      </c>
      <c r="R122">
        <v>5.5</v>
      </c>
      <c r="S122">
        <v>70</v>
      </c>
      <c r="T122">
        <v>20</v>
      </c>
      <c r="U122">
        <v>20</v>
      </c>
      <c r="V122">
        <v>1</v>
      </c>
      <c r="W122" t="s">
        <v>289</v>
      </c>
      <c r="X122">
        <v>2</v>
      </c>
      <c r="Y122" s="2" t="s">
        <v>336</v>
      </c>
      <c r="Z122" s="2" t="s">
        <v>331</v>
      </c>
      <c r="AA122" s="2"/>
      <c r="AB122" s="2"/>
      <c r="AC122" s="2"/>
      <c r="AD122" s="2"/>
      <c r="AE122" s="2"/>
      <c r="AF122" s="2" t="s">
        <v>331</v>
      </c>
      <c r="AG122" s="2" t="s">
        <v>331</v>
      </c>
      <c r="AH122" s="2"/>
      <c r="AI122" s="2"/>
      <c r="AJ122" s="2"/>
      <c r="AR122">
        <v>5</v>
      </c>
      <c r="AX122" s="2">
        <f>(SQRT(N122*U122)*POWER((MIN(P122,20)+SQRT(MAX(P122-20,0))),0.9)*Data!$B$1)*(1-(V122-1))</f>
        <v>23.343139015970831</v>
      </c>
      <c r="AY122" s="2"/>
      <c r="AZ122" s="2">
        <f>((POWER((N122*N122*U122), 0.33)*LOG10(S122)*10*Data!$B$1)*V122)+AY122</f>
        <v>40.311944493951287</v>
      </c>
      <c r="BA122" s="2">
        <f t="shared" si="76"/>
        <v>29.838709677419356</v>
      </c>
      <c r="BB122" s="2">
        <f t="shared" si="80"/>
        <v>0</v>
      </c>
      <c r="BE122" s="2">
        <v>1</v>
      </c>
      <c r="BF122" s="2">
        <v>1</v>
      </c>
      <c r="BG122" s="2">
        <f t="shared" si="77"/>
        <v>20</v>
      </c>
      <c r="BH122" s="2">
        <f t="shared" si="68"/>
        <v>20</v>
      </c>
      <c r="BI122" s="3"/>
      <c r="BJ122" s="3"/>
      <c r="BK122" s="3"/>
      <c r="BL122" s="2" t="str">
        <f>CONCATENATE(
ROUND(BI122*VLOOKUP(L122,'ID Scheme'!$A$2:$E$7,3),0), "x",
ROUND(BJ122*VLOOKUP(L122,'ID Scheme'!$A$2:$E$7,5),0), "x",
ROUND(BK122*VLOOKUP(L122,'ID Scheme'!$A$2:$E$7,4),0))</f>
        <v>0x0x0</v>
      </c>
    </row>
    <row r="123" spans="1:64" x14ac:dyDescent="0.35">
      <c r="A123" t="s">
        <v>0</v>
      </c>
      <c r="B123" t="s">
        <v>761</v>
      </c>
      <c r="C123" t="s">
        <v>348</v>
      </c>
      <c r="D123">
        <f>IF(H123 &gt; 2020, ((H123-2020)*4)+1610+J123,IF(H123 &gt; 1900, ((H123-1900)*10)+400+J123, ((H123-1730)*2)+J123))+VLOOKUP(L123,'ID Scheme'!$A$2:$B$7,2, FALSE)</f>
        <v>3362</v>
      </c>
      <c r="E123">
        <v>3361</v>
      </c>
      <c r="F123">
        <v>3362</v>
      </c>
      <c r="G123" t="s">
        <v>683</v>
      </c>
      <c r="H123">
        <v>1936</v>
      </c>
      <c r="I123">
        <v>1</v>
      </c>
      <c r="J123">
        <v>2</v>
      </c>
      <c r="K123" t="s">
        <v>522</v>
      </c>
      <c r="L123" t="s">
        <v>13</v>
      </c>
      <c r="M123" t="s">
        <v>501</v>
      </c>
      <c r="N123">
        <v>37</v>
      </c>
      <c r="O123">
        <v>20</v>
      </c>
      <c r="P123">
        <v>15</v>
      </c>
      <c r="Q123">
        <v>5</v>
      </c>
      <c r="R123">
        <v>7.5</v>
      </c>
      <c r="S123">
        <v>70</v>
      </c>
      <c r="T123">
        <v>20</v>
      </c>
      <c r="U123">
        <v>32</v>
      </c>
      <c r="V123">
        <v>1</v>
      </c>
      <c r="W123" t="s">
        <v>289</v>
      </c>
      <c r="X123">
        <v>2</v>
      </c>
      <c r="Y123" s="2" t="s">
        <v>336</v>
      </c>
      <c r="Z123" s="2" t="s">
        <v>331</v>
      </c>
      <c r="AA123" s="2"/>
      <c r="AB123" s="2"/>
      <c r="AC123" s="2"/>
      <c r="AD123" s="2"/>
      <c r="AE123" s="2"/>
      <c r="AF123" s="2" t="s">
        <v>331</v>
      </c>
      <c r="AG123" s="2" t="s">
        <v>331</v>
      </c>
      <c r="AH123" s="2"/>
      <c r="AI123" s="2" t="s">
        <v>762</v>
      </c>
      <c r="AJ123" s="2"/>
      <c r="AM123">
        <v>1</v>
      </c>
      <c r="AN123" t="s">
        <v>770</v>
      </c>
      <c r="AO123" t="s">
        <v>403</v>
      </c>
      <c r="AP123" t="s">
        <v>767</v>
      </c>
      <c r="AQ123" t="s">
        <v>784</v>
      </c>
      <c r="AR123">
        <v>5</v>
      </c>
      <c r="AU123" t="s">
        <v>206</v>
      </c>
      <c r="AV123">
        <v>1</v>
      </c>
      <c r="AX123" s="2">
        <f>(SQRT(N123*U123)*POWER((MIN(P123,20)+SQRT(MAX(P123-20,0))),0.9)*Data!$B$1)*(1-(V123-1))</f>
        <v>29.526994811363778</v>
      </c>
      <c r="AY123" s="2"/>
      <c r="AZ123" s="2">
        <f>((POWER((N123*N123*U123), 0.33)*LOG10(S123)*10*Data!$B$1)*V123)+AY123</f>
        <v>47.075326587424925</v>
      </c>
      <c r="BA123" s="2">
        <f t="shared" ref="BA123" si="98">N123/1.24</f>
        <v>29.838709677419356</v>
      </c>
      <c r="BB123" s="2">
        <f t="shared" ref="BB123" si="99">AK123/1.24</f>
        <v>0</v>
      </c>
      <c r="BE123" s="2">
        <v>2</v>
      </c>
      <c r="BF123" s="2">
        <v>2</v>
      </c>
      <c r="BG123" s="2">
        <f t="shared" ref="BG123" si="100">U123/BF123</f>
        <v>16</v>
      </c>
      <c r="BH123" s="2">
        <f>(U123)/MAX(BE123-(1+BD123), 1)</f>
        <v>32</v>
      </c>
      <c r="BI123" s="3"/>
      <c r="BJ123" s="3"/>
      <c r="BK123" s="3"/>
      <c r="BL123" s="2" t="str">
        <f>CONCATENATE(
ROUND(BI123*VLOOKUP(L123,'ID Scheme'!$A$2:$E$7,3),0), "x",
ROUND(BJ123*VLOOKUP(L123,'ID Scheme'!$A$2:$E$7,5),0), "x",
ROUND(BK123*VLOOKUP(L123,'ID Scheme'!$A$2:$E$7,4),0))</f>
        <v>0x0x0</v>
      </c>
    </row>
    <row r="124" spans="1:64" x14ac:dyDescent="0.35">
      <c r="A124" t="s">
        <v>796</v>
      </c>
      <c r="B124" t="s">
        <v>797</v>
      </c>
      <c r="C124" t="s">
        <v>349</v>
      </c>
      <c r="D124">
        <v>0</v>
      </c>
      <c r="F124">
        <v>-1</v>
      </c>
      <c r="Z124" t="s">
        <v>331</v>
      </c>
      <c r="AF124" t="s">
        <v>331</v>
      </c>
      <c r="AG124" t="s">
        <v>331</v>
      </c>
      <c r="AQ124" t="s">
        <v>798</v>
      </c>
      <c r="AR124">
        <v>5</v>
      </c>
      <c r="AZ124" s="2"/>
      <c r="BH124" s="2">
        <f>(U124)/MAX(BE124-(1+BD124), 1)</f>
        <v>0</v>
      </c>
    </row>
    <row r="125" spans="1:64" x14ac:dyDescent="0.35">
      <c r="A125" t="s">
        <v>600</v>
      </c>
      <c r="B125" t="s">
        <v>601</v>
      </c>
      <c r="C125" t="s">
        <v>327</v>
      </c>
      <c r="D125">
        <f>IF(H125 &gt; 2020, ((H125-2020)*4)+1610+J125,IF(H125 &gt; 1900, ((H125-1900)*10)+400+J125, ((H125-1730)*2)+J125))+VLOOKUP(L125,'ID Scheme'!$A$2:$B$7,2, FALSE)</f>
        <v>3491</v>
      </c>
      <c r="F125">
        <v>3491</v>
      </c>
      <c r="G125" t="s">
        <v>683</v>
      </c>
      <c r="H125">
        <v>1949</v>
      </c>
      <c r="I125">
        <v>7</v>
      </c>
      <c r="J125">
        <v>1</v>
      </c>
      <c r="K125" t="s">
        <v>522</v>
      </c>
      <c r="L125" t="s">
        <v>13</v>
      </c>
      <c r="M125" t="s">
        <v>501</v>
      </c>
      <c r="N125">
        <v>46</v>
      </c>
      <c r="O125">
        <v>18</v>
      </c>
      <c r="P125">
        <v>15</v>
      </c>
      <c r="Q125">
        <v>5</v>
      </c>
      <c r="R125">
        <v>6</v>
      </c>
      <c r="S125">
        <v>90</v>
      </c>
      <c r="T125">
        <v>20</v>
      </c>
      <c r="U125">
        <v>19</v>
      </c>
      <c r="V125">
        <v>1</v>
      </c>
      <c r="W125" t="s">
        <v>289</v>
      </c>
      <c r="X125">
        <v>2</v>
      </c>
      <c r="Y125" s="2" t="s">
        <v>602</v>
      </c>
      <c r="Z125" s="2" t="s">
        <v>331</v>
      </c>
      <c r="AA125" s="2"/>
      <c r="AB125" s="2"/>
      <c r="AC125" s="2" t="s">
        <v>331</v>
      </c>
      <c r="AD125" s="2"/>
      <c r="AE125" s="2"/>
      <c r="AF125" s="2"/>
      <c r="AG125" s="2"/>
      <c r="AH125" s="2"/>
      <c r="AI125" s="2"/>
      <c r="AJ125" s="2"/>
      <c r="AR125">
        <v>8</v>
      </c>
      <c r="AX125" s="2">
        <f>(SQRT(N125*U125)*POWER((MIN(P125,20)+SQRT(MAX(P125-20,0))),0.9)*Data!$B$1)*(1-(V125-1))</f>
        <v>25.368752581748886</v>
      </c>
      <c r="AY125" s="2"/>
      <c r="AZ125" s="2">
        <f>((POWER((N125*N125*U125), 0.33)*LOG10(S125)*10*Data!$B$1)*V125)+AY125</f>
        <v>48.467272071279751</v>
      </c>
      <c r="BA125" s="2">
        <f t="shared" si="76"/>
        <v>37.096774193548384</v>
      </c>
      <c r="BB125" s="2">
        <f t="shared" ref="BB125" si="101">AK125/1.24</f>
        <v>0</v>
      </c>
      <c r="BE125" s="2">
        <v>1</v>
      </c>
      <c r="BF125" s="2">
        <v>1</v>
      </c>
      <c r="BG125" s="2">
        <f t="shared" si="77"/>
        <v>19</v>
      </c>
      <c r="BH125" s="2">
        <f t="shared" si="68"/>
        <v>19</v>
      </c>
      <c r="BI125" s="3"/>
      <c r="BJ125" s="3"/>
      <c r="BK125" s="3"/>
      <c r="BL125" s="2" t="str">
        <f>CONCATENATE(
ROUND(BI125*VLOOKUP(L125,'ID Scheme'!$A$2:$E$7,3),0), "x",
ROUND(BJ125*VLOOKUP(L125,'ID Scheme'!$A$2:$E$7,5),0), "x",
ROUND(BK125*VLOOKUP(L125,'ID Scheme'!$A$2:$E$7,4),0))</f>
        <v>0x0x0</v>
      </c>
    </row>
    <row r="126" spans="1:64" x14ac:dyDescent="0.35">
      <c r="A126" t="s">
        <v>600</v>
      </c>
      <c r="B126" t="s">
        <v>793</v>
      </c>
      <c r="C126" t="s">
        <v>348</v>
      </c>
      <c r="D126">
        <f>IF(H126 &gt; 2020, ((H126-2020)*4)+1610+J126,IF(H126 &gt; 1900, ((H126-1900)*10)+400+J126, ((H126-1730)*2)+J126))+VLOOKUP(L126,'ID Scheme'!$A$2:$B$7,2, FALSE)</f>
        <v>3492</v>
      </c>
      <c r="E126">
        <v>3491</v>
      </c>
      <c r="F126">
        <v>3492</v>
      </c>
      <c r="G126" t="s">
        <v>683</v>
      </c>
      <c r="H126">
        <v>1949</v>
      </c>
      <c r="I126">
        <v>7</v>
      </c>
      <c r="J126">
        <v>2</v>
      </c>
      <c r="K126" t="s">
        <v>522</v>
      </c>
      <c r="L126" t="s">
        <v>13</v>
      </c>
      <c r="M126" t="s">
        <v>501</v>
      </c>
      <c r="N126">
        <v>46</v>
      </c>
      <c r="O126">
        <v>18</v>
      </c>
      <c r="P126">
        <v>15</v>
      </c>
      <c r="Q126">
        <v>5</v>
      </c>
      <c r="R126">
        <v>8</v>
      </c>
      <c r="S126">
        <v>90</v>
      </c>
      <c r="T126">
        <v>20</v>
      </c>
      <c r="U126">
        <v>28</v>
      </c>
      <c r="V126">
        <v>1</v>
      </c>
      <c r="W126" t="s">
        <v>289</v>
      </c>
      <c r="X126">
        <v>2</v>
      </c>
      <c r="Y126" s="2" t="s">
        <v>602</v>
      </c>
      <c r="Z126" s="2" t="s">
        <v>331</v>
      </c>
      <c r="AA126" s="2"/>
      <c r="AB126" s="2"/>
      <c r="AC126" s="2"/>
      <c r="AD126" s="2"/>
      <c r="AE126" s="2"/>
      <c r="AF126" s="2" t="s">
        <v>331</v>
      </c>
      <c r="AG126" s="2" t="s">
        <v>331</v>
      </c>
      <c r="AH126" s="2"/>
      <c r="AI126" s="2" t="s">
        <v>797</v>
      </c>
      <c r="AJ126" s="2"/>
      <c r="AM126">
        <v>1</v>
      </c>
      <c r="AN126" t="s">
        <v>794</v>
      </c>
      <c r="AO126" t="s">
        <v>403</v>
      </c>
      <c r="AP126" t="s">
        <v>764</v>
      </c>
      <c r="AQ126" t="s">
        <v>795</v>
      </c>
      <c r="AR126">
        <v>8</v>
      </c>
      <c r="AU126" t="s">
        <v>601</v>
      </c>
      <c r="AV126">
        <v>1</v>
      </c>
      <c r="AX126" s="2">
        <f>(SQRT(N126*U126)*POWER((MIN(P126,20)+SQRT(MAX(P126-20,0))),0.9)*Data!$B$1)*(1-(V126-1))</f>
        <v>30.796497589235308</v>
      </c>
      <c r="AY126" s="2"/>
      <c r="AZ126" s="2">
        <f>((POWER((N126*N126*U126), 0.33)*LOG10(S126)*10*Data!$B$1)*V126)+AY126</f>
        <v>55.083564831268468</v>
      </c>
      <c r="BA126" s="2">
        <f t="shared" ref="BA126" si="102">N126/1.24</f>
        <v>37.096774193548384</v>
      </c>
      <c r="BB126" s="2">
        <f t="shared" ref="BB126" si="103">AK126/1.24</f>
        <v>0</v>
      </c>
      <c r="BE126" s="2">
        <v>2</v>
      </c>
      <c r="BF126" s="2">
        <v>1</v>
      </c>
      <c r="BG126" s="2">
        <f t="shared" ref="BG126" si="104">U126/BF126</f>
        <v>28</v>
      </c>
      <c r="BH126" s="2">
        <f t="shared" ref="BH126" si="105">(U126)/MAX(BE126-(1+BD126), 1)</f>
        <v>28</v>
      </c>
      <c r="BI126" s="3"/>
      <c r="BJ126" s="3"/>
      <c r="BK126" s="3"/>
      <c r="BL126" s="2" t="str">
        <f>CONCATENATE(
ROUND(BI126*VLOOKUP(L126,'ID Scheme'!$A$2:$E$7,3),0), "x",
ROUND(BJ126*VLOOKUP(L126,'ID Scheme'!$A$2:$E$7,5),0), "x",
ROUND(BK126*VLOOKUP(L126,'ID Scheme'!$A$2:$E$7,4),0))</f>
        <v>0x0x0</v>
      </c>
    </row>
    <row r="127" spans="1:64" x14ac:dyDescent="0.35">
      <c r="A127" t="s">
        <v>60</v>
      </c>
      <c r="B127" t="s">
        <v>218</v>
      </c>
      <c r="C127" t="s">
        <v>327</v>
      </c>
      <c r="D127">
        <f>IF(H127 &gt; 2020, ((H127-2020)*4)+1610+J127,IF(H127 &gt; 1900, ((H127-1900)*10)+400+J127, ((H127-1730)*2)+J127))+VLOOKUP(L127,'ID Scheme'!$A$2:$B$7,2, FALSE)</f>
        <v>3281</v>
      </c>
      <c r="F127">
        <v>3281</v>
      </c>
      <c r="G127" t="s">
        <v>683</v>
      </c>
      <c r="H127">
        <v>1928</v>
      </c>
      <c r="I127">
        <v>1</v>
      </c>
      <c r="J127">
        <v>1</v>
      </c>
      <c r="K127" t="s">
        <v>522</v>
      </c>
      <c r="L127" t="s">
        <v>13</v>
      </c>
      <c r="M127" t="s">
        <v>501</v>
      </c>
      <c r="N127">
        <v>37</v>
      </c>
      <c r="O127">
        <v>20</v>
      </c>
      <c r="P127">
        <v>16</v>
      </c>
      <c r="Q127">
        <v>5</v>
      </c>
      <c r="R127">
        <v>6</v>
      </c>
      <c r="S127">
        <v>100</v>
      </c>
      <c r="T127">
        <v>20</v>
      </c>
      <c r="U127">
        <v>15</v>
      </c>
      <c r="V127">
        <v>1.05</v>
      </c>
      <c r="W127" t="s">
        <v>288</v>
      </c>
      <c r="X127">
        <v>-3</v>
      </c>
      <c r="Y127" s="2" t="s">
        <v>334</v>
      </c>
      <c r="Z127" s="2" t="s">
        <v>331</v>
      </c>
      <c r="AA127" s="2"/>
      <c r="AB127" s="2"/>
      <c r="AC127" s="2"/>
      <c r="AD127" s="2"/>
      <c r="AE127" s="2"/>
      <c r="AF127" s="2" t="s">
        <v>331</v>
      </c>
      <c r="AG127" s="2"/>
      <c r="AH127" s="2"/>
      <c r="AI127" s="2"/>
      <c r="AJ127" s="2"/>
      <c r="AR127">
        <v>8</v>
      </c>
      <c r="AX127" s="2">
        <f>(SQRT(N127*U127)*POWER((MIN(P127,20)+SQRT(MAX(P127-20,0))),0.9)*Data!$B$1)*(1-(V127-1))</f>
        <v>20.353511393559973</v>
      </c>
      <c r="AY127" s="2"/>
      <c r="AZ127" s="2">
        <f>((POWER((N127*N127*U127), 0.33)*LOG10(S127)*10*Data!$B$1)*V127)+AY127</f>
        <v>41.725717318942067</v>
      </c>
      <c r="BA127" s="2">
        <f t="shared" ref="BA127" si="106">N127/1.24</f>
        <v>29.838709677419356</v>
      </c>
      <c r="BB127" s="2">
        <f>AK127/1.24</f>
        <v>0</v>
      </c>
      <c r="BE127" s="2">
        <v>1</v>
      </c>
      <c r="BF127" s="2">
        <v>1</v>
      </c>
      <c r="BG127" s="2">
        <f t="shared" ref="BG127" si="107">U127/BF127</f>
        <v>15</v>
      </c>
      <c r="BH127" s="2">
        <f t="shared" ref="BH127" si="108">(U127)/MAX(BE127-(1+BD127), 1)</f>
        <v>15</v>
      </c>
      <c r="BI127" s="3"/>
      <c r="BJ127" s="3"/>
      <c r="BK127" s="3"/>
      <c r="BL127" s="2" t="str">
        <f>CONCATENATE(
ROUND(BI127*VLOOKUP(L127,'ID Scheme'!$A$2:$E$7,3),0), "x",
ROUND(BJ127*VLOOKUP(L127,'ID Scheme'!$A$2:$E$7,5),0), "x",
ROUND(BK127*VLOOKUP(L127,'ID Scheme'!$A$2:$E$7,4),0))</f>
        <v>0x0x0</v>
      </c>
    </row>
    <row r="128" spans="1:64" x14ac:dyDescent="0.35">
      <c r="A128" t="s">
        <v>60</v>
      </c>
      <c r="B128" t="s">
        <v>776</v>
      </c>
      <c r="C128" t="s">
        <v>348</v>
      </c>
      <c r="D128">
        <f>IF(H128 &gt; 2020, ((H128-2020)*4)+1610+J128,IF(H128 &gt; 1900, ((H128-1900)*10)+400+J128, ((H128-1730)*2)+J128))+VLOOKUP(L128,'ID Scheme'!$A$2:$B$7,2, FALSE)</f>
        <v>3282</v>
      </c>
      <c r="E128">
        <v>3281</v>
      </c>
      <c r="F128">
        <v>3282</v>
      </c>
      <c r="G128" t="s">
        <v>683</v>
      </c>
      <c r="H128">
        <v>1928</v>
      </c>
      <c r="I128">
        <v>1</v>
      </c>
      <c r="J128">
        <v>2</v>
      </c>
      <c r="K128" t="s">
        <v>522</v>
      </c>
      <c r="L128" t="s">
        <v>13</v>
      </c>
      <c r="M128" t="s">
        <v>501</v>
      </c>
      <c r="N128">
        <v>37</v>
      </c>
      <c r="O128">
        <v>20</v>
      </c>
      <c r="P128">
        <v>16</v>
      </c>
      <c r="Q128">
        <v>5</v>
      </c>
      <c r="R128">
        <v>8</v>
      </c>
      <c r="S128">
        <v>100</v>
      </c>
      <c r="T128">
        <v>20</v>
      </c>
      <c r="U128">
        <v>22</v>
      </c>
      <c r="V128">
        <v>1.05</v>
      </c>
      <c r="W128" t="s">
        <v>288</v>
      </c>
      <c r="X128">
        <v>-3</v>
      </c>
      <c r="Y128" s="2" t="s">
        <v>334</v>
      </c>
      <c r="Z128" s="2" t="s">
        <v>331</v>
      </c>
      <c r="AA128" s="2"/>
      <c r="AB128" s="2"/>
      <c r="AC128" s="2"/>
      <c r="AD128" s="2"/>
      <c r="AE128" s="2"/>
      <c r="AF128" s="2" t="s">
        <v>331</v>
      </c>
      <c r="AG128" s="2" t="s">
        <v>331</v>
      </c>
      <c r="AH128" s="2"/>
      <c r="AI128" s="2" t="s">
        <v>797</v>
      </c>
      <c r="AJ128" s="2"/>
      <c r="AM128">
        <v>1</v>
      </c>
      <c r="AN128" t="s">
        <v>781</v>
      </c>
      <c r="AO128" t="s">
        <v>403</v>
      </c>
      <c r="AP128" t="s">
        <v>764</v>
      </c>
      <c r="AQ128" t="s">
        <v>792</v>
      </c>
      <c r="AR128">
        <v>8</v>
      </c>
      <c r="AU128" t="s">
        <v>218</v>
      </c>
      <c r="AV128">
        <v>1</v>
      </c>
      <c r="AX128" s="2">
        <f>(SQRT(N128*U128)*POWER((MIN(P128,20)+SQRT(MAX(P128-20,0))),0.9)*Data!$B$1)*(1-(V128-1))</f>
        <v>24.64932639113567</v>
      </c>
      <c r="AY128" s="2"/>
      <c r="AZ128" s="2">
        <f>((POWER((N128*N128*U128), 0.33)*LOG10(S128)*10*Data!$B$1)*V128)+AY128</f>
        <v>47.347077865931134</v>
      </c>
      <c r="BA128" s="2">
        <f>N128/1.24</f>
        <v>29.838709677419356</v>
      </c>
      <c r="BB128" s="2">
        <f>AK128/1.24</f>
        <v>0</v>
      </c>
      <c r="BE128" s="2">
        <v>2</v>
      </c>
      <c r="BF128" s="2">
        <v>2</v>
      </c>
      <c r="BG128" s="2">
        <f>U128/BF128</f>
        <v>11</v>
      </c>
      <c r="BH128" s="2">
        <f>(U128)/MAX(BE128-(1+BD128), 1)</f>
        <v>22</v>
      </c>
      <c r="BI128" s="3"/>
      <c r="BJ128" s="3"/>
      <c r="BK128" s="3"/>
      <c r="BL128" s="2" t="str">
        <f>CONCATENATE(
ROUND(BI128*VLOOKUP(L128,'ID Scheme'!$A$2:$E$7,3),0), "x",
ROUND(BJ128*VLOOKUP(L128,'ID Scheme'!$A$2:$E$7,5),0), "x",
ROUND(BK128*VLOOKUP(L128,'ID Scheme'!$A$2:$E$7,4),0))</f>
        <v>0x0x0</v>
      </c>
    </row>
    <row r="129" spans="1:65" x14ac:dyDescent="0.35">
      <c r="A129" t="s">
        <v>814</v>
      </c>
      <c r="B129" t="s">
        <v>813</v>
      </c>
      <c r="C129" t="s">
        <v>349</v>
      </c>
      <c r="D129">
        <v>0</v>
      </c>
      <c r="F129">
        <v>-1</v>
      </c>
      <c r="Z129" t="s">
        <v>331</v>
      </c>
      <c r="AC129" t="s">
        <v>331</v>
      </c>
      <c r="AQ129" t="s">
        <v>815</v>
      </c>
      <c r="AR129">
        <v>8</v>
      </c>
      <c r="AZ129" s="2"/>
      <c r="BH129" s="2">
        <f t="shared" ref="BH129" si="109">(U129)/MAX(BE129-(1+BD129), 1)</f>
        <v>0</v>
      </c>
    </row>
    <row r="130" spans="1:65" x14ac:dyDescent="0.35">
      <c r="A130" t="s">
        <v>4</v>
      </c>
      <c r="B130" t="s">
        <v>198</v>
      </c>
      <c r="C130" t="s">
        <v>327</v>
      </c>
      <c r="D130">
        <f>IF(H130 &gt; 2020, ((H130-2020)*4)+1610+J130,IF(H130 &gt; 1900, ((H130-1900)*10)+400+J130, ((H130-1730)*2)+J130))+VLOOKUP(L130,'ID Scheme'!$A$2:$B$7,2, FALSE)</f>
        <v>3571</v>
      </c>
      <c r="F130">
        <v>3571</v>
      </c>
      <c r="G130" t="s">
        <v>683</v>
      </c>
      <c r="H130">
        <v>1957</v>
      </c>
      <c r="I130">
        <v>1</v>
      </c>
      <c r="J130">
        <v>1</v>
      </c>
      <c r="K130" t="s">
        <v>522</v>
      </c>
      <c r="L130" t="s">
        <v>13</v>
      </c>
      <c r="M130" t="s">
        <v>501</v>
      </c>
      <c r="N130">
        <v>44</v>
      </c>
      <c r="O130">
        <v>20</v>
      </c>
      <c r="P130">
        <v>15</v>
      </c>
      <c r="Q130">
        <v>5</v>
      </c>
      <c r="R130">
        <v>6.5</v>
      </c>
      <c r="S130">
        <v>110</v>
      </c>
      <c r="T130">
        <v>20</v>
      </c>
      <c r="U130">
        <v>21</v>
      </c>
      <c r="V130">
        <v>1</v>
      </c>
      <c r="W130" t="s">
        <v>289</v>
      </c>
      <c r="X130">
        <v>2</v>
      </c>
      <c r="Y130" s="2" t="s">
        <v>338</v>
      </c>
      <c r="Z130" s="2" t="s">
        <v>331</v>
      </c>
      <c r="AA130" s="2"/>
      <c r="AB130" s="2"/>
      <c r="AC130" s="2" t="s">
        <v>331</v>
      </c>
      <c r="AD130" s="2"/>
      <c r="AE130" s="2"/>
      <c r="AF130" s="2"/>
      <c r="AG130" s="2"/>
      <c r="AH130" s="2"/>
      <c r="AI130" s="2"/>
      <c r="AJ130" s="2"/>
      <c r="AR130">
        <v>8</v>
      </c>
      <c r="AX130" s="2">
        <f>(SQRT(N130*U130)*POWER((MIN(P130,20)+SQRT(MAX(P130-20,0))),0.9)*Data!$B$1)*(1-(V130-1))</f>
        <v>26.084311753554509</v>
      </c>
      <c r="AY130" s="2"/>
      <c r="AZ130" s="2">
        <f>((POWER((N130*N130*U130), 0.33)*LOG10(S130)*10*Data!$B$1)*V130)+AY130</f>
        <v>50.815821559497905</v>
      </c>
      <c r="BA130" s="2">
        <f t="shared" si="76"/>
        <v>35.483870967741936</v>
      </c>
      <c r="BB130" s="2">
        <f t="shared" si="80"/>
        <v>0</v>
      </c>
      <c r="BE130" s="2">
        <v>1</v>
      </c>
      <c r="BF130" s="2">
        <v>1</v>
      </c>
      <c r="BG130" s="2">
        <f t="shared" si="77"/>
        <v>21</v>
      </c>
      <c r="BH130" s="2">
        <f t="shared" si="68"/>
        <v>21</v>
      </c>
      <c r="BI130" s="3"/>
      <c r="BJ130" s="3"/>
      <c r="BK130" s="3"/>
      <c r="BL130" s="2" t="str">
        <f>CONCATENATE(
ROUND(BI130*VLOOKUP(L130,'ID Scheme'!$A$2:$E$7,3),0), "x",
ROUND(BJ130*VLOOKUP(L130,'ID Scheme'!$A$2:$E$7,5),0), "x",
ROUND(BK130*VLOOKUP(L130,'ID Scheme'!$A$2:$E$7,4),0))</f>
        <v>0x0x0</v>
      </c>
    </row>
    <row r="131" spans="1:65" x14ac:dyDescent="0.35">
      <c r="A131" t="s">
        <v>4</v>
      </c>
      <c r="B131" t="s">
        <v>807</v>
      </c>
      <c r="C131" t="s">
        <v>348</v>
      </c>
      <c r="D131">
        <f>IF(H131 &gt; 2020, ((H131-2020)*4)+1610+J131,IF(H131 &gt; 1900, ((H131-1900)*10)+400+J131, ((H131-1730)*2)+J131))+VLOOKUP(L131,'ID Scheme'!$A$2:$B$7,2, FALSE)</f>
        <v>3572</v>
      </c>
      <c r="E131">
        <v>3571</v>
      </c>
      <c r="F131">
        <v>3571</v>
      </c>
      <c r="G131" t="s">
        <v>683</v>
      </c>
      <c r="H131">
        <v>1957</v>
      </c>
      <c r="I131">
        <v>1</v>
      </c>
      <c r="J131">
        <v>2</v>
      </c>
      <c r="K131" t="s">
        <v>522</v>
      </c>
      <c r="L131" t="s">
        <v>13</v>
      </c>
      <c r="M131" t="s">
        <v>501</v>
      </c>
      <c r="N131">
        <v>44</v>
      </c>
      <c r="O131">
        <v>20</v>
      </c>
      <c r="P131">
        <v>15</v>
      </c>
      <c r="Q131">
        <v>5</v>
      </c>
      <c r="R131">
        <v>8.5</v>
      </c>
      <c r="S131">
        <v>110</v>
      </c>
      <c r="T131">
        <v>20</v>
      </c>
      <c r="U131">
        <v>28</v>
      </c>
      <c r="V131">
        <v>1</v>
      </c>
      <c r="W131" t="s">
        <v>289</v>
      </c>
      <c r="X131">
        <v>2</v>
      </c>
      <c r="Y131" s="2" t="s">
        <v>338</v>
      </c>
      <c r="Z131" s="2" t="s">
        <v>331</v>
      </c>
      <c r="AA131" s="2"/>
      <c r="AB131" s="2"/>
      <c r="AC131" s="2" t="s">
        <v>331</v>
      </c>
      <c r="AD131" s="2"/>
      <c r="AE131" s="2"/>
      <c r="AF131" s="2"/>
      <c r="AG131" s="2"/>
      <c r="AH131" s="2"/>
      <c r="AI131" s="2" t="s">
        <v>813</v>
      </c>
      <c r="AJ131" s="2"/>
      <c r="AM131">
        <v>1</v>
      </c>
      <c r="AN131" t="s">
        <v>809</v>
      </c>
      <c r="AO131" t="s">
        <v>403</v>
      </c>
      <c r="AP131" t="s">
        <v>804</v>
      </c>
      <c r="AQ131" t="s">
        <v>812</v>
      </c>
      <c r="AR131">
        <v>8</v>
      </c>
      <c r="AU131" t="s">
        <v>198</v>
      </c>
      <c r="AV131">
        <v>1</v>
      </c>
      <c r="AX131" s="2">
        <f>(SQRT(N131*U131)*POWER((MIN(P131,20)+SQRT(MAX(P131-20,0))),0.9)*Data!$B$1)*(1-(V131-1))</f>
        <v>30.119568825081629</v>
      </c>
      <c r="AY131" s="2"/>
      <c r="AZ131" s="2">
        <f>((POWER((N131*N131*U131), 0.33)*LOG10(S131)*10*Data!$B$1)*V131)+AY131</f>
        <v>55.876440760564563</v>
      </c>
      <c r="BA131" s="2">
        <f t="shared" ref="BA131" si="110">N131/1.24</f>
        <v>35.483870967741936</v>
      </c>
      <c r="BB131" s="2">
        <f t="shared" ref="BB131" si="111">AK131/1.24</f>
        <v>0</v>
      </c>
      <c r="BE131" s="2">
        <v>2</v>
      </c>
      <c r="BF131" s="2">
        <v>2</v>
      </c>
      <c r="BG131" s="2">
        <f t="shared" ref="BG131" si="112">U131/BF131</f>
        <v>14</v>
      </c>
      <c r="BH131" s="2">
        <f t="shared" ref="BH131" si="113">(U131)/MAX(BE131-(1+BD131), 1)</f>
        <v>28</v>
      </c>
      <c r="BI131" s="3"/>
      <c r="BJ131" s="3"/>
      <c r="BK131" s="3"/>
      <c r="BL131" s="2" t="str">
        <f>CONCATENATE(
ROUND(BI131*VLOOKUP(L131,'ID Scheme'!$A$2:$E$7,3),0), "x",
ROUND(BJ131*VLOOKUP(L131,'ID Scheme'!$A$2:$E$7,5),0), "x",
ROUND(BK131*VLOOKUP(L131,'ID Scheme'!$A$2:$E$7,4),0))</f>
        <v>0x0x0</v>
      </c>
    </row>
    <row r="132" spans="1:65" x14ac:dyDescent="0.35">
      <c r="A132" t="s">
        <v>3</v>
      </c>
      <c r="B132" t="s">
        <v>199</v>
      </c>
      <c r="C132" t="s">
        <v>327</v>
      </c>
      <c r="D132">
        <f>IF(H132 &gt; 2020, ((H132-2020)*4)+1610+J132,IF(H132 &gt; 1900, ((H132-1900)*10)+400+J132, ((H132-1730)*2)+J132))+VLOOKUP(L132,'ID Scheme'!$A$2:$B$7,2, FALSE)</f>
        <v>3631</v>
      </c>
      <c r="F132">
        <v>3631</v>
      </c>
      <c r="G132" t="s">
        <v>683</v>
      </c>
      <c r="H132">
        <v>1963</v>
      </c>
      <c r="I132">
        <v>1</v>
      </c>
      <c r="J132">
        <v>1</v>
      </c>
      <c r="K132" t="s">
        <v>522</v>
      </c>
      <c r="L132" t="s">
        <v>13</v>
      </c>
      <c r="M132" t="s">
        <v>501</v>
      </c>
      <c r="N132">
        <v>48</v>
      </c>
      <c r="O132">
        <v>20</v>
      </c>
      <c r="P132">
        <v>16</v>
      </c>
      <c r="Q132">
        <v>5</v>
      </c>
      <c r="R132">
        <v>7</v>
      </c>
      <c r="S132">
        <v>120</v>
      </c>
      <c r="T132">
        <v>20</v>
      </c>
      <c r="U132">
        <v>24</v>
      </c>
      <c r="V132">
        <v>1</v>
      </c>
      <c r="W132" t="s">
        <v>289</v>
      </c>
      <c r="X132">
        <v>3</v>
      </c>
      <c r="Y132" s="2" t="s">
        <v>340</v>
      </c>
      <c r="Z132" s="2" t="s">
        <v>331</v>
      </c>
      <c r="AA132" s="2"/>
      <c r="AB132" s="2"/>
      <c r="AC132" s="2" t="s">
        <v>331</v>
      </c>
      <c r="AD132" s="2"/>
      <c r="AE132" s="2"/>
      <c r="AF132" s="2"/>
      <c r="AG132" s="2"/>
      <c r="AH132" s="2"/>
      <c r="AI132" s="2"/>
      <c r="AJ132" s="2"/>
      <c r="AR132">
        <v>8</v>
      </c>
      <c r="AX132" s="2">
        <f>(SQRT(N132*U132)*POWER((MIN(P132,20)+SQRT(MAX(P132-20,0))),0.9)*Data!$B$1)*(1-(V132-1))</f>
        <v>30.867075721045236</v>
      </c>
      <c r="AY132" s="2"/>
      <c r="AZ132" s="2">
        <f>((POWER((N132*N132*U132), 0.33)*LOG10(S132)*10*Data!$B$1)*V132)+AY132</f>
        <v>57.285213898505866</v>
      </c>
      <c r="BA132" s="2">
        <f>N132/1.24</f>
        <v>38.70967741935484</v>
      </c>
      <c r="BB132" s="2">
        <f>AK132/1.24</f>
        <v>0</v>
      </c>
      <c r="BE132" s="2">
        <v>1</v>
      </c>
      <c r="BF132" s="2">
        <v>1</v>
      </c>
      <c r="BG132" s="2">
        <f>U132/BF132</f>
        <v>24</v>
      </c>
      <c r="BH132" s="2">
        <f>(U132)/MAX(BE132-(1+BD132), 1)</f>
        <v>24</v>
      </c>
      <c r="BI132" s="3"/>
      <c r="BJ132" s="3"/>
      <c r="BK132" s="3"/>
      <c r="BL132" s="2" t="str">
        <f>CONCATENATE(
ROUND(BI132*VLOOKUP(L132,'ID Scheme'!$A$2:$E$7,3),0), "x",
ROUND(BJ132*VLOOKUP(L132,'ID Scheme'!$A$2:$E$7,5),0), "x",
ROUND(BK132*VLOOKUP(L132,'ID Scheme'!$A$2:$E$7,4),0))</f>
        <v>0x0x0</v>
      </c>
    </row>
    <row r="133" spans="1:65" x14ac:dyDescent="0.35">
      <c r="A133" t="s">
        <v>3</v>
      </c>
      <c r="B133" t="s">
        <v>808</v>
      </c>
      <c r="C133" t="s">
        <v>348</v>
      </c>
      <c r="D133">
        <f>IF(H133 &gt; 2020, ((H133-2020)*4)+1610+J133,IF(H133 &gt; 1900, ((H133-1900)*10)+400+J133, ((H133-1730)*2)+J133))+VLOOKUP(L133,'ID Scheme'!$A$2:$B$7,2, FALSE)</f>
        <v>3632</v>
      </c>
      <c r="E133">
        <v>3631</v>
      </c>
      <c r="F133">
        <v>3631</v>
      </c>
      <c r="G133" t="s">
        <v>683</v>
      </c>
      <c r="H133">
        <v>1963</v>
      </c>
      <c r="I133">
        <v>1</v>
      </c>
      <c r="J133">
        <v>2</v>
      </c>
      <c r="K133" t="s">
        <v>522</v>
      </c>
      <c r="L133" t="s">
        <v>13</v>
      </c>
      <c r="M133" t="s">
        <v>501</v>
      </c>
      <c r="N133">
        <v>48</v>
      </c>
      <c r="O133">
        <v>20</v>
      </c>
      <c r="P133">
        <v>16</v>
      </c>
      <c r="Q133">
        <v>5</v>
      </c>
      <c r="R133">
        <v>9</v>
      </c>
      <c r="S133">
        <v>120</v>
      </c>
      <c r="T133">
        <v>20</v>
      </c>
      <c r="U133">
        <v>30</v>
      </c>
      <c r="V133">
        <v>1</v>
      </c>
      <c r="W133" t="s">
        <v>289</v>
      </c>
      <c r="X133">
        <v>3</v>
      </c>
      <c r="Y133" s="2" t="s">
        <v>340</v>
      </c>
      <c r="Z133" s="2" t="s">
        <v>331</v>
      </c>
      <c r="AA133" s="2"/>
      <c r="AB133" s="2"/>
      <c r="AC133" s="2" t="s">
        <v>331</v>
      </c>
      <c r="AD133" s="2"/>
      <c r="AE133" s="2"/>
      <c r="AF133" s="2"/>
      <c r="AG133" s="2"/>
      <c r="AH133" s="2"/>
      <c r="AI133" s="2" t="s">
        <v>813</v>
      </c>
      <c r="AJ133" s="2"/>
      <c r="AM133">
        <v>1</v>
      </c>
      <c r="AN133" t="s">
        <v>810</v>
      </c>
      <c r="AO133" t="s">
        <v>403</v>
      </c>
      <c r="AP133" t="s">
        <v>806</v>
      </c>
      <c r="AQ133" t="s">
        <v>811</v>
      </c>
      <c r="AR133">
        <v>8</v>
      </c>
      <c r="AU133" t="s">
        <v>199</v>
      </c>
      <c r="AV133">
        <v>1</v>
      </c>
      <c r="AX133" s="2">
        <f>(SQRT(N133*U133)*POWER((MIN(P133,20)+SQRT(MAX(P133-20,0))),0.9)*Data!$B$1)*(1-(V133-1))</f>
        <v>34.51043978944525</v>
      </c>
      <c r="AY133" s="2"/>
      <c r="AZ133" s="2">
        <f>((POWER((N133*N133*U133), 0.33)*LOG10(S133)*10*Data!$B$1)*V133)+AY133</f>
        <v>61.66274348399655</v>
      </c>
      <c r="BA133" s="2">
        <f>N133/1.24</f>
        <v>38.70967741935484</v>
      </c>
      <c r="BB133" s="2">
        <f>AK133/1.24</f>
        <v>0</v>
      </c>
      <c r="BE133" s="2">
        <v>2</v>
      </c>
      <c r="BF133" s="2">
        <v>2</v>
      </c>
      <c r="BG133" s="2">
        <f>U133/BF133</f>
        <v>15</v>
      </c>
      <c r="BH133" s="2">
        <f>(U133)/MAX(BE133-(1+BD133), 1)</f>
        <v>30</v>
      </c>
      <c r="BI133" s="3"/>
      <c r="BJ133" s="3"/>
      <c r="BK133" s="3"/>
      <c r="BL133" s="2" t="str">
        <f>CONCATENATE(
ROUND(BI133*VLOOKUP(L133,'ID Scheme'!$A$2:$E$7,3),0), "x",
ROUND(BJ133*VLOOKUP(L133,'ID Scheme'!$A$2:$E$7,5),0), "x",
ROUND(BK133*VLOOKUP(L133,'ID Scheme'!$A$2:$E$7,4),0))</f>
        <v>0x0x0</v>
      </c>
    </row>
    <row r="134" spans="1:65" x14ac:dyDescent="0.35">
      <c r="A134" t="s">
        <v>20</v>
      </c>
      <c r="B134" t="s">
        <v>226</v>
      </c>
      <c r="C134" t="s">
        <v>327</v>
      </c>
      <c r="D134">
        <f>IF(H134 &gt; 2020, ((H134-2020)*4)+1610+J134,IF(H134 &gt; 1900, ((H134-1900)*10)+400+J134, ((H134-1730)*2)+J134))+VLOOKUP(L134,'ID Scheme'!$A$2:$B$7,2, FALSE)</f>
        <v>3642</v>
      </c>
      <c r="F134">
        <v>3642</v>
      </c>
      <c r="G134" t="s">
        <v>683</v>
      </c>
      <c r="H134">
        <v>1964</v>
      </c>
      <c r="I134">
        <v>1</v>
      </c>
      <c r="J134">
        <v>2</v>
      </c>
      <c r="K134" t="s">
        <v>522</v>
      </c>
      <c r="L134" t="s">
        <v>13</v>
      </c>
      <c r="M134" t="s">
        <v>501</v>
      </c>
      <c r="N134">
        <v>54</v>
      </c>
      <c r="O134">
        <v>20</v>
      </c>
      <c r="P134">
        <v>15</v>
      </c>
      <c r="Q134">
        <v>5</v>
      </c>
      <c r="R134">
        <v>7.5</v>
      </c>
      <c r="S134">
        <v>170</v>
      </c>
      <c r="T134">
        <v>20</v>
      </c>
      <c r="U134">
        <v>22</v>
      </c>
      <c r="V134">
        <v>1</v>
      </c>
      <c r="W134" t="s">
        <v>289</v>
      </c>
      <c r="X134">
        <v>3</v>
      </c>
      <c r="Y134" s="2" t="s">
        <v>341</v>
      </c>
      <c r="Z134" s="2" t="s">
        <v>331</v>
      </c>
      <c r="AA134" s="2"/>
      <c r="AB134" s="2"/>
      <c r="AC134" s="2"/>
      <c r="AD134" s="2"/>
      <c r="AE134" s="2"/>
      <c r="AF134" s="2"/>
      <c r="AG134" s="2"/>
      <c r="AH134" s="2"/>
      <c r="AI134" s="2"/>
      <c r="AJ134" s="2"/>
      <c r="AR134">
        <v>8</v>
      </c>
      <c r="AX134" s="2">
        <f>(SQRT(N134*U134)*POWER((MIN(P134,20)+SQRT(MAX(P134-20,0))),0.9)*Data!$B$1)*(1-(V134-1))</f>
        <v>29.576829437221864</v>
      </c>
      <c r="AY134" s="2"/>
      <c r="AZ134" s="2">
        <f>((POWER((N134*N134*U134), 0.33)*LOG10(S134)*10*Data!$B$1)*V134)+AY134</f>
        <v>64.540587091557995</v>
      </c>
      <c r="BA134" s="2">
        <f>N134/1.24</f>
        <v>43.548387096774192</v>
      </c>
      <c r="BB134" s="2">
        <f>AK134/1.24</f>
        <v>0</v>
      </c>
      <c r="BE134" s="2">
        <v>1</v>
      </c>
      <c r="BF134" s="2">
        <v>1</v>
      </c>
      <c r="BG134" s="2">
        <f>U134/BF134</f>
        <v>22</v>
      </c>
      <c r="BH134" s="2">
        <f>(U134)/MAX(BE134-(1+BD134), 1)</f>
        <v>22</v>
      </c>
      <c r="BI134" s="3"/>
      <c r="BJ134" s="3"/>
      <c r="BK134" s="3"/>
      <c r="BL134" s="2" t="str">
        <f>CONCATENATE(
ROUND(BI134*VLOOKUP(L134,'ID Scheme'!$A$2:$E$7,3),0), "x",
ROUND(BJ134*VLOOKUP(L134,'ID Scheme'!$A$2:$E$7,5),0), "x",
ROUND(BK134*VLOOKUP(L134,'ID Scheme'!$A$2:$E$7,4),0))</f>
        <v>0x0x0</v>
      </c>
      <c r="BM134" t="s">
        <v>21</v>
      </c>
    </row>
    <row r="135" spans="1:65" x14ac:dyDescent="0.35">
      <c r="A135" t="s">
        <v>20</v>
      </c>
      <c r="B135" t="s">
        <v>816</v>
      </c>
      <c r="C135" t="s">
        <v>348</v>
      </c>
      <c r="D135">
        <f>IF(H135 &gt; 2020, ((H135-2020)*4)+1610+J135,IF(H135 &gt; 1900, ((H135-1900)*10)+400+J135, ((H135-1730)*2)+J135))+VLOOKUP(L135,'ID Scheme'!$A$2:$B$7,2, FALSE)</f>
        <v>3643</v>
      </c>
      <c r="E135">
        <v>3642</v>
      </c>
      <c r="F135">
        <v>3642</v>
      </c>
      <c r="G135" t="s">
        <v>683</v>
      </c>
      <c r="H135">
        <v>1964</v>
      </c>
      <c r="I135">
        <v>1</v>
      </c>
      <c r="J135">
        <v>3</v>
      </c>
      <c r="K135" t="s">
        <v>522</v>
      </c>
      <c r="L135" t="s">
        <v>13</v>
      </c>
      <c r="M135" t="s">
        <v>501</v>
      </c>
      <c r="N135">
        <v>54</v>
      </c>
      <c r="O135">
        <v>20</v>
      </c>
      <c r="P135">
        <v>15</v>
      </c>
      <c r="Q135">
        <v>5</v>
      </c>
      <c r="R135">
        <v>9.5</v>
      </c>
      <c r="S135">
        <v>170</v>
      </c>
      <c r="T135">
        <v>20</v>
      </c>
      <c r="U135">
        <v>28</v>
      </c>
      <c r="V135">
        <v>1</v>
      </c>
      <c r="W135" t="s">
        <v>289</v>
      </c>
      <c r="X135">
        <v>3</v>
      </c>
      <c r="Y135" s="2" t="s">
        <v>341</v>
      </c>
      <c r="Z135" s="2" t="s">
        <v>331</v>
      </c>
      <c r="AA135" s="2"/>
      <c r="AB135" s="2"/>
      <c r="AC135" s="2" t="s">
        <v>331</v>
      </c>
      <c r="AD135" s="2"/>
      <c r="AE135" s="2"/>
      <c r="AF135" s="2"/>
      <c r="AG135" s="2"/>
      <c r="AH135" s="2"/>
      <c r="AI135" s="2" t="s">
        <v>813</v>
      </c>
      <c r="AJ135" s="2"/>
      <c r="AM135">
        <v>1</v>
      </c>
      <c r="AN135" t="s">
        <v>817</v>
      </c>
      <c r="AO135" t="s">
        <v>403</v>
      </c>
      <c r="AP135" t="s">
        <v>806</v>
      </c>
      <c r="AQ135" t="s">
        <v>818</v>
      </c>
      <c r="AR135">
        <v>8</v>
      </c>
      <c r="AU135" t="s">
        <v>226</v>
      </c>
      <c r="AV135">
        <v>1</v>
      </c>
      <c r="AX135" s="2">
        <f>(SQRT(N135*U135)*POWER((MIN(P135,20)+SQRT(MAX(P135-20,0))),0.9)*Data!$B$1)*(1-(V135-1))</f>
        <v>33.367163709005339</v>
      </c>
      <c r="AY135" s="2"/>
      <c r="AZ135" s="2">
        <f>((POWER((N135*N135*U135), 0.33)*LOG10(S135)*10*Data!$B$1)*V135)+AY135</f>
        <v>69.886867907648337</v>
      </c>
      <c r="BA135" s="2">
        <f>N135/1.24</f>
        <v>43.548387096774192</v>
      </c>
      <c r="BB135" s="2">
        <f>AK135/1.24</f>
        <v>0</v>
      </c>
      <c r="BE135" s="2">
        <v>2</v>
      </c>
      <c r="BF135" s="2">
        <v>2</v>
      </c>
      <c r="BG135" s="2">
        <f>U135/BF135</f>
        <v>14</v>
      </c>
      <c r="BH135" s="2">
        <f>(U135)/MAX(BE135-(1+BD135), 1)</f>
        <v>28</v>
      </c>
      <c r="BI135" s="3"/>
      <c r="BJ135" s="3"/>
      <c r="BK135" s="3"/>
      <c r="BL135" s="2" t="str">
        <f>CONCATENATE(
ROUND(BI135*VLOOKUP(L135,'ID Scheme'!$A$2:$E$7,3),0), "x",
ROUND(BJ135*VLOOKUP(L135,'ID Scheme'!$A$2:$E$7,5),0), "x",
ROUND(BK135*VLOOKUP(L135,'ID Scheme'!$A$2:$E$7,4),0))</f>
        <v>0x0x0</v>
      </c>
      <c r="BM135" t="s">
        <v>21</v>
      </c>
    </row>
    <row r="136" spans="1:65" x14ac:dyDescent="0.35">
      <c r="A136" t="s">
        <v>799</v>
      </c>
      <c r="B136" t="s">
        <v>800</v>
      </c>
      <c r="C136" t="s">
        <v>349</v>
      </c>
      <c r="D136">
        <v>0</v>
      </c>
      <c r="F136">
        <v>-1</v>
      </c>
      <c r="Z136" t="s">
        <v>331</v>
      </c>
      <c r="AC136" t="s">
        <v>331</v>
      </c>
      <c r="AQ136" t="s">
        <v>801</v>
      </c>
      <c r="AR136">
        <v>8</v>
      </c>
      <c r="AZ136" s="2"/>
      <c r="BH136" s="2">
        <f t="shared" ref="BH136" si="114">(U136)/MAX(BE136-(1+BD136), 1)</f>
        <v>0</v>
      </c>
    </row>
    <row r="137" spans="1:65" x14ac:dyDescent="0.35">
      <c r="A137" t="s">
        <v>1</v>
      </c>
      <c r="B137" t="s">
        <v>208</v>
      </c>
      <c r="C137" t="s">
        <v>327</v>
      </c>
      <c r="D137">
        <f>IF(H137 &gt; 2020, ((H137-2020)*4)+1610+J137,IF(H137 &gt; 1900, ((H137-1900)*10)+400+J137, ((H137-1730)*2)+J137))+VLOOKUP(L137,'ID Scheme'!$A$2:$B$7,2, FALSE)</f>
        <v>3521</v>
      </c>
      <c r="F137">
        <v>3521</v>
      </c>
      <c r="G137" t="s">
        <v>683</v>
      </c>
      <c r="H137">
        <v>1952</v>
      </c>
      <c r="I137">
        <v>1</v>
      </c>
      <c r="J137">
        <v>1</v>
      </c>
      <c r="K137" t="s">
        <v>522</v>
      </c>
      <c r="L137" t="s">
        <v>13</v>
      </c>
      <c r="M137" t="s">
        <v>501</v>
      </c>
      <c r="N137">
        <v>38</v>
      </c>
      <c r="O137">
        <v>25</v>
      </c>
      <c r="P137">
        <v>15</v>
      </c>
      <c r="Q137">
        <v>5</v>
      </c>
      <c r="R137">
        <v>7.5</v>
      </c>
      <c r="S137">
        <v>100</v>
      </c>
      <c r="T137">
        <v>20</v>
      </c>
      <c r="U137">
        <v>25</v>
      </c>
      <c r="V137">
        <v>1</v>
      </c>
      <c r="W137" t="s">
        <v>289</v>
      </c>
      <c r="X137">
        <v>3</v>
      </c>
      <c r="Y137" s="2" t="s">
        <v>337</v>
      </c>
      <c r="Z137" s="2" t="s">
        <v>331</v>
      </c>
      <c r="AA137" s="2"/>
      <c r="AB137" s="2"/>
      <c r="AC137" s="2"/>
      <c r="AD137" s="2"/>
      <c r="AE137" s="2"/>
      <c r="AF137" s="2"/>
      <c r="AG137" s="2"/>
      <c r="AH137" s="2"/>
      <c r="AI137" s="2"/>
      <c r="AJ137" s="2"/>
      <c r="AR137">
        <v>8</v>
      </c>
      <c r="AX137" s="2">
        <f>(SQRT(N137*U137)*POWER((MIN(P137,20)+SQRT(MAX(P137-20,0))),0.9)*Data!$B$1)*(1-(V137-1))</f>
        <v>26.448752899711359</v>
      </c>
      <c r="AY137" s="2"/>
      <c r="AZ137" s="2">
        <f>((POWER((N137*N137*U137), 0.33)*LOG10(S137)*10*Data!$B$1)*V137)+AY137</f>
        <v>47.870574076263431</v>
      </c>
      <c r="BA137" s="2">
        <f>N137/1.24</f>
        <v>30.64516129032258</v>
      </c>
      <c r="BB137" s="2">
        <f>AK137/1.24</f>
        <v>0</v>
      </c>
      <c r="BE137" s="2">
        <v>1</v>
      </c>
      <c r="BF137" s="2">
        <v>1</v>
      </c>
      <c r="BG137" s="2">
        <f>U137/BF137</f>
        <v>25</v>
      </c>
      <c r="BH137" s="2">
        <f>(U137)/MAX(BE137-(1+BD137), 1)</f>
        <v>25</v>
      </c>
      <c r="BI137" s="3"/>
      <c r="BJ137" s="3"/>
      <c r="BK137" s="3"/>
      <c r="BL137" s="2" t="str">
        <f>CONCATENATE(
ROUND(BI137*VLOOKUP(L137,'ID Scheme'!$A$2:$E$7,3),0), "x",
ROUND(BJ137*VLOOKUP(L137,'ID Scheme'!$A$2:$E$7,5),0), "x",
ROUND(BK137*VLOOKUP(L137,'ID Scheme'!$A$2:$E$7,4),0))</f>
        <v>0x0x0</v>
      </c>
    </row>
    <row r="138" spans="1:65" x14ac:dyDescent="0.35">
      <c r="A138" t="s">
        <v>1</v>
      </c>
      <c r="B138" t="s">
        <v>802</v>
      </c>
      <c r="C138" t="s">
        <v>348</v>
      </c>
      <c r="D138">
        <f>IF(H138 &gt; 2020, ((H138-2020)*4)+1610+J138,IF(H138 &gt; 1900, ((H138-1900)*10)+400+J138, ((H138-1730)*2)+J138))+VLOOKUP(L138,'ID Scheme'!$A$2:$B$7,2, FALSE)</f>
        <v>3522</v>
      </c>
      <c r="E138">
        <v>3521</v>
      </c>
      <c r="F138">
        <v>3522</v>
      </c>
      <c r="G138" t="s">
        <v>683</v>
      </c>
      <c r="H138">
        <v>1952</v>
      </c>
      <c r="I138">
        <v>1</v>
      </c>
      <c r="J138">
        <v>2</v>
      </c>
      <c r="K138" t="s">
        <v>522</v>
      </c>
      <c r="L138" t="s">
        <v>13</v>
      </c>
      <c r="M138" t="s">
        <v>501</v>
      </c>
      <c r="N138">
        <v>38</v>
      </c>
      <c r="O138">
        <v>25</v>
      </c>
      <c r="P138">
        <v>15</v>
      </c>
      <c r="Q138">
        <v>5</v>
      </c>
      <c r="R138">
        <v>7.5</v>
      </c>
      <c r="S138">
        <v>100</v>
      </c>
      <c r="T138">
        <v>20</v>
      </c>
      <c r="U138">
        <v>32</v>
      </c>
      <c r="V138">
        <v>1</v>
      </c>
      <c r="W138" t="s">
        <v>289</v>
      </c>
      <c r="X138">
        <v>3</v>
      </c>
      <c r="Y138" s="2" t="s">
        <v>337</v>
      </c>
      <c r="Z138" s="2" t="s">
        <v>331</v>
      </c>
      <c r="AA138" s="2"/>
      <c r="AB138" s="2"/>
      <c r="AC138" s="2" t="s">
        <v>331</v>
      </c>
      <c r="AD138" s="2"/>
      <c r="AE138" s="2"/>
      <c r="AF138" s="2"/>
      <c r="AG138" s="2"/>
      <c r="AH138" s="2"/>
      <c r="AI138" s="2" t="s">
        <v>800</v>
      </c>
      <c r="AJ138" s="2"/>
      <c r="AM138">
        <v>1</v>
      </c>
      <c r="AN138" t="s">
        <v>803</v>
      </c>
      <c r="AO138" t="s">
        <v>403</v>
      </c>
      <c r="AP138" t="s">
        <v>806</v>
      </c>
      <c r="AQ138" t="s">
        <v>805</v>
      </c>
      <c r="AR138">
        <v>8</v>
      </c>
      <c r="AU138" t="s">
        <v>208</v>
      </c>
      <c r="AV138">
        <v>1</v>
      </c>
      <c r="AX138" s="2">
        <f>(SQRT(N138*U138)*POWER((MIN(P138,20)+SQRT(MAX(P138-20,0))),0.9)*Data!$B$1)*(1-(V138-1))</f>
        <v>29.923348046901225</v>
      </c>
      <c r="AY138" s="2"/>
      <c r="AZ138" s="2">
        <f>((POWER((N138*N138*U138), 0.33)*LOG10(S138)*10*Data!$B$1)*V138)+AY138</f>
        <v>51.93353985614521</v>
      </c>
      <c r="BA138" s="2">
        <f t="shared" ref="BA138" si="115">N138/1.24</f>
        <v>30.64516129032258</v>
      </c>
      <c r="BB138" s="2">
        <f t="shared" ref="BB138" si="116">AK138/1.24</f>
        <v>0</v>
      </c>
      <c r="BE138" s="2">
        <v>2</v>
      </c>
      <c r="BF138" s="2">
        <v>2</v>
      </c>
      <c r="BG138" s="2">
        <f t="shared" ref="BG138" si="117">U138/BF138</f>
        <v>16</v>
      </c>
      <c r="BH138" s="2">
        <f t="shared" ref="BH138" si="118">(U138)/MAX(BE138-(1+BD138), 1)</f>
        <v>32</v>
      </c>
      <c r="BI138" s="3"/>
      <c r="BJ138" s="3"/>
      <c r="BK138" s="3"/>
      <c r="BL138" s="2" t="str">
        <f>CONCATENATE(
ROUND(BI138*VLOOKUP(L138,'ID Scheme'!$A$2:$E$7,3),0), "x",
ROUND(BJ138*VLOOKUP(L138,'ID Scheme'!$A$2:$E$7,5),0), "x",
ROUND(BK138*VLOOKUP(L138,'ID Scheme'!$A$2:$E$7,4),0))</f>
        <v>0x0x0</v>
      </c>
    </row>
    <row r="139" spans="1:65" x14ac:dyDescent="0.35">
      <c r="A139" t="s">
        <v>74</v>
      </c>
      <c r="B139" t="s">
        <v>191</v>
      </c>
      <c r="C139" t="s">
        <v>327</v>
      </c>
      <c r="D139">
        <f>IF(H139 &gt; 2020, ((H139-2020)*4)+1610+J139,IF(H139 &gt; 1900, ((H139-1900)*10)+400+J139, ((H139-1730)*2)+J139))+VLOOKUP(L139,'ID Scheme'!$A$2:$B$7,2, FALSE)</f>
        <v>3591</v>
      </c>
      <c r="F139">
        <v>3591</v>
      </c>
      <c r="G139" t="s">
        <v>683</v>
      </c>
      <c r="H139">
        <v>1959</v>
      </c>
      <c r="I139">
        <v>1</v>
      </c>
      <c r="J139">
        <v>1</v>
      </c>
      <c r="K139" t="s">
        <v>522</v>
      </c>
      <c r="L139" t="s">
        <v>13</v>
      </c>
      <c r="M139" t="s">
        <v>501</v>
      </c>
      <c r="N139">
        <v>58</v>
      </c>
      <c r="O139">
        <v>30</v>
      </c>
      <c r="P139">
        <v>20</v>
      </c>
      <c r="Q139">
        <v>5</v>
      </c>
      <c r="R139">
        <v>3</v>
      </c>
      <c r="S139">
        <v>72</v>
      </c>
      <c r="T139">
        <v>20</v>
      </c>
      <c r="U139">
        <v>16</v>
      </c>
      <c r="V139">
        <v>1</v>
      </c>
      <c r="W139" t="s">
        <v>289</v>
      </c>
      <c r="X139">
        <v>0</v>
      </c>
      <c r="Y139" s="2" t="s">
        <v>339</v>
      </c>
      <c r="Z139" s="2" t="s">
        <v>331</v>
      </c>
      <c r="AA139" s="2"/>
      <c r="AB139" s="2"/>
      <c r="AC139" s="2" t="s">
        <v>331</v>
      </c>
      <c r="AD139" s="2"/>
      <c r="AE139" s="2"/>
      <c r="AF139" s="2"/>
      <c r="AG139" s="2"/>
      <c r="AH139" s="2"/>
      <c r="AI139" s="2"/>
      <c r="AJ139" s="2"/>
      <c r="AR139">
        <v>6</v>
      </c>
      <c r="AX139" s="2">
        <f>(SQRT(N139*U139)*POWER((MIN(P139,20)+SQRT(MAX(P139-20,0))),0.9)*Data!$B$1)*(1-(V139-1))</f>
        <v>33.865870832027731</v>
      </c>
      <c r="AY139" s="2"/>
      <c r="AZ139" s="2">
        <f>((POWER((N139*N139*U139), 0.33)*LOG10(S139)*10*Data!$B$1)*V139)+AY139</f>
        <v>50.719269605559212</v>
      </c>
      <c r="BA139" s="2">
        <f t="shared" si="76"/>
        <v>46.774193548387096</v>
      </c>
      <c r="BB139" s="2">
        <f t="shared" si="80"/>
        <v>0</v>
      </c>
      <c r="BE139" s="2">
        <v>1</v>
      </c>
      <c r="BF139" s="2">
        <v>1</v>
      </c>
      <c r="BG139" s="2">
        <f t="shared" si="77"/>
        <v>16</v>
      </c>
      <c r="BH139" s="2">
        <f t="shared" si="68"/>
        <v>16</v>
      </c>
      <c r="BI139" s="3">
        <v>6.2</v>
      </c>
      <c r="BJ139" s="3">
        <v>2.2000000000000002</v>
      </c>
      <c r="BK139" s="3">
        <v>2.6</v>
      </c>
      <c r="BL139" s="2" t="str">
        <f>CONCATENATE(
ROUND(BI139*VLOOKUP(L139,'ID Scheme'!$A$2:$E$7,3),0), "x",
ROUND(BJ139*VLOOKUP(L139,'ID Scheme'!$A$2:$E$7,5),0), "x",
ROUND(BK139*VLOOKUP(L139,'ID Scheme'!$A$2:$E$7,4),0))</f>
        <v>58x32x25</v>
      </c>
      <c r="BM139" t="s">
        <v>81</v>
      </c>
    </row>
    <row r="140" spans="1:65" x14ac:dyDescent="0.35">
      <c r="A140" t="s">
        <v>495</v>
      </c>
      <c r="B140" t="s">
        <v>496</v>
      </c>
      <c r="C140" t="s">
        <v>497</v>
      </c>
      <c r="D140">
        <f>IF(H140 &gt; 2020, ((H140-2020)*4)+1610+J140,IF(H140 &gt; 1900, ((H140-1900)*10)+400+J140, ((H140-1730)*2)+J140))+VLOOKUP(L140,'ID Scheme'!$A$2:$B$7,2, FALSE)</f>
        <v>3581</v>
      </c>
      <c r="F140">
        <v>3581</v>
      </c>
      <c r="G140" t="s">
        <v>683</v>
      </c>
      <c r="H140">
        <v>1958</v>
      </c>
      <c r="I140">
        <v>2</v>
      </c>
      <c r="J140">
        <v>1</v>
      </c>
      <c r="K140" t="s">
        <v>522</v>
      </c>
      <c r="L140" t="s">
        <v>13</v>
      </c>
      <c r="M140" t="s">
        <v>501</v>
      </c>
      <c r="N140">
        <v>52</v>
      </c>
      <c r="O140">
        <v>10</v>
      </c>
      <c r="P140">
        <v>15</v>
      </c>
      <c r="Q140">
        <v>5</v>
      </c>
      <c r="R140">
        <v>8</v>
      </c>
      <c r="S140">
        <v>200</v>
      </c>
      <c r="T140">
        <v>20</v>
      </c>
      <c r="U140">
        <v>22</v>
      </c>
      <c r="V140">
        <v>1</v>
      </c>
      <c r="W140" t="s">
        <v>289</v>
      </c>
      <c r="X140">
        <v>3</v>
      </c>
      <c r="Y140" s="2" t="s">
        <v>498</v>
      </c>
      <c r="Z140" s="2"/>
      <c r="AA140" s="2"/>
      <c r="AB140" s="2"/>
      <c r="AC140" s="2"/>
      <c r="AD140" s="2"/>
      <c r="AE140" s="2"/>
      <c r="AF140" s="2"/>
      <c r="AG140" s="2"/>
      <c r="AH140" s="2"/>
      <c r="AI140" s="2"/>
      <c r="AJ140" s="2"/>
      <c r="AR140">
        <v>8</v>
      </c>
      <c r="AX140" s="2">
        <f>(SQRT(N140*U140)*POWER((MIN(P140,20)+SQRT(MAX(P140-20,0))),0.9)*Data!$B$1)*(1-(V140-1))</f>
        <v>29.023942752634394</v>
      </c>
      <c r="AY140" s="2"/>
      <c r="AZ140" s="2">
        <f>((POWER((N140*N140*U140), 0.33)*LOG10(S140)*10*Data!$B$1)*V140)+AY140</f>
        <v>64.944927291155707</v>
      </c>
      <c r="BA140" s="2">
        <f t="shared" si="76"/>
        <v>41.935483870967744</v>
      </c>
      <c r="BB140" s="2">
        <f t="shared" si="80"/>
        <v>0</v>
      </c>
      <c r="BE140" s="2">
        <v>1</v>
      </c>
      <c r="BF140" s="2">
        <v>1</v>
      </c>
      <c r="BG140" s="2">
        <f t="shared" si="77"/>
        <v>22</v>
      </c>
      <c r="BH140" s="2">
        <f t="shared" si="68"/>
        <v>22</v>
      </c>
      <c r="BI140" s="3"/>
      <c r="BJ140" s="3"/>
      <c r="BK140" s="3"/>
      <c r="BL140" s="2" t="str">
        <f>CONCATENATE(
ROUND(BI140*VLOOKUP(L140,'ID Scheme'!$A$2:$E$7,3),0), "x",
ROUND(BJ140*VLOOKUP(L140,'ID Scheme'!$A$2:$E$7,5),0), "x",
ROUND(BK140*VLOOKUP(L140,'ID Scheme'!$A$2:$E$7,4),0))</f>
        <v>0x0x0</v>
      </c>
    </row>
    <row r="141" spans="1:65" x14ac:dyDescent="0.35">
      <c r="A141" t="s">
        <v>75</v>
      </c>
      <c r="B141" t="s">
        <v>224</v>
      </c>
      <c r="C141" t="s">
        <v>327</v>
      </c>
      <c r="D141">
        <f>IF(H141 &gt; 2020, ((H141-2020)*4)+1610+J141,IF(H141 &gt; 1900, ((H141-1900)*10)+400+J141, ((H141-1730)*2)+J141))+VLOOKUP(L141,'ID Scheme'!$A$2:$B$7,2, FALSE)</f>
        <v>3652</v>
      </c>
      <c r="F141">
        <v>3652</v>
      </c>
      <c r="G141" t="s">
        <v>683</v>
      </c>
      <c r="H141">
        <v>1965</v>
      </c>
      <c r="I141">
        <v>1</v>
      </c>
      <c r="J141">
        <v>2</v>
      </c>
      <c r="K141" t="s">
        <v>522</v>
      </c>
      <c r="L141" t="s">
        <v>13</v>
      </c>
      <c r="M141" t="s">
        <v>501</v>
      </c>
      <c r="N141">
        <v>60</v>
      </c>
      <c r="O141">
        <v>20</v>
      </c>
      <c r="P141">
        <v>17</v>
      </c>
      <c r="Q141">
        <v>5</v>
      </c>
      <c r="R141">
        <v>3</v>
      </c>
      <c r="S141">
        <v>82</v>
      </c>
      <c r="T141">
        <v>20</v>
      </c>
      <c r="U141">
        <v>16</v>
      </c>
      <c r="V141">
        <v>1</v>
      </c>
      <c r="W141" t="s">
        <v>289</v>
      </c>
      <c r="X141">
        <v>0</v>
      </c>
      <c r="Y141" s="2" t="s">
        <v>328</v>
      </c>
      <c r="Z141" s="2" t="s">
        <v>331</v>
      </c>
      <c r="AA141" s="2"/>
      <c r="AB141" s="2"/>
      <c r="AC141" s="2"/>
      <c r="AD141" s="2"/>
      <c r="AE141" s="2"/>
      <c r="AF141" s="2"/>
      <c r="AG141" s="2"/>
      <c r="AH141" s="2"/>
      <c r="AI141" s="2"/>
      <c r="AJ141" s="2"/>
      <c r="AK141">
        <v>56</v>
      </c>
      <c r="AR141">
        <v>6</v>
      </c>
      <c r="AX141" s="2">
        <f>(SQRT(N141*U141)*POWER((MIN(P141,20)+SQRT(MAX(P141-20,0))),0.9)*Data!$B$1)*(1-(V141-1))</f>
        <v>29.757806068644722</v>
      </c>
      <c r="AY141" s="2"/>
      <c r="AZ141" s="2">
        <f>((POWER((N141*N141*U141), 0.33)*LOG10(S141)*10*Data!$B$1)*V141)+AY141</f>
        <v>53.444174907561425</v>
      </c>
      <c r="BA141" s="2">
        <f t="shared" si="76"/>
        <v>48.387096774193552</v>
      </c>
      <c r="BB141" s="2">
        <f t="shared" si="80"/>
        <v>45.161290322580648</v>
      </c>
      <c r="BE141" s="2">
        <v>1</v>
      </c>
      <c r="BF141" s="2">
        <v>1</v>
      </c>
      <c r="BG141" s="2">
        <f t="shared" si="77"/>
        <v>16</v>
      </c>
      <c r="BH141" s="2">
        <f t="shared" si="68"/>
        <v>16</v>
      </c>
      <c r="BI141" s="3">
        <v>6.2</v>
      </c>
      <c r="BJ141" s="3">
        <v>2.2000000000000002</v>
      </c>
      <c r="BK141" s="3">
        <v>2.6</v>
      </c>
      <c r="BL141" s="2" t="str">
        <f>CONCATENATE(
ROUND(BI141*VLOOKUP(L141,'ID Scheme'!$A$2:$E$7,3),0), "x",
ROUND(BJ141*VLOOKUP(L141,'ID Scheme'!$A$2:$E$7,5),0), "x",
ROUND(BK141*VLOOKUP(L141,'ID Scheme'!$A$2:$E$7,4),0))</f>
        <v>58x32x25</v>
      </c>
      <c r="BM141" t="s">
        <v>80</v>
      </c>
    </row>
    <row r="142" spans="1:65" x14ac:dyDescent="0.35">
      <c r="A142" t="s">
        <v>83</v>
      </c>
      <c r="B142" t="s">
        <v>216</v>
      </c>
      <c r="C142" t="s">
        <v>327</v>
      </c>
      <c r="D142">
        <f>IF(H142 &gt; 2020, ((H142-2020)*4)+1610+J142,IF(H142 &gt; 1900, ((H142-1900)*10)+400+J142, ((H142-1730)*2)+J142))+VLOOKUP(L142,'ID Scheme'!$A$2:$B$7,2, FALSE)</f>
        <v>3671</v>
      </c>
      <c r="F142">
        <v>3671</v>
      </c>
      <c r="G142" t="s">
        <v>683</v>
      </c>
      <c r="H142">
        <v>1967</v>
      </c>
      <c r="I142">
        <v>1</v>
      </c>
      <c r="J142">
        <v>1</v>
      </c>
      <c r="K142" t="s">
        <v>522</v>
      </c>
      <c r="L142" t="s">
        <v>13</v>
      </c>
      <c r="M142" t="s">
        <v>501</v>
      </c>
      <c r="N142">
        <v>56</v>
      </c>
      <c r="O142">
        <v>15</v>
      </c>
      <c r="P142">
        <v>22</v>
      </c>
      <c r="Q142">
        <v>5</v>
      </c>
      <c r="R142">
        <v>5</v>
      </c>
      <c r="S142">
        <v>170</v>
      </c>
      <c r="T142">
        <v>20</v>
      </c>
      <c r="U142">
        <v>22</v>
      </c>
      <c r="V142">
        <v>1</v>
      </c>
      <c r="W142" t="s">
        <v>289</v>
      </c>
      <c r="X142">
        <v>3</v>
      </c>
      <c r="Y142" s="2" t="s">
        <v>344</v>
      </c>
      <c r="Z142" s="2" t="s">
        <v>331</v>
      </c>
      <c r="AA142" s="2"/>
      <c r="AB142" s="2"/>
      <c r="AC142" s="2" t="s">
        <v>331</v>
      </c>
      <c r="AD142" s="2"/>
      <c r="AE142" s="2"/>
      <c r="AF142" s="2"/>
      <c r="AG142" s="2"/>
      <c r="AH142" s="2"/>
      <c r="AI142" s="2"/>
      <c r="AJ142" s="2"/>
      <c r="AR142">
        <v>8</v>
      </c>
      <c r="AX142" s="2">
        <f>(SQRT(N142*U142)*POWER((MIN(P142,20)+SQRT(MAX(P142-20,0))),0.9)*Data!$B$1)*(1-(V142-1))</f>
        <v>41.495264182549853</v>
      </c>
      <c r="AY142" s="2"/>
      <c r="AZ142" s="2">
        <f>((POWER((N142*N142*U142), 0.33)*LOG10(S142)*10*Data!$B$1)*V142)+AY142</f>
        <v>66.108473335639829</v>
      </c>
      <c r="BA142" s="2">
        <f t="shared" si="76"/>
        <v>45.161290322580648</v>
      </c>
      <c r="BB142" s="2">
        <f t="shared" si="80"/>
        <v>0</v>
      </c>
      <c r="BE142" s="2">
        <v>1</v>
      </c>
      <c r="BF142" s="2">
        <v>1</v>
      </c>
      <c r="BG142" s="2">
        <f t="shared" si="77"/>
        <v>22</v>
      </c>
      <c r="BH142" s="2">
        <f t="shared" si="68"/>
        <v>22</v>
      </c>
      <c r="BI142" s="3">
        <v>8.5</v>
      </c>
      <c r="BJ142" s="3">
        <v>2.5</v>
      </c>
      <c r="BK142" s="3">
        <v>2.8</v>
      </c>
      <c r="BL142" s="2" t="str">
        <f>CONCATENATE(
ROUND(BI142*VLOOKUP(L142,'ID Scheme'!$A$2:$E$7,3),0), "x",
ROUND(BJ142*VLOOKUP(L142,'ID Scheme'!$A$2:$E$7,5),0), "x",
ROUND(BK142*VLOOKUP(L142,'ID Scheme'!$A$2:$E$7,4),0))</f>
        <v>79x36x27</v>
      </c>
      <c r="BM142" t="s">
        <v>21</v>
      </c>
    </row>
    <row r="143" spans="1:65" x14ac:dyDescent="0.35">
      <c r="A143" t="s">
        <v>613</v>
      </c>
      <c r="B143" t="s">
        <v>612</v>
      </c>
      <c r="C143" t="s">
        <v>327</v>
      </c>
      <c r="D143">
        <f>IF(H143 &gt; 2020, ((H143-2020)*4)+1610+J143,IF(H143 &gt; 1900, ((H143-1900)*10)+400+J143, ((H143-1730)*2)+J143))+VLOOKUP(L143,'ID Scheme'!$A$2:$B$7,2, FALSE)</f>
        <v>3701</v>
      </c>
      <c r="F143">
        <v>3701</v>
      </c>
      <c r="G143" t="s">
        <v>683</v>
      </c>
      <c r="H143">
        <v>1970</v>
      </c>
      <c r="I143">
        <v>1</v>
      </c>
      <c r="J143">
        <v>1</v>
      </c>
      <c r="K143" t="s">
        <v>522</v>
      </c>
      <c r="L143" t="s">
        <v>13</v>
      </c>
      <c r="M143" t="s">
        <v>501</v>
      </c>
      <c r="N143">
        <v>55</v>
      </c>
      <c r="O143">
        <v>21</v>
      </c>
      <c r="P143">
        <v>19</v>
      </c>
      <c r="Q143">
        <v>5</v>
      </c>
      <c r="R143">
        <v>8</v>
      </c>
      <c r="S143">
        <v>220</v>
      </c>
      <c r="T143">
        <v>20</v>
      </c>
      <c r="U143">
        <v>26</v>
      </c>
      <c r="V143">
        <v>1</v>
      </c>
      <c r="W143" t="s">
        <v>289</v>
      </c>
      <c r="X143">
        <v>3</v>
      </c>
      <c r="Y143" s="2" t="s">
        <v>614</v>
      </c>
      <c r="Z143" s="2" t="s">
        <v>331</v>
      </c>
      <c r="AA143" s="2"/>
      <c r="AB143" s="2"/>
      <c r="AC143" s="2" t="s">
        <v>331</v>
      </c>
      <c r="AD143" s="2"/>
      <c r="AE143" s="2"/>
      <c r="AF143" s="2"/>
      <c r="AG143" s="2"/>
      <c r="AH143" s="2"/>
      <c r="AI143" s="2"/>
      <c r="AJ143" s="2"/>
      <c r="AR143">
        <v>8</v>
      </c>
      <c r="AX143" s="2">
        <f>(SQRT(N143*U143)*POWER((MIN(P143,20)+SQRT(MAX(P143-20,0))),0.9)*Data!$B$1)*(1-(V143-1))</f>
        <v>40.14278718004045</v>
      </c>
      <c r="AY143" s="2"/>
      <c r="AZ143" s="2">
        <f>((POWER((N143*N143*U143), 0.33)*LOG10(S143)*10*Data!$B$1)*V143)+AY143</f>
        <v>72.494842022665296</v>
      </c>
      <c r="BA143" s="2">
        <f t="shared" si="76"/>
        <v>44.354838709677416</v>
      </c>
      <c r="BB143" s="2">
        <f t="shared" si="80"/>
        <v>0</v>
      </c>
      <c r="BE143" s="2">
        <v>1</v>
      </c>
      <c r="BF143" s="2">
        <v>1</v>
      </c>
      <c r="BG143" s="2">
        <f t="shared" si="77"/>
        <v>26</v>
      </c>
      <c r="BH143" s="2">
        <f t="shared" si="68"/>
        <v>26</v>
      </c>
      <c r="BI143" s="3"/>
      <c r="BJ143" s="3"/>
      <c r="BK143" s="3"/>
      <c r="BL143" s="2" t="str">
        <f>CONCATENATE(
ROUND(BI143*VLOOKUP(L143,'ID Scheme'!$A$2:$E$7,3),0), "x",
ROUND(BJ143*VLOOKUP(L143,'ID Scheme'!$A$2:$E$7,5),0), "x",
ROUND(BK143*VLOOKUP(L143,'ID Scheme'!$A$2:$E$7,4),0))</f>
        <v>0x0x0</v>
      </c>
    </row>
    <row r="144" spans="1:65" x14ac:dyDescent="0.35">
      <c r="A144" t="s">
        <v>607</v>
      </c>
      <c r="B144" t="s">
        <v>608</v>
      </c>
      <c r="C144" t="s">
        <v>327</v>
      </c>
      <c r="D144">
        <f>IF(H144 &gt; 2020, ((H144-2020)*4)+1610+J144,IF(H144 &gt; 1900, ((H144-1900)*10)+400+J144, ((H144-1730)*2)+J144))+VLOOKUP(L144,'ID Scheme'!$A$2:$B$7,2, FALSE)</f>
        <v>3751</v>
      </c>
      <c r="F144">
        <v>3751</v>
      </c>
      <c r="G144" t="s">
        <v>683</v>
      </c>
      <c r="H144">
        <v>1975</v>
      </c>
      <c r="I144">
        <v>1</v>
      </c>
      <c r="J144">
        <v>1</v>
      </c>
      <c r="K144" t="s">
        <v>522</v>
      </c>
      <c r="L144" t="s">
        <v>13</v>
      </c>
      <c r="M144" t="s">
        <v>501</v>
      </c>
      <c r="N144">
        <v>58</v>
      </c>
      <c r="O144">
        <v>22</v>
      </c>
      <c r="P144">
        <v>17</v>
      </c>
      <c r="Q144">
        <v>5</v>
      </c>
      <c r="R144">
        <v>8</v>
      </c>
      <c r="S144">
        <v>240</v>
      </c>
      <c r="T144">
        <v>20</v>
      </c>
      <c r="U144">
        <v>26</v>
      </c>
      <c r="V144">
        <v>1</v>
      </c>
      <c r="W144" t="s">
        <v>289</v>
      </c>
      <c r="X144">
        <v>3</v>
      </c>
      <c r="Y144" s="2" t="s">
        <v>609</v>
      </c>
      <c r="Z144" s="2" t="s">
        <v>331</v>
      </c>
      <c r="AA144" s="2"/>
      <c r="AB144" s="2"/>
      <c r="AC144" s="2" t="s">
        <v>331</v>
      </c>
      <c r="AD144" s="2"/>
      <c r="AE144" s="2"/>
      <c r="AF144" s="2"/>
      <c r="AG144" s="2"/>
      <c r="AH144" s="2"/>
      <c r="AI144" s="2"/>
      <c r="AJ144" s="2"/>
      <c r="AR144">
        <v>8</v>
      </c>
      <c r="AX144" s="2">
        <f>(SQRT(N144*U144)*POWER((MIN(P144,20)+SQRT(MAX(P144-20,0))),0.9)*Data!$B$1)*(1-(V144-1))</f>
        <v>37.296318367299385</v>
      </c>
      <c r="AY144" s="2"/>
      <c r="AZ144" s="2">
        <f>((POWER((N144*N144*U144), 0.33)*LOG10(S144)*10*Data!$B$1)*V144)+AY144</f>
        <v>76.292254000000923</v>
      </c>
      <c r="BA144" s="2">
        <f t="shared" ref="BA144" si="119">N144/1.24</f>
        <v>46.774193548387096</v>
      </c>
      <c r="BB144" s="2">
        <f t="shared" ref="BB144" si="120">AK144/1.24</f>
        <v>0</v>
      </c>
      <c r="BE144" s="2">
        <v>1</v>
      </c>
      <c r="BF144" s="2">
        <v>1</v>
      </c>
      <c r="BG144" s="2">
        <f t="shared" ref="BG144" si="121">U144/BF144</f>
        <v>26</v>
      </c>
      <c r="BH144" s="2">
        <f t="shared" si="68"/>
        <v>26</v>
      </c>
      <c r="BI144" s="3"/>
      <c r="BJ144" s="3"/>
      <c r="BK144" s="3"/>
      <c r="BL144" s="2" t="str">
        <f>CONCATENATE(
ROUND(BI144*VLOOKUP(L144,'ID Scheme'!$A$2:$E$7,3),0), "x",
ROUND(BJ144*VLOOKUP(L144,'ID Scheme'!$A$2:$E$7,5),0), "x",
ROUND(BK144*VLOOKUP(L144,'ID Scheme'!$A$2:$E$7,4),0))</f>
        <v>0x0x0</v>
      </c>
    </row>
    <row r="145" spans="1:65" x14ac:dyDescent="0.35">
      <c r="A145" t="s">
        <v>73</v>
      </c>
      <c r="B145" t="s">
        <v>200</v>
      </c>
      <c r="C145" t="s">
        <v>327</v>
      </c>
      <c r="D145">
        <f>IF(H145 &gt; 2020, ((H145-2020)*4)+1610+J145,IF(H145 &gt; 1900, ((H145-1900)*10)+400+J145, ((H145-1730)*2)+J145))+VLOOKUP(L145,'ID Scheme'!$A$2:$B$7,2, FALSE)</f>
        <v>3811</v>
      </c>
      <c r="F145">
        <v>3811</v>
      </c>
      <c r="G145" t="s">
        <v>683</v>
      </c>
      <c r="H145">
        <v>1981</v>
      </c>
      <c r="I145">
        <v>1</v>
      </c>
      <c r="J145">
        <v>1</v>
      </c>
      <c r="K145" t="s">
        <v>522</v>
      </c>
      <c r="L145" t="s">
        <v>13</v>
      </c>
      <c r="M145" t="s">
        <v>501</v>
      </c>
      <c r="N145">
        <v>68</v>
      </c>
      <c r="O145">
        <v>16</v>
      </c>
      <c r="P145">
        <v>18</v>
      </c>
      <c r="Q145">
        <v>5</v>
      </c>
      <c r="R145">
        <v>3</v>
      </c>
      <c r="S145">
        <v>90</v>
      </c>
      <c r="T145">
        <v>20</v>
      </c>
      <c r="U145">
        <v>18</v>
      </c>
      <c r="V145">
        <v>1</v>
      </c>
      <c r="W145" t="s">
        <v>289</v>
      </c>
      <c r="X145">
        <v>0</v>
      </c>
      <c r="Y145" s="2" t="s">
        <v>477</v>
      </c>
      <c r="Z145" s="2" t="s">
        <v>331</v>
      </c>
      <c r="AA145" s="2"/>
      <c r="AB145" s="2"/>
      <c r="AC145" s="2" t="s">
        <v>331</v>
      </c>
      <c r="AD145" s="2"/>
      <c r="AE145" s="2"/>
      <c r="AF145" s="2"/>
      <c r="AG145" s="2"/>
      <c r="AH145" s="2"/>
      <c r="AI145" s="2"/>
      <c r="AJ145" s="2"/>
      <c r="AK145">
        <v>56</v>
      </c>
      <c r="AR145">
        <v>6</v>
      </c>
      <c r="AX145" s="2">
        <f>(SQRT(N145*U145)*POWER((MIN(P145,20)+SQRT(MAX(P145-20,0))),0.9)*Data!$B$1)*(1-(V145-1))</f>
        <v>35.375063400315305</v>
      </c>
      <c r="AY145" s="2"/>
      <c r="AZ145" s="2">
        <f>((POWER((N145*N145*U145), 0.33)*LOG10(S145)*10*Data!$B$1)*V145)+AY145</f>
        <v>61.621962939651276</v>
      </c>
      <c r="BA145" s="2">
        <f t="shared" si="76"/>
        <v>54.838709677419352</v>
      </c>
      <c r="BB145" s="2">
        <f t="shared" si="80"/>
        <v>45.161290322580648</v>
      </c>
      <c r="BE145" s="2">
        <v>1</v>
      </c>
      <c r="BF145" s="2">
        <v>1</v>
      </c>
      <c r="BG145" s="2">
        <f t="shared" si="77"/>
        <v>18</v>
      </c>
      <c r="BH145" s="2">
        <f t="shared" si="68"/>
        <v>18</v>
      </c>
      <c r="BI145" s="3">
        <v>6.2</v>
      </c>
      <c r="BJ145" s="3">
        <v>2.2000000000000002</v>
      </c>
      <c r="BK145" s="3">
        <v>2.6</v>
      </c>
      <c r="BL145" s="2" t="str">
        <f>CONCATENATE(
ROUND(BI145*VLOOKUP(L145,'ID Scheme'!$A$2:$E$7,3),0), "x",
ROUND(BJ145*VLOOKUP(L145,'ID Scheme'!$A$2:$E$7,5),0), "x",
ROUND(BK145*VLOOKUP(L145,'ID Scheme'!$A$2:$E$7,4),0))</f>
        <v>58x32x25</v>
      </c>
      <c r="BM145" t="s">
        <v>79</v>
      </c>
    </row>
    <row r="146" spans="1:65" x14ac:dyDescent="0.35">
      <c r="A146" t="s">
        <v>30</v>
      </c>
      <c r="B146" t="s">
        <v>194</v>
      </c>
      <c r="C146" t="s">
        <v>327</v>
      </c>
      <c r="D146">
        <f>IF(H146 &gt; 2020, ((H146-2020)*4)+1610+J146,IF(H146 &gt; 1900, ((H146-1900)*10)+400+J146, ((H146-1730)*2)+J146))+VLOOKUP(L146,'ID Scheme'!$A$2:$B$7,2, FALSE)</f>
        <v>3821</v>
      </c>
      <c r="F146">
        <v>3821</v>
      </c>
      <c r="G146" t="s">
        <v>683</v>
      </c>
      <c r="H146">
        <v>1982</v>
      </c>
      <c r="I146">
        <v>1</v>
      </c>
      <c r="J146">
        <v>1</v>
      </c>
      <c r="K146" t="s">
        <v>522</v>
      </c>
      <c r="L146" t="s">
        <v>13</v>
      </c>
      <c r="M146" t="s">
        <v>501</v>
      </c>
      <c r="N146">
        <v>60</v>
      </c>
      <c r="O146">
        <v>20</v>
      </c>
      <c r="P146">
        <v>20</v>
      </c>
      <c r="Q146">
        <v>5</v>
      </c>
      <c r="R146">
        <v>9</v>
      </c>
      <c r="S146">
        <v>315</v>
      </c>
      <c r="T146">
        <v>20</v>
      </c>
      <c r="U146">
        <v>28</v>
      </c>
      <c r="V146">
        <v>1</v>
      </c>
      <c r="W146" t="s">
        <v>299</v>
      </c>
      <c r="X146">
        <v>3</v>
      </c>
      <c r="Y146" s="2" t="s">
        <v>472</v>
      </c>
      <c r="Z146" s="2" t="s">
        <v>331</v>
      </c>
      <c r="AA146" s="2"/>
      <c r="AB146" s="2"/>
      <c r="AC146" s="2" t="s">
        <v>331</v>
      </c>
      <c r="AD146" s="2"/>
      <c r="AE146" s="2"/>
      <c r="AF146" s="2"/>
      <c r="AG146" s="2"/>
      <c r="AH146" s="2"/>
      <c r="AI146" s="2"/>
      <c r="AJ146" s="2"/>
      <c r="AK146">
        <v>56</v>
      </c>
      <c r="AR146">
        <v>8</v>
      </c>
      <c r="AX146" s="2">
        <f>(SQRT(N146*U146)*POWER((MIN(P146,20)+SQRT(MAX(P146-20,0))),0.9)*Data!$B$1)*(1-(V146-1))</f>
        <v>45.566209265732887</v>
      </c>
      <c r="AY146" s="2"/>
      <c r="AZ146" s="2">
        <f>((POWER((N146*N146*U146), 0.33)*LOG10(S146)*10*Data!$B$1)*V146)+AY146</f>
        <v>83.916944346608517</v>
      </c>
      <c r="BA146" s="2">
        <f t="shared" si="76"/>
        <v>48.387096774193552</v>
      </c>
      <c r="BB146" s="2">
        <f t="shared" si="80"/>
        <v>45.161290322580648</v>
      </c>
      <c r="BE146" s="2">
        <v>1</v>
      </c>
      <c r="BF146" s="2">
        <v>1</v>
      </c>
      <c r="BG146" s="2">
        <f t="shared" si="77"/>
        <v>28</v>
      </c>
      <c r="BH146" s="2">
        <f t="shared" si="68"/>
        <v>28</v>
      </c>
      <c r="BI146" s="3"/>
      <c r="BJ146" s="3"/>
      <c r="BK146" s="3"/>
      <c r="BL146" s="2" t="str">
        <f>CONCATENATE(
ROUND(BI146*VLOOKUP(L146,'ID Scheme'!$A$2:$E$7,3),0), "x",
ROUND(BJ146*VLOOKUP(L146,'ID Scheme'!$A$2:$E$7,5),0), "x",
ROUND(BK146*VLOOKUP(L146,'ID Scheme'!$A$2:$E$7,4),0))</f>
        <v>0x0x0</v>
      </c>
    </row>
    <row r="147" spans="1:65" x14ac:dyDescent="0.35">
      <c r="A147" t="s">
        <v>88</v>
      </c>
      <c r="B147" t="s">
        <v>212</v>
      </c>
      <c r="C147" t="s">
        <v>327</v>
      </c>
      <c r="D147">
        <f>IF(H147 &gt; 2020, ((H147-2020)*4)+1610+J147,IF(H147 &gt; 1900, ((H147-1900)*10)+400+J147, ((H147-1730)*2)+J147))+VLOOKUP(L147,'ID Scheme'!$A$2:$B$7,2, FALSE)</f>
        <v>3831</v>
      </c>
      <c r="F147">
        <v>3831</v>
      </c>
      <c r="G147" t="s">
        <v>683</v>
      </c>
      <c r="H147">
        <v>1983</v>
      </c>
      <c r="I147">
        <v>1</v>
      </c>
      <c r="J147">
        <v>1</v>
      </c>
      <c r="K147" t="s">
        <v>522</v>
      </c>
      <c r="L147" t="s">
        <v>13</v>
      </c>
      <c r="M147" t="s">
        <v>501</v>
      </c>
      <c r="N147">
        <v>64</v>
      </c>
      <c r="O147">
        <v>18</v>
      </c>
      <c r="P147">
        <v>19</v>
      </c>
      <c r="Q147">
        <v>5</v>
      </c>
      <c r="R147">
        <v>9</v>
      </c>
      <c r="S147">
        <v>136</v>
      </c>
      <c r="T147">
        <v>20</v>
      </c>
      <c r="U147">
        <v>22</v>
      </c>
      <c r="V147">
        <v>1</v>
      </c>
      <c r="W147" t="s">
        <v>289</v>
      </c>
      <c r="X147">
        <v>0</v>
      </c>
      <c r="Y147" s="2" t="s">
        <v>471</v>
      </c>
      <c r="Z147" s="2" t="s">
        <v>331</v>
      </c>
      <c r="AA147" s="2"/>
      <c r="AB147" s="2"/>
      <c r="AC147" s="2" t="s">
        <v>331</v>
      </c>
      <c r="AD147" s="2"/>
      <c r="AE147" s="2"/>
      <c r="AF147" s="2"/>
      <c r="AG147" s="2"/>
      <c r="AH147" s="2"/>
      <c r="AI147" s="2"/>
      <c r="AJ147" s="2"/>
      <c r="AK147">
        <v>56</v>
      </c>
      <c r="AR147">
        <v>7</v>
      </c>
      <c r="AX147" s="2">
        <f>(SQRT(N147*U147)*POWER((MIN(P147,20)+SQRT(MAX(P147-20,0))),0.9)*Data!$B$1)*(1-(V147-1))</f>
        <v>39.832799628379171</v>
      </c>
      <c r="AY147" s="2"/>
      <c r="AZ147" s="2">
        <f>((POWER((N147*N147*U147), 0.33)*LOG10(S147)*10*Data!$B$1)*V147)+AY147</f>
        <v>69.06215060093264</v>
      </c>
      <c r="BA147" s="2">
        <f t="shared" si="76"/>
        <v>51.612903225806456</v>
      </c>
      <c r="BB147" s="2">
        <f t="shared" si="80"/>
        <v>45.161290322580648</v>
      </c>
      <c r="BE147" s="2">
        <v>1</v>
      </c>
      <c r="BF147" s="2">
        <v>1</v>
      </c>
      <c r="BG147" s="2">
        <f t="shared" si="77"/>
        <v>22</v>
      </c>
      <c r="BH147" s="2">
        <f t="shared" si="68"/>
        <v>22</v>
      </c>
      <c r="BI147" s="3">
        <v>7.7</v>
      </c>
      <c r="BJ147" s="3">
        <v>2.2000000000000002</v>
      </c>
      <c r="BK147" s="3">
        <v>2.6</v>
      </c>
      <c r="BL147" s="2" t="str">
        <f>CONCATENATE(
ROUND(BI147*VLOOKUP(L147,'ID Scheme'!$A$2:$E$7,3),0), "x",
ROUND(BJ147*VLOOKUP(L147,'ID Scheme'!$A$2:$E$7,5),0), "x",
ROUND(BK147*VLOOKUP(L147,'ID Scheme'!$A$2:$E$7,4),0))</f>
        <v>72x32x25</v>
      </c>
      <c r="BM147" t="s">
        <v>89</v>
      </c>
    </row>
    <row r="148" spans="1:65" ht="14.25" customHeight="1" x14ac:dyDescent="0.35">
      <c r="A148" t="s">
        <v>31</v>
      </c>
      <c r="B148" t="s">
        <v>195</v>
      </c>
      <c r="C148" t="s">
        <v>327</v>
      </c>
      <c r="D148">
        <f>IF(H148 &gt; 2020, ((H148-2020)*4)+1610+J148,IF(H148 &gt; 1900, ((H148-1900)*10)+400+J148, ((H148-1730)*2)+J148))+VLOOKUP(L148,'ID Scheme'!$A$2:$B$7,2, FALSE)</f>
        <v>3861</v>
      </c>
      <c r="F148">
        <v>3861</v>
      </c>
      <c r="G148" t="s">
        <v>683</v>
      </c>
      <c r="H148">
        <v>1986</v>
      </c>
      <c r="I148">
        <v>1</v>
      </c>
      <c r="J148">
        <v>1</v>
      </c>
      <c r="K148" t="s">
        <v>522</v>
      </c>
      <c r="L148" t="s">
        <v>13</v>
      </c>
      <c r="M148" t="s">
        <v>501</v>
      </c>
      <c r="N148">
        <v>62</v>
      </c>
      <c r="O148">
        <v>20</v>
      </c>
      <c r="P148">
        <v>20</v>
      </c>
      <c r="Q148">
        <v>5</v>
      </c>
      <c r="R148">
        <v>9</v>
      </c>
      <c r="S148">
        <v>315</v>
      </c>
      <c r="T148">
        <v>20</v>
      </c>
      <c r="U148">
        <v>30</v>
      </c>
      <c r="V148">
        <v>1</v>
      </c>
      <c r="W148" t="s">
        <v>299</v>
      </c>
      <c r="X148">
        <v>3</v>
      </c>
      <c r="Y148" s="2" t="s">
        <v>470</v>
      </c>
      <c r="Z148" s="2" t="s">
        <v>331</v>
      </c>
      <c r="AA148" s="2"/>
      <c r="AB148" s="2"/>
      <c r="AC148" s="2" t="s">
        <v>331</v>
      </c>
      <c r="AD148" s="2"/>
      <c r="AE148" s="2"/>
      <c r="AF148" s="2"/>
      <c r="AG148" s="2"/>
      <c r="AH148" s="2"/>
      <c r="AI148" s="2"/>
      <c r="AJ148" s="2"/>
      <c r="AK148">
        <v>56</v>
      </c>
      <c r="AR148">
        <v>8</v>
      </c>
      <c r="AX148" s="2">
        <f>(SQRT(N148*U148)*POWER((MIN(P148,20)+SQRT(MAX(P148-20,0))),0.9)*Data!$B$1)*(1-(V148-1))</f>
        <v>47.945155509895372</v>
      </c>
      <c r="AY148" s="2"/>
      <c r="AZ148" s="2">
        <f>((POWER((N148*N148*U148), 0.33)*LOG10(S148)*10*Data!$B$1)*V148)+AY148</f>
        <v>87.727593286354292</v>
      </c>
      <c r="BA148" s="2">
        <f t="shared" si="76"/>
        <v>50</v>
      </c>
      <c r="BB148" s="2">
        <f t="shared" si="80"/>
        <v>45.161290322580648</v>
      </c>
      <c r="BE148" s="2">
        <v>1</v>
      </c>
      <c r="BF148" s="2">
        <v>1</v>
      </c>
      <c r="BG148" s="2">
        <f t="shared" si="77"/>
        <v>30</v>
      </c>
      <c r="BH148" s="2">
        <f t="shared" si="68"/>
        <v>30</v>
      </c>
      <c r="BI148" s="3"/>
      <c r="BJ148" s="3"/>
      <c r="BK148" s="3"/>
      <c r="BL148" s="2" t="str">
        <f>CONCATENATE(
ROUND(BI148*VLOOKUP(L148,'ID Scheme'!$A$2:$E$7,3),0), "x",
ROUND(BJ148*VLOOKUP(L148,'ID Scheme'!$A$2:$E$7,5),0), "x",
ROUND(BK148*VLOOKUP(L148,'ID Scheme'!$A$2:$E$7,4),0))</f>
        <v>0x0x0</v>
      </c>
    </row>
    <row r="149" spans="1:65" x14ac:dyDescent="0.35">
      <c r="A149" t="s">
        <v>76</v>
      </c>
      <c r="B149" t="s">
        <v>204</v>
      </c>
      <c r="C149" t="s">
        <v>327</v>
      </c>
      <c r="D149">
        <f>IF(H149 &gt; 2020, ((H149-2020)*4)+1610+J149,IF(H149 &gt; 1900, ((H149-1900)*10)+400+J149, ((H149-1730)*2)+J149))+VLOOKUP(L149,'ID Scheme'!$A$2:$B$7,2, FALSE)</f>
        <v>3931</v>
      </c>
      <c r="F149">
        <v>3931</v>
      </c>
      <c r="G149" t="s">
        <v>683</v>
      </c>
      <c r="H149">
        <v>1993</v>
      </c>
      <c r="I149">
        <v>1</v>
      </c>
      <c r="J149">
        <v>1</v>
      </c>
      <c r="K149" t="s">
        <v>522</v>
      </c>
      <c r="L149" t="s">
        <v>13</v>
      </c>
      <c r="M149" t="s">
        <v>501</v>
      </c>
      <c r="N149">
        <v>72</v>
      </c>
      <c r="O149">
        <v>-1</v>
      </c>
      <c r="P149">
        <v>18</v>
      </c>
      <c r="Q149">
        <v>5</v>
      </c>
      <c r="R149">
        <v>3</v>
      </c>
      <c r="S149">
        <v>105</v>
      </c>
      <c r="T149">
        <v>20</v>
      </c>
      <c r="U149">
        <v>18</v>
      </c>
      <c r="V149">
        <v>1</v>
      </c>
      <c r="W149" t="s">
        <v>289</v>
      </c>
      <c r="X149">
        <v>0</v>
      </c>
      <c r="Y149" s="2" t="s">
        <v>469</v>
      </c>
      <c r="Z149" s="2" t="s">
        <v>331</v>
      </c>
      <c r="AA149" s="2"/>
      <c r="AB149" s="2"/>
      <c r="AC149" s="2" t="s">
        <v>331</v>
      </c>
      <c r="AD149" s="2"/>
      <c r="AE149" s="2"/>
      <c r="AF149" s="2"/>
      <c r="AG149" s="2"/>
      <c r="AH149" s="2"/>
      <c r="AI149" s="2"/>
      <c r="AJ149" s="2"/>
      <c r="AK149">
        <v>56</v>
      </c>
      <c r="AR149">
        <v>7</v>
      </c>
      <c r="AX149" s="2">
        <f>(SQRT(N149*U149)*POWER((MIN(P149,20)+SQRT(MAX(P149-20,0))),0.9)*Data!$B$1)*(1-(V149-1))</f>
        <v>36.400639934883735</v>
      </c>
      <c r="AY149" s="2"/>
      <c r="AZ149" s="2">
        <f>((POWER((N149*N149*U149), 0.33)*LOG10(S149)*10*Data!$B$1)*V149)+AY149</f>
        <v>66.183179614250491</v>
      </c>
      <c r="BA149" s="2">
        <f t="shared" si="76"/>
        <v>58.064516129032256</v>
      </c>
      <c r="BB149" s="2">
        <f t="shared" si="80"/>
        <v>45.161290322580648</v>
      </c>
      <c r="BE149" s="2">
        <v>1</v>
      </c>
      <c r="BF149" s="2">
        <v>1</v>
      </c>
      <c r="BG149" s="2">
        <f t="shared" si="77"/>
        <v>18</v>
      </c>
      <c r="BH149" s="2">
        <f t="shared" si="68"/>
        <v>18</v>
      </c>
      <c r="BI149" s="3">
        <v>6.2</v>
      </c>
      <c r="BJ149" s="3">
        <v>2.2000000000000002</v>
      </c>
      <c r="BK149" s="3">
        <v>2.6</v>
      </c>
      <c r="BL149" s="2" t="str">
        <f>CONCATENATE(
ROUND(BI149*VLOOKUP(L149,'ID Scheme'!$A$2:$E$7,3),0), "x",
ROUND(BJ149*VLOOKUP(L149,'ID Scheme'!$A$2:$E$7,5),0), "x",
ROUND(BK149*VLOOKUP(L149,'ID Scheme'!$A$2:$E$7,4),0))</f>
        <v>58x32x25</v>
      </c>
      <c r="BM149" t="s">
        <v>82</v>
      </c>
    </row>
    <row r="150" spans="1:65" ht="14.25" customHeight="1" x14ac:dyDescent="0.35">
      <c r="A150" t="s">
        <v>617</v>
      </c>
      <c r="B150" t="s">
        <v>618</v>
      </c>
      <c r="C150" t="s">
        <v>327</v>
      </c>
      <c r="D150">
        <f>IF(H150 &gt; 2020, ((H150-2020)*4)+1610+J150,IF(H150 &gt; 1900, ((H150-1900)*10)+400+J150, ((H150-1730)*2)+J150))+VLOOKUP(L150,'ID Scheme'!$A$2:$B$7,2, FALSE)</f>
        <v>3932</v>
      </c>
      <c r="F150">
        <v>3932</v>
      </c>
      <c r="G150" t="s">
        <v>683</v>
      </c>
      <c r="H150">
        <v>1993</v>
      </c>
      <c r="I150">
        <v>3</v>
      </c>
      <c r="J150">
        <v>2</v>
      </c>
      <c r="K150" t="s">
        <v>522</v>
      </c>
      <c r="L150" t="s">
        <v>13</v>
      </c>
      <c r="M150" t="s">
        <v>501</v>
      </c>
      <c r="N150">
        <v>65</v>
      </c>
      <c r="O150">
        <v>22</v>
      </c>
      <c r="P150">
        <v>19</v>
      </c>
      <c r="Q150">
        <v>5</v>
      </c>
      <c r="R150">
        <v>9</v>
      </c>
      <c r="S150">
        <v>420</v>
      </c>
      <c r="T150">
        <v>20</v>
      </c>
      <c r="U150">
        <v>30</v>
      </c>
      <c r="V150">
        <v>1</v>
      </c>
      <c r="W150" t="s">
        <v>295</v>
      </c>
      <c r="X150">
        <v>3</v>
      </c>
      <c r="Y150" s="2" t="s">
        <v>619</v>
      </c>
      <c r="Z150" s="2" t="s">
        <v>331</v>
      </c>
      <c r="AA150" s="2"/>
      <c r="AB150" s="2"/>
      <c r="AC150" s="2" t="s">
        <v>331</v>
      </c>
      <c r="AD150" s="2"/>
      <c r="AE150" s="2"/>
      <c r="AF150" s="2"/>
      <c r="AG150" s="2"/>
      <c r="AH150" s="2"/>
      <c r="AI150" s="2"/>
      <c r="AJ150" s="2"/>
      <c r="AK150">
        <v>56</v>
      </c>
      <c r="AR150">
        <v>8</v>
      </c>
      <c r="AX150" s="2">
        <f>(SQRT(N150*U150)*POWER((MIN(P150,20)+SQRT(MAX(P150-20,0))),0.9)*Data!$B$1)*(1-(V150-1))</f>
        <v>46.876676153043313</v>
      </c>
      <c r="AY150" s="2"/>
      <c r="AZ150" s="2">
        <f>((POWER((N150*N150*U150), 0.33)*LOG10(S150)*10*Data!$B$1)*V150)+AY150</f>
        <v>95.032828795885933</v>
      </c>
      <c r="BA150" s="2">
        <f t="shared" ref="BA150" si="122">N150/1.24</f>
        <v>52.41935483870968</v>
      </c>
      <c r="BB150" s="2">
        <f t="shared" ref="BB150" si="123">AK150/1.24</f>
        <v>45.161290322580648</v>
      </c>
      <c r="BE150" s="2">
        <v>1</v>
      </c>
      <c r="BF150" s="2">
        <v>1</v>
      </c>
      <c r="BG150" s="2">
        <f t="shared" ref="BG150" si="124">U150/BF150</f>
        <v>30</v>
      </c>
      <c r="BH150" s="2">
        <f t="shared" si="68"/>
        <v>30</v>
      </c>
      <c r="BI150" s="3"/>
      <c r="BJ150" s="3"/>
      <c r="BK150" s="3"/>
      <c r="BL150" s="2" t="str">
        <f>CONCATENATE(
ROUND(BI150*VLOOKUP(L150,'ID Scheme'!$A$2:$E$7,3),0), "x",
ROUND(BJ150*VLOOKUP(L150,'ID Scheme'!$A$2:$E$7,5),0), "x",
ROUND(BK150*VLOOKUP(L150,'ID Scheme'!$A$2:$E$7,4),0))</f>
        <v>0x0x0</v>
      </c>
    </row>
    <row r="151" spans="1:65" x14ac:dyDescent="0.35">
      <c r="A151" t="s">
        <v>15</v>
      </c>
      <c r="B151" t="s">
        <v>197</v>
      </c>
      <c r="C151" t="s">
        <v>327</v>
      </c>
      <c r="D151">
        <f>IF(H151 &gt; 2020, ((H151-2020)*4)+1610+J151,IF(H151 &gt; 1900, ((H151-1900)*10)+400+J151, ((H151-1730)*2)+J151))+VLOOKUP(L151,'ID Scheme'!$A$2:$B$7,2, FALSE)</f>
        <v>3971</v>
      </c>
      <c r="F151">
        <v>3971</v>
      </c>
      <c r="G151" t="s">
        <v>683</v>
      </c>
      <c r="H151">
        <v>1997</v>
      </c>
      <c r="I151">
        <v>1</v>
      </c>
      <c r="J151">
        <v>1</v>
      </c>
      <c r="K151" t="s">
        <v>522</v>
      </c>
      <c r="L151" t="s">
        <v>13</v>
      </c>
      <c r="M151" t="s">
        <v>501</v>
      </c>
      <c r="N151">
        <v>70</v>
      </c>
      <c r="O151">
        <v>-1</v>
      </c>
      <c r="P151">
        <v>15</v>
      </c>
      <c r="Q151">
        <v>5</v>
      </c>
      <c r="R151">
        <v>9</v>
      </c>
      <c r="S151">
        <v>405</v>
      </c>
      <c r="T151">
        <v>20</v>
      </c>
      <c r="U151">
        <v>32</v>
      </c>
      <c r="V151">
        <v>1</v>
      </c>
      <c r="W151" t="s">
        <v>299</v>
      </c>
      <c r="X151">
        <v>3</v>
      </c>
      <c r="Y151" s="2" t="s">
        <v>466</v>
      </c>
      <c r="Z151" s="2" t="s">
        <v>331</v>
      </c>
      <c r="AA151" s="2"/>
      <c r="AB151" s="2"/>
      <c r="AC151" s="2" t="s">
        <v>331</v>
      </c>
      <c r="AD151" s="2"/>
      <c r="AE151" s="2"/>
      <c r="AF151" s="2"/>
      <c r="AG151" s="2"/>
      <c r="AH151" s="2"/>
      <c r="AI151" s="2"/>
      <c r="AJ151" s="2"/>
      <c r="AK151">
        <v>56</v>
      </c>
      <c r="AR151">
        <v>8</v>
      </c>
      <c r="AX151" s="2">
        <f>(SQRT(N151*U151)*POWER((MIN(P151,20)+SQRT(MAX(P151-20,0))),0.9)*Data!$B$1)*(1-(V151-1))</f>
        <v>40.613218318644378</v>
      </c>
      <c r="AY151" s="2"/>
      <c r="AZ151" s="2">
        <f>((POWER((N151*N151*U151), 0.33)*LOG10(S151)*10*Data!$B$1)*V151)+AY151</f>
        <v>101.33099065775636</v>
      </c>
      <c r="BA151" s="2">
        <f t="shared" si="76"/>
        <v>56.451612903225808</v>
      </c>
      <c r="BB151" s="2">
        <f t="shared" ref="BB151:BB185" si="125">AK151/1.24</f>
        <v>45.161290322580648</v>
      </c>
      <c r="BE151" s="2">
        <v>1</v>
      </c>
      <c r="BF151" s="2">
        <v>1</v>
      </c>
      <c r="BG151" s="2">
        <f t="shared" si="77"/>
        <v>32</v>
      </c>
      <c r="BH151" s="2">
        <f t="shared" si="68"/>
        <v>32</v>
      </c>
      <c r="BI151" s="3"/>
      <c r="BJ151" s="3"/>
      <c r="BK151" s="3"/>
      <c r="BL151" s="2" t="str">
        <f>CONCATENATE(
ROUND(BI151*VLOOKUP(L151,'ID Scheme'!$A$2:$E$7,3),0), "x",
ROUND(BJ151*VLOOKUP(L151,'ID Scheme'!$A$2:$E$7,5),0), "x",
ROUND(BK151*VLOOKUP(L151,'ID Scheme'!$A$2:$E$7,4),0))</f>
        <v>0x0x0</v>
      </c>
    </row>
    <row r="152" spans="1:65" ht="14.25" customHeight="1" x14ac:dyDescent="0.35">
      <c r="A152" t="s">
        <v>620</v>
      </c>
      <c r="B152" t="s">
        <v>621</v>
      </c>
      <c r="C152" t="s">
        <v>327</v>
      </c>
      <c r="D152">
        <f>IF(H152 &gt; 2020, ((H152-2020)*4)+1610+J152,IF(H152 &gt; 1900, ((H152-1900)*10)+400+J152, ((H152-1730)*2)+J152))+VLOOKUP(L152,'ID Scheme'!$A$2:$B$7,2, FALSE)</f>
        <v>3981</v>
      </c>
      <c r="F152">
        <v>3981</v>
      </c>
      <c r="G152" t="s">
        <v>683</v>
      </c>
      <c r="H152">
        <v>1998</v>
      </c>
      <c r="I152">
        <v>5</v>
      </c>
      <c r="J152">
        <v>1</v>
      </c>
      <c r="K152" t="s">
        <v>522</v>
      </c>
      <c r="L152" t="s">
        <v>13</v>
      </c>
      <c r="M152" t="s">
        <v>501</v>
      </c>
      <c r="N152">
        <v>72</v>
      </c>
      <c r="O152">
        <v>-1</v>
      </c>
      <c r="P152">
        <v>14</v>
      </c>
      <c r="Q152">
        <v>5</v>
      </c>
      <c r="R152">
        <v>9</v>
      </c>
      <c r="S152">
        <v>460</v>
      </c>
      <c r="T152">
        <v>20</v>
      </c>
      <c r="U152">
        <v>30</v>
      </c>
      <c r="V152">
        <v>1</v>
      </c>
      <c r="W152" t="s">
        <v>289</v>
      </c>
      <c r="X152">
        <v>3</v>
      </c>
      <c r="Y152" s="2" t="s">
        <v>622</v>
      </c>
      <c r="Z152" s="2" t="s">
        <v>331</v>
      </c>
      <c r="AA152" s="2"/>
      <c r="AB152" s="2"/>
      <c r="AC152" s="2" t="s">
        <v>331</v>
      </c>
      <c r="AD152" s="2"/>
      <c r="AE152" s="2"/>
      <c r="AF152" s="2"/>
      <c r="AG152" s="2"/>
      <c r="AH152" s="2"/>
      <c r="AI152" s="2"/>
      <c r="AJ152" s="2"/>
      <c r="AK152">
        <v>56</v>
      </c>
      <c r="AR152">
        <v>8</v>
      </c>
      <c r="AX152" s="2">
        <f>(SQRT(N152*U152)*POWER((MIN(P152,20)+SQRT(MAX(P152-20,0))),0.9)*Data!$B$1)*(1-(V152-1))</f>
        <v>37.480326983572404</v>
      </c>
      <c r="AY152" s="2"/>
      <c r="AZ152" s="2">
        <f>((POWER((N152*N152*U152), 0.33)*LOG10(S152)*10*Data!$B$1)*V152)+AY152</f>
        <v>103.20064123902668</v>
      </c>
      <c r="BA152" s="2">
        <f t="shared" si="76"/>
        <v>58.064516129032256</v>
      </c>
      <c r="BB152" s="2">
        <f t="shared" si="125"/>
        <v>45.161290322580648</v>
      </c>
      <c r="BE152" s="2">
        <v>1</v>
      </c>
      <c r="BF152" s="2">
        <v>1</v>
      </c>
      <c r="BG152" s="2">
        <f t="shared" si="77"/>
        <v>30</v>
      </c>
      <c r="BH152" s="2">
        <f t="shared" si="68"/>
        <v>30</v>
      </c>
      <c r="BI152" s="3"/>
      <c r="BJ152" s="3"/>
      <c r="BK152" s="3"/>
      <c r="BL152" s="2" t="str">
        <f>CONCATENATE(
ROUND(BI152*VLOOKUP(L152,'ID Scheme'!$A$2:$E$7,3),0), "x",
ROUND(BJ152*VLOOKUP(L152,'ID Scheme'!$A$2:$E$7,5),0), "x",
ROUND(BK152*VLOOKUP(L152,'ID Scheme'!$A$2:$E$7,4),0))</f>
        <v>0x0x0</v>
      </c>
    </row>
    <row r="153" spans="1:65" x14ac:dyDescent="0.35">
      <c r="A153" t="s">
        <v>90</v>
      </c>
      <c r="B153" t="s">
        <v>192</v>
      </c>
      <c r="C153" t="s">
        <v>327</v>
      </c>
      <c r="D153">
        <f>IF(H153 &gt; 2020, ((H153-2020)*4)+1610+J153,IF(H153 &gt; 1900, ((H153-1900)*10)+400+J153, ((H153-1730)*2)+J153))+VLOOKUP(L153,'ID Scheme'!$A$2:$B$7,2, FALSE)</f>
        <v>4012</v>
      </c>
      <c r="F153">
        <v>4012</v>
      </c>
      <c r="G153" t="s">
        <v>683</v>
      </c>
      <c r="H153">
        <v>2001</v>
      </c>
      <c r="I153">
        <v>1</v>
      </c>
      <c r="J153">
        <v>2</v>
      </c>
      <c r="K153" t="s">
        <v>522</v>
      </c>
      <c r="L153" t="s">
        <v>13</v>
      </c>
      <c r="M153" t="s">
        <v>501</v>
      </c>
      <c r="N153">
        <v>75</v>
      </c>
      <c r="O153">
        <v>-1</v>
      </c>
      <c r="P153">
        <v>18</v>
      </c>
      <c r="Q153">
        <v>5</v>
      </c>
      <c r="R153">
        <v>9</v>
      </c>
      <c r="S153">
        <v>207</v>
      </c>
      <c r="T153">
        <v>20</v>
      </c>
      <c r="U153">
        <v>24</v>
      </c>
      <c r="V153">
        <v>1</v>
      </c>
      <c r="W153" t="s">
        <v>289</v>
      </c>
      <c r="X153">
        <v>0</v>
      </c>
      <c r="Y153" s="2" t="s">
        <v>464</v>
      </c>
      <c r="Z153" s="2" t="s">
        <v>331</v>
      </c>
      <c r="AA153" s="2"/>
      <c r="AB153" s="2"/>
      <c r="AC153" s="2" t="s">
        <v>331</v>
      </c>
      <c r="AD153" s="2"/>
      <c r="AE153" s="2"/>
      <c r="AF153" s="2"/>
      <c r="AG153" s="2"/>
      <c r="AH153" s="2"/>
      <c r="AI153" s="2"/>
      <c r="AJ153" s="2"/>
      <c r="AK153">
        <v>56</v>
      </c>
      <c r="AR153">
        <v>7</v>
      </c>
      <c r="AX153" s="2">
        <f>(SQRT(N153*U153)*POWER((MIN(P153,20)+SQRT(MAX(P153-20,0))),0.9)*Data!$B$1)*(1-(V153-1))</f>
        <v>42.898565562476904</v>
      </c>
      <c r="AY153" s="2"/>
      <c r="AZ153" s="2">
        <f>((POWER((N153*N153*U153), 0.33)*LOG10(S153)*10*Data!$B$1)*V153)+AY153</f>
        <v>85.665193700262009</v>
      </c>
      <c r="BA153" s="2">
        <f t="shared" si="76"/>
        <v>60.483870967741936</v>
      </c>
      <c r="BB153" s="2">
        <f t="shared" si="125"/>
        <v>45.161290322580648</v>
      </c>
      <c r="BE153" s="2">
        <v>1</v>
      </c>
      <c r="BF153" s="2">
        <v>1</v>
      </c>
      <c r="BG153" s="2">
        <f t="shared" si="77"/>
        <v>24</v>
      </c>
      <c r="BH153" s="2">
        <f t="shared" si="68"/>
        <v>24</v>
      </c>
      <c r="BI153" s="3">
        <v>8.5</v>
      </c>
      <c r="BJ153" s="3">
        <v>2.2000000000000002</v>
      </c>
      <c r="BK153" s="3">
        <v>2.6</v>
      </c>
      <c r="BL153" s="2" t="str">
        <f>CONCATENATE(
ROUND(BI153*VLOOKUP(L153,'ID Scheme'!$A$2:$E$7,3),0), "x",
ROUND(BJ153*VLOOKUP(L153,'ID Scheme'!$A$2:$E$7,5),0), "x",
ROUND(BK153*VLOOKUP(L153,'ID Scheme'!$A$2:$E$7,4),0))</f>
        <v>79x32x25</v>
      </c>
      <c r="BM153" t="s">
        <v>91</v>
      </c>
    </row>
    <row r="154" spans="1:65" x14ac:dyDescent="0.35">
      <c r="A154" t="s">
        <v>77</v>
      </c>
      <c r="B154" t="s">
        <v>214</v>
      </c>
      <c r="C154" t="s">
        <v>327</v>
      </c>
      <c r="D154">
        <f>IF(H154 &gt; 2020, ((H154-2020)*4)+1610+J154,IF(H154 &gt; 1900, ((H154-1900)*10)+400+J154, ((H154-1730)*2)+J154))+VLOOKUP(L154,'ID Scheme'!$A$2:$B$7,2, FALSE)</f>
        <v>4051</v>
      </c>
      <c r="F154">
        <v>4051</v>
      </c>
      <c r="G154" t="s">
        <v>683</v>
      </c>
      <c r="H154">
        <v>2005</v>
      </c>
      <c r="I154">
        <v>1</v>
      </c>
      <c r="J154">
        <v>1</v>
      </c>
      <c r="K154" t="s">
        <v>522</v>
      </c>
      <c r="L154" t="s">
        <v>13</v>
      </c>
      <c r="M154" t="s">
        <v>501</v>
      </c>
      <c r="N154">
        <v>80</v>
      </c>
      <c r="O154">
        <v>-1</v>
      </c>
      <c r="P154">
        <v>19</v>
      </c>
      <c r="Q154">
        <v>5</v>
      </c>
      <c r="R154">
        <v>3</v>
      </c>
      <c r="S154">
        <v>175</v>
      </c>
      <c r="T154">
        <v>20</v>
      </c>
      <c r="U154">
        <v>18</v>
      </c>
      <c r="V154">
        <v>1</v>
      </c>
      <c r="W154" t="s">
        <v>289</v>
      </c>
      <c r="X154">
        <v>0</v>
      </c>
      <c r="Y154" s="2" t="s">
        <v>462</v>
      </c>
      <c r="Z154" s="2" t="s">
        <v>331</v>
      </c>
      <c r="AA154" s="2"/>
      <c r="AB154" s="2"/>
      <c r="AC154" s="2" t="s">
        <v>331</v>
      </c>
      <c r="AD154" s="2"/>
      <c r="AE154" s="2"/>
      <c r="AF154" s="2"/>
      <c r="AG154" s="2"/>
      <c r="AH154" s="2"/>
      <c r="AI154" s="2"/>
      <c r="AJ154" s="2"/>
      <c r="AR154">
        <v>6</v>
      </c>
      <c r="AX154" s="2">
        <f>(SQRT(N154*U154)*POWER((MIN(P154,20)+SQRT(MAX(P154-20,0))),0.9)*Data!$B$1)*(1-(V154-1))</f>
        <v>40.282902046468678</v>
      </c>
      <c r="AY154" s="2"/>
      <c r="AZ154" s="2">
        <f>((POWER((N154*N154*U154), 0.33)*LOG10(S154)*10*Data!$B$1)*V154)+AY154</f>
        <v>78.736702415748411</v>
      </c>
      <c r="BA154" s="2">
        <f t="shared" si="76"/>
        <v>64.516129032258064</v>
      </c>
      <c r="BB154" s="2">
        <f t="shared" si="125"/>
        <v>0</v>
      </c>
      <c r="BE154" s="2">
        <v>1</v>
      </c>
      <c r="BF154" s="2">
        <v>1</v>
      </c>
      <c r="BG154" s="2">
        <f t="shared" si="77"/>
        <v>18</v>
      </c>
      <c r="BH154" s="2">
        <f t="shared" si="68"/>
        <v>18</v>
      </c>
      <c r="BI154" s="3">
        <v>6.2</v>
      </c>
      <c r="BJ154" s="3">
        <v>2.2000000000000002</v>
      </c>
      <c r="BK154" s="3">
        <v>2.6</v>
      </c>
      <c r="BL154" s="2" t="str">
        <f>CONCATENATE(
ROUND(BI154*VLOOKUP(L154,'ID Scheme'!$A$2:$E$7,3),0), "x",
ROUND(BJ154*VLOOKUP(L154,'ID Scheme'!$A$2:$E$7,5),0), "x",
ROUND(BK154*VLOOKUP(L154,'ID Scheme'!$A$2:$E$7,4),0))</f>
        <v>58x32x25</v>
      </c>
      <c r="BM154" t="s">
        <v>78</v>
      </c>
    </row>
    <row r="155" spans="1:65" x14ac:dyDescent="0.35">
      <c r="A155" t="s">
        <v>639</v>
      </c>
      <c r="B155" t="s">
        <v>640</v>
      </c>
      <c r="C155" t="s">
        <v>327</v>
      </c>
      <c r="D155">
        <f>IF(H155 &gt; 2020, ((H155-2020)*4)+1610+J155,IF(H155 &gt; 1900, ((H155-1900)*10)+400+J155, ((H155-1730)*2)+J155))+VLOOKUP(L155,'ID Scheme'!$A$2:$B$7,2, FALSE)</f>
        <v>4071</v>
      </c>
      <c r="F155">
        <v>4071</v>
      </c>
      <c r="G155" t="s">
        <v>683</v>
      </c>
      <c r="H155">
        <v>2007</v>
      </c>
      <c r="I155">
        <v>1</v>
      </c>
      <c r="J155">
        <v>1</v>
      </c>
      <c r="K155" t="s">
        <v>522</v>
      </c>
      <c r="L155" t="s">
        <v>13</v>
      </c>
      <c r="M155" t="s">
        <v>501</v>
      </c>
      <c r="N155">
        <v>74</v>
      </c>
      <c r="O155">
        <v>-1</v>
      </c>
      <c r="P155">
        <v>16</v>
      </c>
      <c r="Q155">
        <v>5</v>
      </c>
      <c r="R155">
        <v>9</v>
      </c>
      <c r="S155">
        <v>440</v>
      </c>
      <c r="T155">
        <v>20</v>
      </c>
      <c r="U155">
        <v>32</v>
      </c>
      <c r="V155">
        <v>1</v>
      </c>
      <c r="W155" t="s">
        <v>295</v>
      </c>
      <c r="X155">
        <v>3</v>
      </c>
      <c r="Y155" s="2" t="s">
        <v>641</v>
      </c>
      <c r="Z155" s="2" t="s">
        <v>331</v>
      </c>
      <c r="AA155" s="2"/>
      <c r="AB155" s="2"/>
      <c r="AC155" s="2" t="s">
        <v>331</v>
      </c>
      <c r="AD155" s="2"/>
      <c r="AE155" s="2"/>
      <c r="AF155" s="2"/>
      <c r="AG155" s="2"/>
      <c r="AH155" s="2"/>
      <c r="AI155" s="2"/>
      <c r="AJ155" s="2"/>
      <c r="AK155">
        <v>56</v>
      </c>
      <c r="AR155">
        <v>8</v>
      </c>
      <c r="AX155" s="2">
        <f>(SQRT(N155*U155)*POWER((MIN(P155,20)+SQRT(MAX(P155-20,0))),0.9)*Data!$B$1)*(1-(V155-1))</f>
        <v>44.254770899144248</v>
      </c>
      <c r="AY155" s="2"/>
      <c r="AZ155" s="2">
        <f>((POWER((N155*N155*U155), 0.33)*LOG10(S155)*10*Data!$B$1)*V155)+AY155</f>
        <v>106.56761130788216</v>
      </c>
      <c r="BA155" s="2">
        <f t="shared" ref="BA155:BA156" si="126">N155/1.24</f>
        <v>59.677419354838712</v>
      </c>
      <c r="BB155" s="2">
        <f t="shared" ref="BB155:BB156" si="127">AK155/1.24</f>
        <v>45.161290322580648</v>
      </c>
      <c r="BE155" s="2">
        <v>1</v>
      </c>
      <c r="BF155" s="2">
        <v>1</v>
      </c>
      <c r="BG155" s="2">
        <f t="shared" ref="BG155:BG156" si="128">U155/BF155</f>
        <v>32</v>
      </c>
      <c r="BH155" s="2">
        <f t="shared" si="68"/>
        <v>32</v>
      </c>
      <c r="BI155" s="3"/>
      <c r="BJ155" s="3"/>
      <c r="BK155" s="3"/>
      <c r="BL155" s="2" t="str">
        <f>CONCATENATE(
ROUND(BI155*VLOOKUP(L155,'ID Scheme'!$A$2:$E$7,3),0), "x",
ROUND(BJ155*VLOOKUP(L155,'ID Scheme'!$A$2:$E$7,5),0), "x",
ROUND(BK155*VLOOKUP(L155,'ID Scheme'!$A$2:$E$7,4),0))</f>
        <v>0x0x0</v>
      </c>
    </row>
    <row r="156" spans="1:65" x14ac:dyDescent="0.35">
      <c r="A156" t="s">
        <v>678</v>
      </c>
      <c r="B156" t="s">
        <v>679</v>
      </c>
      <c r="C156" t="s">
        <v>327</v>
      </c>
      <c r="D156">
        <f>IF(H156 &gt; 2020, ((H156-2020)*4)+1610+J156,IF(H156 &gt; 1900, ((H156-1900)*10)+400+J156, ((H156-1730)*2)+J156))+VLOOKUP(L156,'ID Scheme'!$A$2:$B$7,2, FALSE)</f>
        <v>4219</v>
      </c>
      <c r="F156">
        <v>4219</v>
      </c>
      <c r="G156" t="s">
        <v>683</v>
      </c>
      <c r="H156">
        <v>2022</v>
      </c>
      <c r="I156">
        <v>6</v>
      </c>
      <c r="J156">
        <v>1</v>
      </c>
      <c r="K156" t="s">
        <v>522</v>
      </c>
      <c r="L156" t="s">
        <v>13</v>
      </c>
      <c r="M156" t="s">
        <v>501</v>
      </c>
      <c r="N156">
        <v>60</v>
      </c>
      <c r="O156">
        <v>-1</v>
      </c>
      <c r="P156">
        <v>17</v>
      </c>
      <c r="Q156">
        <v>5</v>
      </c>
      <c r="R156">
        <v>8</v>
      </c>
      <c r="S156">
        <v>250</v>
      </c>
      <c r="T156">
        <v>20</v>
      </c>
      <c r="U156">
        <v>22</v>
      </c>
      <c r="V156">
        <v>1</v>
      </c>
      <c r="W156" t="s">
        <v>365</v>
      </c>
      <c r="X156">
        <v>0</v>
      </c>
      <c r="Y156" s="2" t="s">
        <v>680</v>
      </c>
      <c r="Z156" s="2" t="s">
        <v>331</v>
      </c>
      <c r="AA156" s="2"/>
      <c r="AB156" s="2"/>
      <c r="AC156" s="2" t="s">
        <v>331</v>
      </c>
      <c r="AD156" s="2"/>
      <c r="AE156" s="2"/>
      <c r="AF156" s="2"/>
      <c r="AG156" s="2"/>
      <c r="AH156" s="2"/>
      <c r="AI156" s="2"/>
      <c r="AJ156" s="2"/>
      <c r="AK156">
        <v>56</v>
      </c>
      <c r="AR156">
        <v>7</v>
      </c>
      <c r="AX156" s="2">
        <f>(SQRT(N156*U156)*POWER((MIN(P156,20)+SQRT(MAX(P156-20,0))),0.9)*Data!$B$1)*(1-(V156-1))</f>
        <v>34.894120640535121</v>
      </c>
      <c r="AY156" s="2"/>
      <c r="AZ156" s="2">
        <f>((POWER((N156*N156*U156), 0.33)*LOG10(S156)*10*Data!$B$1)*V156)+AY156</f>
        <v>74.383890085288741</v>
      </c>
      <c r="BA156" s="2">
        <f t="shared" si="126"/>
        <v>48.387096774193552</v>
      </c>
      <c r="BB156" s="2">
        <f t="shared" si="127"/>
        <v>45.161290322580648</v>
      </c>
      <c r="BE156" s="2">
        <v>1</v>
      </c>
      <c r="BF156" s="2">
        <v>1</v>
      </c>
      <c r="BG156" s="2">
        <f t="shared" si="128"/>
        <v>22</v>
      </c>
      <c r="BH156" s="2">
        <f t="shared" ref="BH156:BH202" si="129">(U156)/MAX(BE156-(1+BD156), 1)</f>
        <v>22</v>
      </c>
      <c r="BI156" s="3"/>
      <c r="BJ156" s="3"/>
      <c r="BK156" s="3"/>
      <c r="BL156" s="2" t="str">
        <f>CONCATENATE(
ROUND(BI156*VLOOKUP(L156,'ID Scheme'!$A$2:$E$7,3),0), "x",
ROUND(BJ156*VLOOKUP(L156,'ID Scheme'!$A$2:$E$7,5),0), "x",
ROUND(BK156*VLOOKUP(L156,'ID Scheme'!$A$2:$E$7,4),0))</f>
        <v>0x0x0</v>
      </c>
    </row>
    <row r="157" spans="1:65" x14ac:dyDescent="0.35">
      <c r="A157" t="s">
        <v>57</v>
      </c>
      <c r="B157" t="s">
        <v>262</v>
      </c>
      <c r="C157" t="s">
        <v>360</v>
      </c>
      <c r="D157">
        <f>IF(H157 &gt; 2020, ((H157-2020)*4)+1610+J157,IF(H157 &gt; 1900, ((H157-1900)*10)+400+J157, ((H157-1730)*2)+J157))+VLOOKUP(L157,'ID Scheme'!$A$2:$B$7,2, FALSE)</f>
        <v>5121</v>
      </c>
      <c r="F157">
        <v>5121</v>
      </c>
      <c r="G157" t="s">
        <v>683</v>
      </c>
      <c r="H157">
        <v>1912</v>
      </c>
      <c r="I157">
        <v>1</v>
      </c>
      <c r="J157">
        <v>1</v>
      </c>
      <c r="K157" t="s">
        <v>522</v>
      </c>
      <c r="L157" t="s">
        <v>14</v>
      </c>
      <c r="M157" t="s">
        <v>508</v>
      </c>
      <c r="N157">
        <v>40</v>
      </c>
      <c r="O157">
        <v>28</v>
      </c>
      <c r="P157">
        <v>12</v>
      </c>
      <c r="Q157">
        <v>5</v>
      </c>
      <c r="R157">
        <v>1</v>
      </c>
      <c r="S157">
        <v>20</v>
      </c>
      <c r="T157">
        <v>20</v>
      </c>
      <c r="U157">
        <v>4</v>
      </c>
      <c r="V157">
        <v>1</v>
      </c>
      <c r="W157" t="s">
        <v>356</v>
      </c>
      <c r="X157">
        <v>-3</v>
      </c>
      <c r="Y157" s="2" t="s">
        <v>460</v>
      </c>
      <c r="Z157" s="2"/>
      <c r="AA157" s="2"/>
      <c r="AB157" s="2"/>
      <c r="AC157" s="2"/>
      <c r="AD157" s="2"/>
      <c r="AE157" s="2"/>
      <c r="AF157" s="2"/>
      <c r="AG157" s="2"/>
      <c r="AH157" s="2"/>
      <c r="AI157" s="2"/>
      <c r="AJ157" s="2"/>
      <c r="AR157">
        <v>4</v>
      </c>
      <c r="AX157" s="2">
        <f>(SQRT(N157*U157)*POWER((MIN(P157,20)+SQRT(MAX(P157-20,0))),0.9)*Data!$B$1)*(1-(V157-1))</f>
        <v>8.8794154486294588</v>
      </c>
      <c r="AY157" s="2"/>
      <c r="AZ157" s="2">
        <f>((POWER((N157*N157*U157), 0.33)*LOG10(S157)*10*Data!$B$1)*V157)+AY157</f>
        <v>17.594947052790868</v>
      </c>
      <c r="BA157" s="2">
        <f t="shared" ref="BA157:BA190" si="130">N157/1.24</f>
        <v>32.258064516129032</v>
      </c>
      <c r="BB157" s="2">
        <f t="shared" si="125"/>
        <v>0</v>
      </c>
      <c r="BE157" s="2">
        <v>1</v>
      </c>
      <c r="BF157" s="2">
        <v>1</v>
      </c>
      <c r="BG157" s="2">
        <f t="shared" ref="BG157:BG190" si="131">U157/BF157</f>
        <v>4</v>
      </c>
      <c r="BH157" s="2">
        <f t="shared" si="129"/>
        <v>4</v>
      </c>
      <c r="BI157" s="3"/>
      <c r="BJ157" s="3"/>
      <c r="BK157" s="3"/>
      <c r="BL157" s="2" t="str">
        <f>CONCATENATE(
ROUND(BI157*VLOOKUP(L157,'ID Scheme'!$A$2:$E$7,3),0), "x",
ROUND(BJ157*VLOOKUP(L157,'ID Scheme'!$A$2:$E$7,5),0), "x",
ROUND(BK157*VLOOKUP(L157,'ID Scheme'!$A$2:$E$7,4),0))</f>
        <v>0x0x0</v>
      </c>
    </row>
    <row r="158" spans="1:65" x14ac:dyDescent="0.35">
      <c r="A158" t="s">
        <v>63</v>
      </c>
      <c r="B158" t="s">
        <v>257</v>
      </c>
      <c r="C158" t="s">
        <v>360</v>
      </c>
      <c r="D158">
        <f>IF(H158 &gt; 2020, ((H158-2020)*4)+1610+J158,IF(H158 &gt; 1900, ((H158-1900)*10)+400+J158, ((H158-1730)*2)+J158))+VLOOKUP(L158,'ID Scheme'!$A$2:$B$7,2, FALSE)</f>
        <v>5381</v>
      </c>
      <c r="F158">
        <v>5381</v>
      </c>
      <c r="G158" t="s">
        <v>683</v>
      </c>
      <c r="H158">
        <v>1938</v>
      </c>
      <c r="I158">
        <v>6</v>
      </c>
      <c r="J158">
        <v>1</v>
      </c>
      <c r="K158" t="s">
        <v>522</v>
      </c>
      <c r="L158" t="s">
        <v>14</v>
      </c>
      <c r="M158" t="s">
        <v>501</v>
      </c>
      <c r="N158">
        <v>45</v>
      </c>
      <c r="O158">
        <v>20</v>
      </c>
      <c r="P158">
        <v>14</v>
      </c>
      <c r="Q158">
        <v>5</v>
      </c>
      <c r="R158">
        <v>1</v>
      </c>
      <c r="S158">
        <v>32</v>
      </c>
      <c r="T158">
        <v>20</v>
      </c>
      <c r="U158">
        <v>5</v>
      </c>
      <c r="V158">
        <v>1</v>
      </c>
      <c r="W158" t="s">
        <v>356</v>
      </c>
      <c r="X158">
        <v>-3</v>
      </c>
      <c r="Y158" s="2" t="s">
        <v>459</v>
      </c>
      <c r="Z158" s="2"/>
      <c r="AA158" s="2"/>
      <c r="AB158" s="2"/>
      <c r="AC158" s="2"/>
      <c r="AD158" s="2"/>
      <c r="AE158" s="2"/>
      <c r="AF158" s="2"/>
      <c r="AG158" s="2"/>
      <c r="AH158" s="2"/>
      <c r="AI158" s="2"/>
      <c r="AJ158" s="2"/>
      <c r="AR158">
        <v>4</v>
      </c>
      <c r="AX158" s="2">
        <f>(SQRT(N158*U158)*POWER((MIN(P158,20)+SQRT(MAX(P158-20,0))),0.9)*Data!$B$1)*(1-(V158-1))</f>
        <v>12.0967235181487</v>
      </c>
      <c r="AY158" s="2"/>
      <c r="AZ158" s="2">
        <f>((POWER((N158*N158*U158), 0.33)*LOG10(S158)*10*Data!$B$1)*V158)+AY158</f>
        <v>23.682164888763008</v>
      </c>
      <c r="BA158" s="2">
        <f t="shared" si="130"/>
        <v>36.29032258064516</v>
      </c>
      <c r="BB158" s="2">
        <f t="shared" si="125"/>
        <v>0</v>
      </c>
      <c r="BE158" s="2">
        <v>1</v>
      </c>
      <c r="BF158" s="2">
        <v>1</v>
      </c>
      <c r="BG158" s="2">
        <f t="shared" si="131"/>
        <v>5</v>
      </c>
      <c r="BH158" s="2">
        <f t="shared" si="129"/>
        <v>5</v>
      </c>
      <c r="BI158" s="3"/>
      <c r="BJ158" s="3"/>
      <c r="BK158" s="3"/>
      <c r="BL158" s="2" t="str">
        <f>CONCATENATE(
ROUND(BI158*VLOOKUP(L158,'ID Scheme'!$A$2:$E$7,3),0), "x",
ROUND(BJ158*VLOOKUP(L158,'ID Scheme'!$A$2:$E$7,5),0), "x",
ROUND(BK158*VLOOKUP(L158,'ID Scheme'!$A$2:$E$7,4),0))</f>
        <v>0x0x0</v>
      </c>
    </row>
    <row r="159" spans="1:65" x14ac:dyDescent="0.35">
      <c r="A159" t="s">
        <v>651</v>
      </c>
      <c r="B159" t="s">
        <v>650</v>
      </c>
      <c r="C159" t="s">
        <v>648</v>
      </c>
      <c r="D159">
        <f>IF(H159 &gt; 2020, ((H159-2020)*4)+1610+J159,IF(H159 &gt; 1900, ((H159-1900)*10)+400+J159, ((H159-1730)*2)+J159))+VLOOKUP(L159,'ID Scheme'!$A$2:$B$7,2, FALSE)</f>
        <v>5551</v>
      </c>
      <c r="F159">
        <v>5551</v>
      </c>
      <c r="G159" t="s">
        <v>683</v>
      </c>
      <c r="H159">
        <v>1955</v>
      </c>
      <c r="I159">
        <v>1</v>
      </c>
      <c r="J159">
        <v>1</v>
      </c>
      <c r="K159" t="s">
        <v>522</v>
      </c>
      <c r="L159" t="s">
        <v>14</v>
      </c>
      <c r="M159" t="s">
        <v>501</v>
      </c>
      <c r="N159">
        <v>20</v>
      </c>
      <c r="O159">
        <v>40</v>
      </c>
      <c r="P159">
        <v>22</v>
      </c>
      <c r="Q159">
        <v>5</v>
      </c>
      <c r="R159">
        <v>2</v>
      </c>
      <c r="S159">
        <v>20</v>
      </c>
      <c r="T159">
        <v>20</v>
      </c>
      <c r="U159">
        <v>10</v>
      </c>
      <c r="V159">
        <v>1</v>
      </c>
      <c r="W159" t="s">
        <v>365</v>
      </c>
      <c r="X159">
        <v>-3</v>
      </c>
      <c r="Y159" s="2" t="s">
        <v>649</v>
      </c>
      <c r="Z159" s="2"/>
      <c r="AA159" s="2"/>
      <c r="AB159" s="2"/>
      <c r="AC159" s="2"/>
      <c r="AD159" s="2"/>
      <c r="AE159" s="2"/>
      <c r="AF159" s="2"/>
      <c r="AG159" s="2"/>
      <c r="AH159" s="2"/>
      <c r="AI159" s="2"/>
      <c r="AJ159" s="2"/>
      <c r="AR159">
        <v>5</v>
      </c>
      <c r="AX159" s="2">
        <f>(SQRT(N159*U159)*POWER((MIN(P159,20)+SQRT(MAX(P159-20,0))),0.9)*Data!$B$1)*(1-(V159-1))</f>
        <v>16.718918388299262</v>
      </c>
      <c r="AY159" s="2"/>
      <c r="AZ159" s="2">
        <f>((POWER((N159*N159*U159), 0.33)*LOG10(S159)*10*Data!$B$1)*V159)+AY159</f>
        <v>15.067054875315222</v>
      </c>
      <c r="BA159" s="2">
        <f t="shared" ref="BA159" si="132">N159/1.24</f>
        <v>16.129032258064516</v>
      </c>
      <c r="BB159" s="2">
        <f t="shared" ref="BB159" si="133">AK159/1.24</f>
        <v>0</v>
      </c>
      <c r="BE159" s="2">
        <v>1</v>
      </c>
      <c r="BF159" s="2">
        <v>1</v>
      </c>
      <c r="BG159" s="2">
        <f t="shared" ref="BG159" si="134">U159/BF159</f>
        <v>10</v>
      </c>
      <c r="BH159" s="2">
        <f t="shared" si="129"/>
        <v>10</v>
      </c>
      <c r="BI159" s="3"/>
      <c r="BJ159" s="3"/>
      <c r="BK159" s="3"/>
      <c r="BL159" s="2" t="str">
        <f>CONCATENATE(
ROUND(BI159*VLOOKUP(L159,'ID Scheme'!$A$2:$E$7,3),0), "x",
ROUND(BJ159*VLOOKUP(L159,'ID Scheme'!$A$2:$E$7,5),0), "x",
ROUND(BK159*VLOOKUP(L159,'ID Scheme'!$A$2:$E$7,4),0))</f>
        <v>0x0x0</v>
      </c>
    </row>
    <row r="160" spans="1:65" x14ac:dyDescent="0.35">
      <c r="A160" t="s">
        <v>264</v>
      </c>
      <c r="B160" t="s">
        <v>263</v>
      </c>
      <c r="C160" t="s">
        <v>360</v>
      </c>
      <c r="D160">
        <f>IF(H160 &gt; 2020, ((H160-2020)*4)+1610+J160,IF(H160 &gt; 1900, ((H160-1900)*10)+400+J160, ((H160-1730)*2)+J160))+VLOOKUP(L160,'ID Scheme'!$A$2:$B$7,2, FALSE)</f>
        <v>5571</v>
      </c>
      <c r="F160">
        <v>5571</v>
      </c>
      <c r="G160" t="s">
        <v>683</v>
      </c>
      <c r="H160">
        <v>1957</v>
      </c>
      <c r="I160">
        <v>1</v>
      </c>
      <c r="J160">
        <v>1</v>
      </c>
      <c r="K160" t="s">
        <v>522</v>
      </c>
      <c r="L160" t="s">
        <v>14</v>
      </c>
      <c r="M160" t="s">
        <v>501</v>
      </c>
      <c r="N160">
        <v>60</v>
      </c>
      <c r="O160">
        <v>16</v>
      </c>
      <c r="P160">
        <v>12</v>
      </c>
      <c r="Q160">
        <v>5</v>
      </c>
      <c r="R160">
        <v>1</v>
      </c>
      <c r="S160">
        <v>53</v>
      </c>
      <c r="T160">
        <v>20</v>
      </c>
      <c r="U160">
        <v>6</v>
      </c>
      <c r="V160">
        <v>1</v>
      </c>
      <c r="W160" t="s">
        <v>356</v>
      </c>
      <c r="X160">
        <v>-3</v>
      </c>
      <c r="Y160" s="2" t="s">
        <v>458</v>
      </c>
      <c r="Z160" s="2"/>
      <c r="AA160" s="2"/>
      <c r="AB160" s="2"/>
      <c r="AC160" s="2"/>
      <c r="AD160" s="2"/>
      <c r="AE160" s="2"/>
      <c r="AF160" s="2"/>
      <c r="AG160" s="2"/>
      <c r="AH160" s="2"/>
      <c r="AI160" s="2"/>
      <c r="AJ160" s="2"/>
      <c r="AR160">
        <v>5</v>
      </c>
      <c r="AX160" s="2">
        <f>(SQRT(N160*U160)*POWER((MIN(P160,20)+SQRT(MAX(P160-20,0))),0.9)*Data!$B$1)*(1-(V160-1))</f>
        <v>13.319123172944188</v>
      </c>
      <c r="AY160" s="2"/>
      <c r="AZ160" s="2">
        <f>((POWER((N160*N160*U160), 0.33)*LOG10(S160)*10*Data!$B$1)*V160)+AY160</f>
        <v>34.83675961560575</v>
      </c>
      <c r="BA160" s="2">
        <f t="shared" si="130"/>
        <v>48.387096774193552</v>
      </c>
      <c r="BB160" s="2">
        <f t="shared" si="125"/>
        <v>0</v>
      </c>
      <c r="BE160" s="2">
        <v>1</v>
      </c>
      <c r="BF160" s="2">
        <v>1</v>
      </c>
      <c r="BG160" s="2">
        <f t="shared" si="131"/>
        <v>6</v>
      </c>
      <c r="BH160" s="2">
        <f t="shared" si="129"/>
        <v>6</v>
      </c>
      <c r="BI160" s="3"/>
      <c r="BJ160" s="3"/>
      <c r="BK160" s="3"/>
      <c r="BL160" s="2" t="str">
        <f>CONCATENATE(
ROUND(BI160*VLOOKUP(L160,'ID Scheme'!$A$2:$E$7,3),0), "x",
ROUND(BJ160*VLOOKUP(L160,'ID Scheme'!$A$2:$E$7,5),0), "x",
ROUND(BK160*VLOOKUP(L160,'ID Scheme'!$A$2:$E$7,4),0))</f>
        <v>0x0x0</v>
      </c>
    </row>
    <row r="161" spans="1:65" x14ac:dyDescent="0.35">
      <c r="A161" t="s">
        <v>62</v>
      </c>
      <c r="B161" t="s">
        <v>261</v>
      </c>
      <c r="C161" t="s">
        <v>360</v>
      </c>
      <c r="D161">
        <f>IF(H161 &gt; 2020, ((H161-2020)*4)+1610+J161,IF(H161 &gt; 1900, ((H161-1900)*10)+400+J161, ((H161-1730)*2)+J161))+VLOOKUP(L161,'ID Scheme'!$A$2:$B$7,2, FALSE)</f>
        <v>5601</v>
      </c>
      <c r="F161">
        <v>5601</v>
      </c>
      <c r="G161" t="s">
        <v>683</v>
      </c>
      <c r="H161">
        <v>1960</v>
      </c>
      <c r="I161">
        <v>1</v>
      </c>
      <c r="J161">
        <v>1</v>
      </c>
      <c r="K161" t="s">
        <v>522</v>
      </c>
      <c r="L161" t="s">
        <v>14</v>
      </c>
      <c r="M161" t="s">
        <v>501</v>
      </c>
      <c r="N161">
        <v>60</v>
      </c>
      <c r="O161">
        <v>22</v>
      </c>
      <c r="P161">
        <v>15</v>
      </c>
      <c r="Q161">
        <v>5</v>
      </c>
      <c r="R161">
        <v>1</v>
      </c>
      <c r="S161">
        <v>58</v>
      </c>
      <c r="T161">
        <v>20</v>
      </c>
      <c r="U161">
        <v>8</v>
      </c>
      <c r="V161">
        <v>1.1000000000000001</v>
      </c>
      <c r="W161" t="s">
        <v>356</v>
      </c>
      <c r="X161">
        <v>-3</v>
      </c>
      <c r="Y161" s="2" t="s">
        <v>480</v>
      </c>
      <c r="Z161" s="2"/>
      <c r="AA161" s="2"/>
      <c r="AB161" s="2"/>
      <c r="AC161" s="2"/>
      <c r="AD161" s="2"/>
      <c r="AE161" s="2"/>
      <c r="AF161" s="2"/>
      <c r="AG161" s="2"/>
      <c r="AH161" s="2"/>
      <c r="AI161" s="2"/>
      <c r="AJ161" s="2"/>
      <c r="AR161">
        <v>5</v>
      </c>
      <c r="AX161" s="2">
        <f>(SQRT(N161*U161)*POWER((MIN(P161,20)+SQRT(MAX(P161-20,0))),0.9)*Data!$B$1)*(1-(V161-1))</f>
        <v>16.920240226133288</v>
      </c>
      <c r="AY161" s="2"/>
      <c r="AZ161" s="2">
        <f>((POWER((N161*N161*U161), 0.33)*LOG10(S161)*10*Data!$B$1)*V161)+AY161</f>
        <v>43.093443625686163</v>
      </c>
      <c r="BA161" s="2">
        <f t="shared" si="130"/>
        <v>48.387096774193552</v>
      </c>
      <c r="BB161" s="2">
        <f t="shared" si="125"/>
        <v>0</v>
      </c>
      <c r="BE161" s="2">
        <v>1</v>
      </c>
      <c r="BF161" s="2">
        <v>1</v>
      </c>
      <c r="BG161" s="2">
        <f t="shared" si="131"/>
        <v>8</v>
      </c>
      <c r="BH161" s="2">
        <f t="shared" si="129"/>
        <v>8</v>
      </c>
      <c r="BI161" s="3"/>
      <c r="BJ161" s="3"/>
      <c r="BK161" s="3"/>
      <c r="BL161" s="2" t="str">
        <f>CONCATENATE(
ROUND(BI161*VLOOKUP(L161,'ID Scheme'!$A$2:$E$7,3),0), "x",
ROUND(BJ161*VLOOKUP(L161,'ID Scheme'!$A$2:$E$7,5),0), "x",
ROUND(BK161*VLOOKUP(L161,'ID Scheme'!$A$2:$E$7,4),0))</f>
        <v>0x0x0</v>
      </c>
    </row>
    <row r="162" spans="1:65" x14ac:dyDescent="0.35">
      <c r="A162" t="s">
        <v>37</v>
      </c>
      <c r="B162" t="s">
        <v>266</v>
      </c>
      <c r="C162" t="s">
        <v>360</v>
      </c>
      <c r="D162">
        <f>IF(H162 &gt; 2020, ((H162-2020)*4)+1610+J162,IF(H162 &gt; 1900, ((H162-1900)*10)+400+J162, ((H162-1730)*2)+J162))+VLOOKUP(L162,'ID Scheme'!$A$2:$B$7,2, FALSE)</f>
        <v>5651</v>
      </c>
      <c r="F162">
        <v>5651</v>
      </c>
      <c r="G162" t="s">
        <v>683</v>
      </c>
      <c r="H162">
        <v>1965</v>
      </c>
      <c r="I162">
        <v>12</v>
      </c>
      <c r="J162">
        <v>1</v>
      </c>
      <c r="K162" t="s">
        <v>522</v>
      </c>
      <c r="L162" t="s">
        <v>14</v>
      </c>
      <c r="M162" t="s">
        <v>501</v>
      </c>
      <c r="N162">
        <v>65</v>
      </c>
      <c r="O162">
        <v>18</v>
      </c>
      <c r="P162">
        <v>14</v>
      </c>
      <c r="Q162">
        <v>5</v>
      </c>
      <c r="R162">
        <v>1.5</v>
      </c>
      <c r="S162">
        <v>90</v>
      </c>
      <c r="T162">
        <v>20</v>
      </c>
      <c r="U162">
        <v>8</v>
      </c>
      <c r="V162">
        <v>1</v>
      </c>
      <c r="W162" t="s">
        <v>356</v>
      </c>
      <c r="X162">
        <v>-3</v>
      </c>
      <c r="Y162" s="2" t="s">
        <v>457</v>
      </c>
      <c r="Z162" s="2"/>
      <c r="AA162" s="2"/>
      <c r="AB162" s="2"/>
      <c r="AC162" s="2"/>
      <c r="AD162" s="2"/>
      <c r="AE162" s="2"/>
      <c r="AF162" s="2"/>
      <c r="AG162" s="2"/>
      <c r="AH162" s="2"/>
      <c r="AI162" s="2"/>
      <c r="AJ162" s="2"/>
      <c r="AR162">
        <v>6</v>
      </c>
      <c r="AX162" s="2">
        <f>(SQRT(N162*U162)*POWER((MIN(P162,20)+SQRT(MAX(P162-20,0))),0.9)*Data!$B$1)*(1-(V162-1))</f>
        <v>18.389849172815911</v>
      </c>
      <c r="AY162" s="2"/>
      <c r="AZ162" s="2">
        <f>((POWER((N162*N162*U162), 0.33)*LOG10(S162)*10*Data!$B$1)*V162)+AY162</f>
        <v>45.77013890849053</v>
      </c>
      <c r="BA162" s="2">
        <f t="shared" si="130"/>
        <v>52.41935483870968</v>
      </c>
      <c r="BB162" s="2">
        <f t="shared" si="125"/>
        <v>0</v>
      </c>
      <c r="BE162" s="2">
        <v>1</v>
      </c>
      <c r="BF162" s="2">
        <v>1</v>
      </c>
      <c r="BG162" s="2">
        <f t="shared" si="131"/>
        <v>8</v>
      </c>
      <c r="BH162" s="2">
        <f t="shared" si="129"/>
        <v>8</v>
      </c>
      <c r="BI162" s="3"/>
      <c r="BJ162" s="3"/>
      <c r="BK162" s="3"/>
      <c r="BL162" s="2" t="str">
        <f>CONCATENATE(
ROUND(BI162*VLOOKUP(L162,'ID Scheme'!$A$2:$E$7,3),0), "x",
ROUND(BJ162*VLOOKUP(L162,'ID Scheme'!$A$2:$E$7,5),0), "x",
ROUND(BK162*VLOOKUP(L162,'ID Scheme'!$A$2:$E$7,4),0))</f>
        <v>0x0x0</v>
      </c>
    </row>
    <row r="163" spans="1:65" x14ac:dyDescent="0.35">
      <c r="A163" t="s">
        <v>655</v>
      </c>
      <c r="B163" t="s">
        <v>656</v>
      </c>
      <c r="C163" t="s">
        <v>360</v>
      </c>
      <c r="D163">
        <f>IF(H163 &gt; 2020, ((H163-2020)*4)+1610+J163,IF(H163 &gt; 1900, ((H163-1900)*10)+400+J163, ((H163-1730)*2)+J163))+VLOOKUP(L163,'ID Scheme'!$A$2:$B$7,2, FALSE)</f>
        <v>5691</v>
      </c>
      <c r="F163">
        <v>5691</v>
      </c>
      <c r="G163" t="s">
        <v>683</v>
      </c>
      <c r="H163">
        <v>1969</v>
      </c>
      <c r="I163">
        <v>6</v>
      </c>
      <c r="J163">
        <v>1</v>
      </c>
      <c r="K163" t="s">
        <v>522</v>
      </c>
      <c r="L163" t="s">
        <v>14</v>
      </c>
      <c r="M163" t="s">
        <v>501</v>
      </c>
      <c r="N163">
        <v>73</v>
      </c>
      <c r="O163">
        <v>18</v>
      </c>
      <c r="P163">
        <v>15</v>
      </c>
      <c r="Q163">
        <v>5</v>
      </c>
      <c r="R163">
        <v>1.5</v>
      </c>
      <c r="S163">
        <v>70</v>
      </c>
      <c r="T163">
        <v>20</v>
      </c>
      <c r="U163">
        <v>9</v>
      </c>
      <c r="V163">
        <v>1</v>
      </c>
      <c r="W163" t="s">
        <v>289</v>
      </c>
      <c r="X163">
        <v>-3</v>
      </c>
      <c r="Y163" s="2" t="s">
        <v>657</v>
      </c>
      <c r="Z163" s="2"/>
      <c r="AA163" s="2"/>
      <c r="AB163" s="2"/>
      <c r="AC163" s="2"/>
      <c r="AD163" s="2"/>
      <c r="AE163" s="2"/>
      <c r="AF163" s="2"/>
      <c r="AG163" s="2"/>
      <c r="AH163" s="2"/>
      <c r="AI163" s="2"/>
      <c r="AJ163" s="2"/>
      <c r="AR163">
        <v>6</v>
      </c>
      <c r="AX163" s="2">
        <f>(SQRT(N163*U163)*POWER((MIN(P163,20)+SQRT(MAX(P163-20,0))),0.9)*Data!$B$1)*(1-(V163-1))</f>
        <v>21.995107115642153</v>
      </c>
      <c r="AY163" s="2"/>
      <c r="AZ163" s="2">
        <f>((POWER((N163*N163*U163), 0.33)*LOG10(S163)*10*Data!$B$1)*V163)+AY163</f>
        <v>48.503583583185062</v>
      </c>
      <c r="BA163" s="2">
        <f t="shared" ref="BA163" si="135">N163/1.24</f>
        <v>58.870967741935488</v>
      </c>
      <c r="BB163" s="2">
        <f t="shared" ref="BB163" si="136">AK163/1.24</f>
        <v>0</v>
      </c>
      <c r="BE163" s="2">
        <v>1</v>
      </c>
      <c r="BF163" s="2">
        <v>1</v>
      </c>
      <c r="BG163" s="2">
        <f t="shared" ref="BG163" si="137">U163/BF163</f>
        <v>9</v>
      </c>
      <c r="BH163" s="2">
        <f t="shared" si="129"/>
        <v>9</v>
      </c>
      <c r="BI163" s="3"/>
      <c r="BJ163" s="3"/>
      <c r="BK163" s="3"/>
      <c r="BL163" s="2" t="str">
        <f>CONCATENATE(
ROUND(BI163*VLOOKUP(L163,'ID Scheme'!$A$2:$E$7,3),0), "x",
ROUND(BJ163*VLOOKUP(L163,'ID Scheme'!$A$2:$E$7,5),0), "x",
ROUND(BK163*VLOOKUP(L163,'ID Scheme'!$A$2:$E$7,4),0))</f>
        <v>0x0x0</v>
      </c>
    </row>
    <row r="164" spans="1:65" x14ac:dyDescent="0.35">
      <c r="A164" t="s">
        <v>38</v>
      </c>
      <c r="B164" t="s">
        <v>267</v>
      </c>
      <c r="C164" t="s">
        <v>360</v>
      </c>
      <c r="D164">
        <f>IF(H164 &gt; 2020, ((H164-2020)*4)+1610+J164,IF(H164 &gt; 1900, ((H164-1900)*10)+400+J164, ((H164-1730)*2)+J164))+VLOOKUP(L164,'ID Scheme'!$A$2:$B$7,2, FALSE)</f>
        <v>5861</v>
      </c>
      <c r="F164">
        <v>5861</v>
      </c>
      <c r="G164" t="s">
        <v>683</v>
      </c>
      <c r="H164">
        <v>1986</v>
      </c>
      <c r="I164">
        <v>1</v>
      </c>
      <c r="J164">
        <v>1</v>
      </c>
      <c r="K164" t="s">
        <v>522</v>
      </c>
      <c r="L164" t="s">
        <v>14</v>
      </c>
      <c r="M164" t="s">
        <v>501</v>
      </c>
      <c r="N164">
        <v>80</v>
      </c>
      <c r="O164">
        <v>20</v>
      </c>
      <c r="P164">
        <v>14</v>
      </c>
      <c r="Q164">
        <v>5</v>
      </c>
      <c r="R164">
        <v>1.5</v>
      </c>
      <c r="S164">
        <v>100</v>
      </c>
      <c r="T164">
        <v>20</v>
      </c>
      <c r="U164">
        <v>10</v>
      </c>
      <c r="V164">
        <v>1</v>
      </c>
      <c r="W164" t="s">
        <v>356</v>
      </c>
      <c r="X164">
        <v>-3</v>
      </c>
      <c r="Y164" s="2" t="s">
        <v>449</v>
      </c>
      <c r="Z164" s="2"/>
      <c r="AA164" s="2"/>
      <c r="AB164" s="2"/>
      <c r="AC164" s="2"/>
      <c r="AD164" s="2"/>
      <c r="AE164" s="2"/>
      <c r="AF164" s="2"/>
      <c r="AG164" s="2"/>
      <c r="AH164" s="2"/>
      <c r="AI164" s="2"/>
      <c r="AJ164" s="2"/>
      <c r="AR164">
        <v>6</v>
      </c>
      <c r="AX164" s="2">
        <f>(SQRT(N164*U164)*POWER((MIN(P164,20)+SQRT(MAX(P164-20,0))),0.9)*Data!$B$1)*(1-(V164-1))</f>
        <v>22.809800612857963</v>
      </c>
      <c r="AY164" s="2"/>
      <c r="AZ164" s="2">
        <f>((POWER((N164*N164*U164), 0.33)*LOG10(S164)*10*Data!$B$1)*V164)+AY164</f>
        <v>57.826998441289433</v>
      </c>
      <c r="BA164" s="2">
        <f t="shared" si="130"/>
        <v>64.516129032258064</v>
      </c>
      <c r="BB164" s="2">
        <f t="shared" si="125"/>
        <v>0</v>
      </c>
      <c r="BE164" s="2">
        <v>1</v>
      </c>
      <c r="BF164" s="2">
        <v>1</v>
      </c>
      <c r="BG164" s="2">
        <f t="shared" si="131"/>
        <v>10</v>
      </c>
      <c r="BH164" s="2">
        <f t="shared" si="129"/>
        <v>10</v>
      </c>
      <c r="BI164" s="3"/>
      <c r="BJ164" s="3"/>
      <c r="BK164" s="3"/>
      <c r="BL164" s="2" t="str">
        <f>CONCATENATE(
ROUND(BI164*VLOOKUP(L164,'ID Scheme'!$A$2:$E$7,3),0), "x",
ROUND(BJ164*VLOOKUP(L164,'ID Scheme'!$A$2:$E$7,5),0), "x",
ROUND(BK164*VLOOKUP(L164,'ID Scheme'!$A$2:$E$7,4),0))</f>
        <v>0x0x0</v>
      </c>
    </row>
    <row r="165" spans="1:65" x14ac:dyDescent="0.35">
      <c r="A165" t="s">
        <v>40</v>
      </c>
      <c r="B165" t="s">
        <v>259</v>
      </c>
      <c r="C165" t="s">
        <v>360</v>
      </c>
      <c r="D165">
        <f>IF(H165 &gt; 2020, ((H165-2020)*4)+1610+J165,IF(H165 &gt; 1900, ((H165-1900)*10)+400+J165, ((H165-1730)*2)+J165))+VLOOKUP(L165,'ID Scheme'!$A$2:$B$7,2, FALSE)</f>
        <v>5862</v>
      </c>
      <c r="F165">
        <v>5862</v>
      </c>
      <c r="G165" t="s">
        <v>683</v>
      </c>
      <c r="H165">
        <v>1986</v>
      </c>
      <c r="I165">
        <v>1</v>
      </c>
      <c r="J165">
        <v>2</v>
      </c>
      <c r="K165" t="s">
        <v>522</v>
      </c>
      <c r="L165" t="s">
        <v>14</v>
      </c>
      <c r="M165" t="s">
        <v>501</v>
      </c>
      <c r="N165">
        <v>65</v>
      </c>
      <c r="O165">
        <v>20</v>
      </c>
      <c r="P165">
        <v>14</v>
      </c>
      <c r="Q165">
        <v>5</v>
      </c>
      <c r="R165">
        <v>1</v>
      </c>
      <c r="S165">
        <v>44</v>
      </c>
      <c r="T165">
        <v>20</v>
      </c>
      <c r="U165">
        <v>4</v>
      </c>
      <c r="V165">
        <v>1</v>
      </c>
      <c r="W165" t="s">
        <v>356</v>
      </c>
      <c r="X165">
        <v>-4</v>
      </c>
      <c r="Y165" s="2" t="s">
        <v>455</v>
      </c>
      <c r="Z165" s="2"/>
      <c r="AA165" s="2"/>
      <c r="AB165" s="2"/>
      <c r="AC165" s="2"/>
      <c r="AD165" s="2"/>
      <c r="AE165" s="2"/>
      <c r="AF165" s="2"/>
      <c r="AG165" s="2"/>
      <c r="AH165" s="2"/>
      <c r="AI165" s="2"/>
      <c r="AJ165" s="2"/>
      <c r="AR165">
        <v>4</v>
      </c>
      <c r="AX165" s="2">
        <f>(SQRT(N165*U165)*POWER((MIN(P165,20)+SQRT(MAX(P165-20,0))),0.9)*Data!$B$1)*(1-(V165-1))</f>
        <v>13.003587055095952</v>
      </c>
      <c r="AY165" s="2"/>
      <c r="AZ165" s="2">
        <f>((POWER((N165*N165*U165), 0.33)*LOG10(S165)*10*Data!$B$1)*V165)+AY165</f>
        <v>30.621120528083672</v>
      </c>
      <c r="BA165" s="2">
        <f t="shared" si="130"/>
        <v>52.41935483870968</v>
      </c>
      <c r="BB165" s="2">
        <f t="shared" si="125"/>
        <v>0</v>
      </c>
      <c r="BE165" s="2">
        <v>1</v>
      </c>
      <c r="BF165" s="2">
        <v>1</v>
      </c>
      <c r="BG165" s="2">
        <f t="shared" si="131"/>
        <v>4</v>
      </c>
      <c r="BH165" s="2">
        <f t="shared" si="129"/>
        <v>4</v>
      </c>
      <c r="BI165" s="3"/>
      <c r="BJ165" s="3"/>
      <c r="BK165" s="3"/>
      <c r="BL165" s="2" t="str">
        <f>CONCATENATE(
ROUND(BI165*VLOOKUP(L165,'ID Scheme'!$A$2:$E$7,3),0), "x",
ROUND(BJ165*VLOOKUP(L165,'ID Scheme'!$A$2:$E$7,5),0), "x",
ROUND(BK165*VLOOKUP(L165,'ID Scheme'!$A$2:$E$7,4),0))</f>
        <v>0x0x0</v>
      </c>
    </row>
    <row r="166" spans="1:65" x14ac:dyDescent="0.35">
      <c r="A166" t="s">
        <v>42</v>
      </c>
      <c r="B166" t="s">
        <v>213</v>
      </c>
      <c r="C166" t="s">
        <v>360</v>
      </c>
      <c r="D166">
        <f>IF(H166 &gt; 2020, ((H166-2020)*4)+1610+J166,IF(H166 &gt; 1900, ((H166-1900)*10)+400+J166, ((H166-1730)*2)+J166))+VLOOKUP(L166,'ID Scheme'!$A$2:$B$7,2, FALSE)</f>
        <v>6061</v>
      </c>
      <c r="F166">
        <v>6061</v>
      </c>
      <c r="G166" t="s">
        <v>683</v>
      </c>
      <c r="H166">
        <v>2006</v>
      </c>
      <c r="I166">
        <v>1</v>
      </c>
      <c r="J166">
        <v>1</v>
      </c>
      <c r="K166" t="s">
        <v>522</v>
      </c>
      <c r="L166" t="s">
        <v>14</v>
      </c>
      <c r="M166" t="s">
        <v>501</v>
      </c>
      <c r="N166">
        <v>85</v>
      </c>
      <c r="O166">
        <v>-1</v>
      </c>
      <c r="P166">
        <v>15</v>
      </c>
      <c r="Q166">
        <v>5</v>
      </c>
      <c r="R166">
        <v>2</v>
      </c>
      <c r="S166">
        <v>160</v>
      </c>
      <c r="T166">
        <v>20</v>
      </c>
      <c r="U166">
        <v>12</v>
      </c>
      <c r="V166">
        <v>1</v>
      </c>
      <c r="W166" t="s">
        <v>356</v>
      </c>
      <c r="X166">
        <v>-4</v>
      </c>
      <c r="Y166" s="2" t="s">
        <v>454</v>
      </c>
      <c r="Z166" s="2"/>
      <c r="AA166" s="2"/>
      <c r="AB166" s="2"/>
      <c r="AC166" s="2"/>
      <c r="AD166" s="2"/>
      <c r="AE166" s="2"/>
      <c r="AF166" s="2"/>
      <c r="AG166" s="2"/>
      <c r="AH166" s="2"/>
      <c r="AI166" s="2"/>
      <c r="AJ166" s="2"/>
      <c r="AR166">
        <v>7</v>
      </c>
      <c r="AX166" s="2">
        <f>(SQRT(N166*U166)*POWER((MIN(P166,20)+SQRT(MAX(P166-20,0))),0.9)*Data!$B$1)*(1-(V166-1))</f>
        <v>27.405863002169326</v>
      </c>
      <c r="AY166" s="2"/>
      <c r="AZ166" s="2">
        <f>((POWER((N166*N166*U166), 0.33)*LOG10(S166)*10*Data!$B$1)*V166)+AY166</f>
        <v>70.44380358335296</v>
      </c>
      <c r="BA166" s="2">
        <f t="shared" si="130"/>
        <v>68.548387096774192</v>
      </c>
      <c r="BB166" s="2">
        <f t="shared" si="125"/>
        <v>0</v>
      </c>
      <c r="BE166" s="2">
        <v>1</v>
      </c>
      <c r="BF166" s="2">
        <v>1</v>
      </c>
      <c r="BG166" s="2">
        <f t="shared" si="131"/>
        <v>12</v>
      </c>
      <c r="BH166" s="2">
        <f t="shared" si="129"/>
        <v>12</v>
      </c>
      <c r="BI166" s="3"/>
      <c r="BJ166" s="3"/>
      <c r="BK166" s="3"/>
      <c r="BL166" s="2" t="str">
        <f>CONCATENATE(
ROUND(BI166*VLOOKUP(L166,'ID Scheme'!$A$2:$E$7,3),0), "x",
ROUND(BJ166*VLOOKUP(L166,'ID Scheme'!$A$2:$E$7,5),0), "x",
ROUND(BK166*VLOOKUP(L166,'ID Scheme'!$A$2:$E$7,4),0))</f>
        <v>0x0x0</v>
      </c>
    </row>
    <row r="167" spans="1:65" x14ac:dyDescent="0.35">
      <c r="A167" t="s">
        <v>41</v>
      </c>
      <c r="B167" t="s">
        <v>265</v>
      </c>
      <c r="C167" t="s">
        <v>360</v>
      </c>
      <c r="D167">
        <f>IF(H167 &gt; 2020, ((H167-2020)*4)+1610+J167,IF(H167 &gt; 1900, ((H167-1900)*10)+400+J167, ((H167-1730)*2)+J167))+VLOOKUP(L167,'ID Scheme'!$A$2:$B$7,2, FALSE)</f>
        <v>6121</v>
      </c>
      <c r="F167">
        <v>6121</v>
      </c>
      <c r="G167" t="s">
        <v>683</v>
      </c>
      <c r="H167">
        <v>2012</v>
      </c>
      <c r="I167">
        <v>1</v>
      </c>
      <c r="J167">
        <v>1</v>
      </c>
      <c r="K167" t="s">
        <v>522</v>
      </c>
      <c r="L167" t="s">
        <v>14</v>
      </c>
      <c r="M167" t="s">
        <v>501</v>
      </c>
      <c r="N167">
        <v>92</v>
      </c>
      <c r="O167">
        <v>-1</v>
      </c>
      <c r="P167">
        <v>14</v>
      </c>
      <c r="Q167">
        <v>5</v>
      </c>
      <c r="R167">
        <v>1.5</v>
      </c>
      <c r="S167">
        <v>125</v>
      </c>
      <c r="T167">
        <v>20</v>
      </c>
      <c r="U167">
        <v>10</v>
      </c>
      <c r="V167">
        <v>1</v>
      </c>
      <c r="W167" t="s">
        <v>356</v>
      </c>
      <c r="X167">
        <v>-4</v>
      </c>
      <c r="Y167" s="2" t="s">
        <v>453</v>
      </c>
      <c r="Z167" s="2"/>
      <c r="AA167" s="2"/>
      <c r="AB167" s="2"/>
      <c r="AC167" s="2"/>
      <c r="AD167" s="2"/>
      <c r="AE167" s="2"/>
      <c r="AF167" s="2"/>
      <c r="AG167" s="2"/>
      <c r="AH167" s="2"/>
      <c r="AI167" s="2"/>
      <c r="AJ167" s="2"/>
      <c r="AR167">
        <v>6</v>
      </c>
      <c r="AX167" s="2">
        <f>(SQRT(N167*U167)*POWER((MIN(P167,20)+SQRT(MAX(P167-20,0))),0.9)*Data!$B$1)*(1-(V167-1))</f>
        <v>24.460786058466841</v>
      </c>
      <c r="AY167" s="2"/>
      <c r="AZ167" s="2">
        <f>((POWER((N167*N167*U167), 0.33)*LOG10(S167)*10*Data!$B$1)*V167)+AY167</f>
        <v>66.487656097371513</v>
      </c>
      <c r="BA167" s="2">
        <f t="shared" si="130"/>
        <v>74.193548387096769</v>
      </c>
      <c r="BB167" s="2">
        <f t="shared" si="125"/>
        <v>0</v>
      </c>
      <c r="BE167" s="2">
        <v>1</v>
      </c>
      <c r="BF167" s="2">
        <v>1</v>
      </c>
      <c r="BG167" s="2">
        <f t="shared" si="131"/>
        <v>10</v>
      </c>
      <c r="BH167" s="2">
        <f t="shared" si="129"/>
        <v>10</v>
      </c>
      <c r="BI167" s="3"/>
      <c r="BJ167" s="3"/>
      <c r="BK167" s="3"/>
      <c r="BL167" s="2" t="str">
        <f>CONCATENATE(
ROUND(BI167*VLOOKUP(L167,'ID Scheme'!$A$2:$E$7,3),0), "x",
ROUND(BJ167*VLOOKUP(L167,'ID Scheme'!$A$2:$E$7,5),0), "x",
ROUND(BK167*VLOOKUP(L167,'ID Scheme'!$A$2:$E$7,4),0))</f>
        <v>0x0x0</v>
      </c>
    </row>
    <row r="168" spans="1:65" x14ac:dyDescent="0.35">
      <c r="A168" t="s">
        <v>49</v>
      </c>
      <c r="B168" t="s">
        <v>258</v>
      </c>
      <c r="C168" t="s">
        <v>361</v>
      </c>
      <c r="D168">
        <f>IF(H168 &gt; 2020, ((H168-2020)*4)+1610+J168,IF(H168 &gt; 1900, ((H168-1900)*10)+400+J168, ((H168-1730)*2)+J168))+VLOOKUP(L168,'ID Scheme'!$A$2:$B$7,2, FALSE)</f>
        <v>7581</v>
      </c>
      <c r="F168">
        <v>7581</v>
      </c>
      <c r="G168" t="s">
        <v>683</v>
      </c>
      <c r="H168">
        <v>1958</v>
      </c>
      <c r="I168">
        <v>1</v>
      </c>
      <c r="J168">
        <v>1</v>
      </c>
      <c r="K168" t="s">
        <v>523</v>
      </c>
      <c r="L168" t="s">
        <v>48</v>
      </c>
      <c r="M168" t="s">
        <v>501</v>
      </c>
      <c r="N168">
        <v>75</v>
      </c>
      <c r="O168">
        <v>50</v>
      </c>
      <c r="P168">
        <v>15</v>
      </c>
      <c r="Q168">
        <v>5</v>
      </c>
      <c r="R168">
        <v>1.6</v>
      </c>
      <c r="S168">
        <v>68</v>
      </c>
      <c r="T168">
        <v>10</v>
      </c>
      <c r="U168">
        <v>4</v>
      </c>
      <c r="V168">
        <v>0.95</v>
      </c>
      <c r="W168" t="s">
        <v>356</v>
      </c>
      <c r="X168">
        <v>-4</v>
      </c>
      <c r="Y168" s="2" t="s">
        <v>452</v>
      </c>
      <c r="Z168" s="2"/>
      <c r="AA168" s="2"/>
      <c r="AB168" s="2"/>
      <c r="AC168" s="2"/>
      <c r="AD168" s="2"/>
      <c r="AE168" s="2"/>
      <c r="AF168" s="2"/>
      <c r="AG168" s="2"/>
      <c r="AH168" s="2"/>
      <c r="AI168" s="2"/>
      <c r="AJ168" s="2">
        <v>230</v>
      </c>
      <c r="AR168">
        <v>4</v>
      </c>
      <c r="AX168" s="2">
        <f>(SQRT(N168*U168)*POWER((MIN(P168,20)+SQRT(MAX(P168-20,0))),0.9)*Data!$B$1)*(1-(V168-1))</f>
        <v>15.606061820936905</v>
      </c>
      <c r="AY168" s="2"/>
      <c r="AZ168" s="2">
        <f>((POWER((N168*N168*U168), 0.33)*LOG10(S168)*10*Data!$B$1)*V168)+AY168</f>
        <v>35.649315485846252</v>
      </c>
      <c r="BA168" s="2">
        <f t="shared" si="130"/>
        <v>60.483870967741936</v>
      </c>
      <c r="BB168" s="2">
        <f t="shared" si="125"/>
        <v>0</v>
      </c>
      <c r="BE168" s="2">
        <v>1</v>
      </c>
      <c r="BF168" s="2">
        <v>1</v>
      </c>
      <c r="BG168" s="2">
        <f t="shared" si="131"/>
        <v>4</v>
      </c>
      <c r="BH168" s="2">
        <f t="shared" si="129"/>
        <v>4</v>
      </c>
      <c r="BI168" s="3"/>
      <c r="BJ168" s="3"/>
      <c r="BK168" s="3"/>
      <c r="BL168" s="2" t="str">
        <f>CONCATENATE(
ROUND(BI168*VLOOKUP(L168,'ID Scheme'!$A$2:$E$7,3),0), "x",
ROUND(BJ168*VLOOKUP(L168,'ID Scheme'!$A$2:$E$7,5),0), "x",
ROUND(BK168*VLOOKUP(L168,'ID Scheme'!$A$2:$E$7,4),0))</f>
        <v>0x0x0</v>
      </c>
      <c r="BM168" t="s">
        <v>55</v>
      </c>
    </row>
    <row r="169" spans="1:65" x14ac:dyDescent="0.35">
      <c r="A169" t="s">
        <v>71</v>
      </c>
      <c r="B169" t="s">
        <v>209</v>
      </c>
      <c r="C169" t="s">
        <v>285</v>
      </c>
      <c r="D169">
        <f>IF(H169 &gt; 2020, ((H169-2020)*4)+1610+J169,IF(H169 &gt; 1900, ((H169-1900)*10)+400+J169, ((H169-1730)*2)+J169))+VLOOKUP(L169,'ID Scheme'!$A$2:$B$7,2, FALSE)</f>
        <v>7741</v>
      </c>
      <c r="F169">
        <v>7741</v>
      </c>
      <c r="G169" t="s">
        <v>683</v>
      </c>
      <c r="H169">
        <v>1974</v>
      </c>
      <c r="I169">
        <v>6</v>
      </c>
      <c r="J169">
        <v>1</v>
      </c>
      <c r="K169" t="s">
        <v>523</v>
      </c>
      <c r="L169" t="s">
        <v>48</v>
      </c>
      <c r="M169" t="s">
        <v>501</v>
      </c>
      <c r="N169">
        <v>63</v>
      </c>
      <c r="O169">
        <v>22</v>
      </c>
      <c r="P169">
        <v>12</v>
      </c>
      <c r="Q169">
        <v>5</v>
      </c>
      <c r="R169">
        <v>1.5</v>
      </c>
      <c r="S169">
        <v>55</v>
      </c>
      <c r="T169">
        <v>20</v>
      </c>
      <c r="U169">
        <v>8</v>
      </c>
      <c r="V169">
        <v>1</v>
      </c>
      <c r="W169" t="s">
        <v>356</v>
      </c>
      <c r="X169">
        <v>-4</v>
      </c>
      <c r="Y169" s="2" t="s">
        <v>451</v>
      </c>
      <c r="Z169" s="2"/>
      <c r="AA169" s="2"/>
      <c r="AB169" s="2"/>
      <c r="AC169" s="2"/>
      <c r="AD169" s="2"/>
      <c r="AE169" s="2"/>
      <c r="AF169" s="2"/>
      <c r="AG169" s="2"/>
      <c r="AH169" s="2"/>
      <c r="AI169" s="2"/>
      <c r="AJ169" s="2"/>
      <c r="AR169">
        <v>5</v>
      </c>
      <c r="AX169" s="2">
        <f>(SQRT(N169*U169)*POWER((MIN(P169,20)+SQRT(MAX(P169-20,0))),0.9)*Data!$B$1)*(1-(V169-1))</f>
        <v>15.759399066413742</v>
      </c>
      <c r="AY169" s="2"/>
      <c r="AZ169" s="2">
        <f>((POWER((N169*N169*U169), 0.33)*LOG10(S169)*10*Data!$B$1)*V169)+AY169</f>
        <v>39.928728984013709</v>
      </c>
      <c r="BA169" s="2">
        <f t="shared" si="130"/>
        <v>50.806451612903224</v>
      </c>
      <c r="BB169" s="2">
        <f t="shared" si="125"/>
        <v>0</v>
      </c>
      <c r="BE169" s="2">
        <v>1</v>
      </c>
      <c r="BF169" s="2">
        <v>1</v>
      </c>
      <c r="BG169" s="2">
        <f t="shared" si="131"/>
        <v>8</v>
      </c>
      <c r="BH169" s="2">
        <f t="shared" si="129"/>
        <v>8</v>
      </c>
      <c r="BK169" s="3"/>
      <c r="BL169" s="2" t="str">
        <f>CONCATENATE(
ROUND(BI169*VLOOKUP(L169,'ID Scheme'!$A$2:$E$7,3),0), "x",
ROUND(BJ169*VLOOKUP(L169,'ID Scheme'!$A$2:$E$7,5),0), "x",
ROUND(BK169*VLOOKUP(L169,'ID Scheme'!$A$2:$E$7,4),0))</f>
        <v>0x0x0</v>
      </c>
    </row>
    <row r="170" spans="1:65" x14ac:dyDescent="0.35">
      <c r="A170" t="s">
        <v>51</v>
      </c>
      <c r="B170" t="s">
        <v>201</v>
      </c>
      <c r="C170" t="s">
        <v>285</v>
      </c>
      <c r="D170">
        <f>IF(H170 &gt; 2020, ((H170-2020)*4)+1610+J170,IF(H170 &gt; 1900, ((H170-1900)*10)+400+J170, ((H170-1730)*2)+J170))+VLOOKUP(L170,'ID Scheme'!$A$2:$B$7,2, FALSE)</f>
        <v>7761</v>
      </c>
      <c r="F170">
        <v>7761</v>
      </c>
      <c r="G170" t="s">
        <v>683</v>
      </c>
      <c r="H170">
        <v>1976</v>
      </c>
      <c r="I170">
        <v>9</v>
      </c>
      <c r="J170">
        <v>1</v>
      </c>
      <c r="K170" t="s">
        <v>523</v>
      </c>
      <c r="L170" t="s">
        <v>48</v>
      </c>
      <c r="M170" t="s">
        <v>501</v>
      </c>
      <c r="N170">
        <v>90</v>
      </c>
      <c r="O170">
        <v>18</v>
      </c>
      <c r="P170">
        <v>10</v>
      </c>
      <c r="Q170">
        <v>4</v>
      </c>
      <c r="R170">
        <v>1.2</v>
      </c>
      <c r="S170">
        <v>73</v>
      </c>
      <c r="T170">
        <v>20</v>
      </c>
      <c r="U170">
        <v>4</v>
      </c>
      <c r="V170">
        <v>1</v>
      </c>
      <c r="W170" t="s">
        <v>357</v>
      </c>
      <c r="X170">
        <v>-4</v>
      </c>
      <c r="Y170" s="2" t="s">
        <v>450</v>
      </c>
      <c r="Z170" s="2"/>
      <c r="AA170" s="2"/>
      <c r="AB170" s="2"/>
      <c r="AC170" s="2"/>
      <c r="AD170" s="2"/>
      <c r="AE170" s="2"/>
      <c r="AF170" s="2"/>
      <c r="AG170" s="2"/>
      <c r="AH170" s="2"/>
      <c r="AI170" s="2"/>
      <c r="AJ170" s="2">
        <v>275</v>
      </c>
      <c r="AR170">
        <v>5</v>
      </c>
      <c r="AX170" s="2">
        <f>(SQRT(N170*U170)*POWER((MIN(P170,20)+SQRT(MAX(P170-20,0))),0.9)*Data!$B$1)*(1-(V170-1))</f>
        <v>11.303488941793114</v>
      </c>
      <c r="AY170" s="2"/>
      <c r="AZ170" s="2">
        <f>((POWER((N170*N170*U170), 0.33)*LOG10(S170)*10*Data!$B$1)*V170)+AY170</f>
        <v>43.035735424114051</v>
      </c>
      <c r="BA170" s="2">
        <f t="shared" si="130"/>
        <v>72.58064516129032</v>
      </c>
      <c r="BB170" s="2">
        <f t="shared" si="125"/>
        <v>0</v>
      </c>
      <c r="BE170" s="2">
        <v>1</v>
      </c>
      <c r="BF170" s="2">
        <v>1</v>
      </c>
      <c r="BG170" s="2">
        <f t="shared" si="131"/>
        <v>4</v>
      </c>
      <c r="BH170" s="2">
        <f t="shared" si="129"/>
        <v>4</v>
      </c>
      <c r="BI170" s="3">
        <v>4.4000000000000004</v>
      </c>
      <c r="BJ170" s="3">
        <v>1.8</v>
      </c>
      <c r="BK170" s="3">
        <v>1.5</v>
      </c>
      <c r="BL170" s="2" t="str">
        <f>CONCATENATE(
ROUND(BI170*VLOOKUP(L170,'ID Scheme'!$A$2:$E$7,3),0), "x",
ROUND(BJ170*VLOOKUP(L170,'ID Scheme'!$A$2:$E$7,5),0), "x",
ROUND(BK170*VLOOKUP(L170,'ID Scheme'!$A$2:$E$7,4),0))</f>
        <v>41x26x15</v>
      </c>
    </row>
    <row r="171" spans="1:65" x14ac:dyDescent="0.35">
      <c r="A171" t="s">
        <v>99</v>
      </c>
      <c r="B171" t="s">
        <v>268</v>
      </c>
      <c r="C171" t="s">
        <v>285</v>
      </c>
      <c r="D171">
        <f>IF(H171 &gt; 2020, ((H171-2020)*4)+1610+J171,IF(H171 &gt; 1900, ((H171-1900)*10)+400+J171, ((H171-1730)*2)+J171))+VLOOKUP(L171,'ID Scheme'!$A$2:$B$7,2, FALSE)</f>
        <v>7861</v>
      </c>
      <c r="F171">
        <v>7861</v>
      </c>
      <c r="G171" t="s">
        <v>683</v>
      </c>
      <c r="H171">
        <v>1986</v>
      </c>
      <c r="I171">
        <v>2</v>
      </c>
      <c r="J171">
        <v>1</v>
      </c>
      <c r="K171" t="s">
        <v>523</v>
      </c>
      <c r="L171" t="s">
        <v>48</v>
      </c>
      <c r="M171" t="s">
        <v>501</v>
      </c>
      <c r="N171">
        <v>80</v>
      </c>
      <c r="O171">
        <v>26</v>
      </c>
      <c r="P171">
        <v>14</v>
      </c>
      <c r="Q171">
        <v>5</v>
      </c>
      <c r="R171">
        <v>1.5</v>
      </c>
      <c r="S171">
        <v>100</v>
      </c>
      <c r="T171">
        <v>20</v>
      </c>
      <c r="U171">
        <v>9</v>
      </c>
      <c r="V171">
        <v>1</v>
      </c>
      <c r="W171" t="s">
        <v>356</v>
      </c>
      <c r="X171">
        <v>-4</v>
      </c>
      <c r="Y171" s="2" t="s">
        <v>456</v>
      </c>
      <c r="Z171" s="2"/>
      <c r="AA171" s="2"/>
      <c r="AB171" s="2"/>
      <c r="AC171" s="2"/>
      <c r="AD171" s="2"/>
      <c r="AE171" s="2"/>
      <c r="AF171" s="2"/>
      <c r="AG171" s="2"/>
      <c r="AH171" s="2"/>
      <c r="AI171" s="2"/>
      <c r="AJ171" s="2"/>
      <c r="AR171">
        <v>6</v>
      </c>
      <c r="AX171" s="2">
        <f>(SQRT(N171*U171)*POWER((MIN(P171,20)+SQRT(MAX(P171-20,0))),0.9)*Data!$B$1)*(1-(V171-1))</f>
        <v>21.639276873280725</v>
      </c>
      <c r="AY171" s="2"/>
      <c r="AZ171" s="2">
        <f>((POWER((N171*N171*U171), 0.33)*LOG10(S171)*10*Data!$B$1)*V171)+AY171</f>
        <v>55.850964649456358</v>
      </c>
      <c r="BA171" s="2">
        <f t="shared" si="130"/>
        <v>64.516129032258064</v>
      </c>
      <c r="BB171" s="2">
        <f t="shared" si="125"/>
        <v>0</v>
      </c>
      <c r="BE171" s="2">
        <v>1</v>
      </c>
      <c r="BF171" s="2">
        <v>1</v>
      </c>
      <c r="BG171" s="2">
        <f t="shared" si="131"/>
        <v>9</v>
      </c>
      <c r="BH171" s="2">
        <f t="shared" si="129"/>
        <v>9</v>
      </c>
      <c r="BK171" s="3"/>
      <c r="BL171" s="2" t="str">
        <f>CONCATENATE(
ROUND(BI171*VLOOKUP(L171,'ID Scheme'!$A$2:$E$7,3),0), "x",
ROUND(BJ171*VLOOKUP(L171,'ID Scheme'!$A$2:$E$7,5),0), "x",
ROUND(BK171*VLOOKUP(L171,'ID Scheme'!$A$2:$E$7,4),0))</f>
        <v>0x0x0</v>
      </c>
    </row>
    <row r="172" spans="1:65" x14ac:dyDescent="0.35">
      <c r="A172" t="s">
        <v>52</v>
      </c>
      <c r="B172" t="s">
        <v>221</v>
      </c>
      <c r="C172" t="s">
        <v>285</v>
      </c>
      <c r="D172">
        <f>IF(H172 &gt; 2020, ((H172-2020)*4)+1610+J172,IF(H172 &gt; 1900, ((H172-1900)*10)+400+J172, ((H172-1730)*2)+J172))+VLOOKUP(L172,'ID Scheme'!$A$2:$B$7,2, FALSE)</f>
        <v>7941</v>
      </c>
      <c r="F172">
        <v>7941</v>
      </c>
      <c r="G172" t="s">
        <v>683</v>
      </c>
      <c r="H172">
        <v>1994</v>
      </c>
      <c r="I172">
        <v>4</v>
      </c>
      <c r="J172">
        <v>1</v>
      </c>
      <c r="K172" t="s">
        <v>523</v>
      </c>
      <c r="L172" t="s">
        <v>48</v>
      </c>
      <c r="M172" t="s">
        <v>501</v>
      </c>
      <c r="N172">
        <v>120</v>
      </c>
      <c r="O172">
        <v>15</v>
      </c>
      <c r="P172">
        <v>12</v>
      </c>
      <c r="Q172">
        <v>4</v>
      </c>
      <c r="R172">
        <v>1.7</v>
      </c>
      <c r="S172">
        <v>168</v>
      </c>
      <c r="T172">
        <v>20</v>
      </c>
      <c r="U172">
        <v>4</v>
      </c>
      <c r="V172">
        <v>1.05</v>
      </c>
      <c r="W172" t="s">
        <v>357</v>
      </c>
      <c r="X172">
        <v>-4</v>
      </c>
      <c r="Y172" s="2" t="s">
        <v>448</v>
      </c>
      <c r="Z172" s="2"/>
      <c r="AA172" s="2"/>
      <c r="AB172" s="2"/>
      <c r="AC172" s="2"/>
      <c r="AD172" s="2"/>
      <c r="AE172" s="2"/>
      <c r="AF172" s="2"/>
      <c r="AG172" s="2"/>
      <c r="AH172" s="2"/>
      <c r="AI172" s="2"/>
      <c r="AJ172" s="2">
        <v>275</v>
      </c>
      <c r="AR172">
        <v>5</v>
      </c>
      <c r="AX172" s="2">
        <f>(SQRT(N172*U172)*POWER((MIN(P172,20)+SQRT(MAX(P172-20,0))),0.9)*Data!$B$1)*(1-(V172-1))</f>
        <v>14.610618763611306</v>
      </c>
      <c r="AY172" s="2"/>
      <c r="AZ172" s="2">
        <f>((POWER((N172*N172*U172), 0.33)*LOG10(S172)*10*Data!$B$1)*V172)+AY172</f>
        <v>65.249976764583593</v>
      </c>
      <c r="BA172" s="2">
        <f t="shared" si="130"/>
        <v>96.774193548387103</v>
      </c>
      <c r="BB172" s="2">
        <f t="shared" si="125"/>
        <v>0</v>
      </c>
      <c r="BE172" s="2">
        <v>1</v>
      </c>
      <c r="BF172" s="2">
        <v>1</v>
      </c>
      <c r="BG172" s="2">
        <f t="shared" si="131"/>
        <v>4</v>
      </c>
      <c r="BH172" s="2">
        <f t="shared" si="129"/>
        <v>4</v>
      </c>
      <c r="BI172" s="3">
        <v>5</v>
      </c>
      <c r="BJ172" s="3">
        <v>2</v>
      </c>
      <c r="BK172" s="3">
        <v>1.5</v>
      </c>
      <c r="BL172" s="2" t="str">
        <f>CONCATENATE(
ROUND(BI172*VLOOKUP(L172,'ID Scheme'!$A$2:$E$7,3),0), "x",
ROUND(BJ172*VLOOKUP(L172,'ID Scheme'!$A$2:$E$7,5),0), "x",
ROUND(BK172*VLOOKUP(L172,'ID Scheme'!$A$2:$E$7,4),0))</f>
        <v>47x29x15</v>
      </c>
    </row>
    <row r="173" spans="1:65" x14ac:dyDescent="0.35">
      <c r="A173" t="s">
        <v>50</v>
      </c>
      <c r="B173" t="s">
        <v>211</v>
      </c>
      <c r="C173" t="s">
        <v>361</v>
      </c>
      <c r="D173">
        <f>IF(H173 &gt; 2020, ((H173-2020)*4)+1610+J173,IF(H173 &gt; 1900, ((H173-1900)*10)+400+J173, ((H173-1730)*2)+J173))+VLOOKUP(L173,'ID Scheme'!$A$2:$B$7,2, FALSE)</f>
        <v>7971</v>
      </c>
      <c r="F173">
        <v>7971</v>
      </c>
      <c r="G173" t="s">
        <v>683</v>
      </c>
      <c r="H173">
        <v>1997</v>
      </c>
      <c r="I173">
        <v>1</v>
      </c>
      <c r="J173">
        <v>1</v>
      </c>
      <c r="K173" t="s">
        <v>523</v>
      </c>
      <c r="L173" t="s">
        <v>48</v>
      </c>
      <c r="M173" t="s">
        <v>501</v>
      </c>
      <c r="N173">
        <v>81</v>
      </c>
      <c r="O173">
        <v>-1</v>
      </c>
      <c r="P173">
        <v>15</v>
      </c>
      <c r="Q173">
        <v>5</v>
      </c>
      <c r="R173">
        <v>1.8</v>
      </c>
      <c r="S173">
        <v>88</v>
      </c>
      <c r="T173">
        <v>12</v>
      </c>
      <c r="U173">
        <v>5</v>
      </c>
      <c r="V173">
        <v>0.95</v>
      </c>
      <c r="W173" t="s">
        <v>356</v>
      </c>
      <c r="X173">
        <v>-4</v>
      </c>
      <c r="Y173" s="2" t="s">
        <v>447</v>
      </c>
      <c r="Z173" s="2"/>
      <c r="AA173" s="2"/>
      <c r="AB173" s="2"/>
      <c r="AC173" s="2"/>
      <c r="AD173" s="2"/>
      <c r="AE173" s="2"/>
      <c r="AF173" s="2"/>
      <c r="AG173" s="2"/>
      <c r="AH173" s="2"/>
      <c r="AI173" s="2"/>
      <c r="AJ173" s="2">
        <v>230</v>
      </c>
      <c r="AR173">
        <v>4</v>
      </c>
      <c r="AX173" s="2">
        <f>(SQRT(N173*U173)*POWER((MIN(P173,20)+SQRT(MAX(P173-20,0))),0.9)*Data!$B$1)*(1-(V173-1))</f>
        <v>18.132605259711607</v>
      </c>
      <c r="AY173" s="2"/>
      <c r="AZ173" s="2">
        <f>((POWER((N173*N173*U173), 0.33)*LOG10(S173)*10*Data!$B$1)*V173)+AY173</f>
        <v>42.839970188987628</v>
      </c>
      <c r="BA173" s="2">
        <f t="shared" si="130"/>
        <v>65.322580645161295</v>
      </c>
      <c r="BB173" s="2">
        <f t="shared" si="125"/>
        <v>0</v>
      </c>
      <c r="BE173" s="2">
        <v>1</v>
      </c>
      <c r="BF173" s="2">
        <v>1</v>
      </c>
      <c r="BG173" s="2">
        <f t="shared" si="131"/>
        <v>5</v>
      </c>
      <c r="BH173" s="2">
        <f t="shared" si="129"/>
        <v>5</v>
      </c>
      <c r="BI173" s="3"/>
      <c r="BJ173" s="3"/>
      <c r="BK173" s="3"/>
      <c r="BL173" s="2" t="str">
        <f>CONCATENATE(
ROUND(BI173*VLOOKUP(L173,'ID Scheme'!$A$2:$E$7,3),0), "x",
ROUND(BJ173*VLOOKUP(L173,'ID Scheme'!$A$2:$E$7,5),0), "x",
ROUND(BK173*VLOOKUP(L173,'ID Scheme'!$A$2:$E$7,4),0))</f>
        <v>0x0x0</v>
      </c>
      <c r="BM173" t="s">
        <v>56</v>
      </c>
    </row>
    <row r="174" spans="1:65" x14ac:dyDescent="0.35">
      <c r="A174" t="s">
        <v>54</v>
      </c>
      <c r="B174" t="s">
        <v>270</v>
      </c>
      <c r="C174" t="s">
        <v>285</v>
      </c>
      <c r="D174">
        <f>IF(H174 &gt; 2020, ((H174-2020)*4)+1610+J174,IF(H174 &gt; 1900, ((H174-1900)*10)+400+J174, ((H174-1730)*2)+J174))+VLOOKUP(L174,'ID Scheme'!$A$2:$B$7,2, FALSE)</f>
        <v>8041</v>
      </c>
      <c r="F174">
        <v>8041</v>
      </c>
      <c r="G174" t="s">
        <v>683</v>
      </c>
      <c r="H174">
        <v>2004</v>
      </c>
      <c r="I174">
        <v>2</v>
      </c>
      <c r="J174">
        <v>1</v>
      </c>
      <c r="K174" t="s">
        <v>524</v>
      </c>
      <c r="L174" t="s">
        <v>48</v>
      </c>
      <c r="M174" t="s">
        <v>501</v>
      </c>
      <c r="N174">
        <v>145</v>
      </c>
      <c r="O174">
        <v>10</v>
      </c>
      <c r="P174">
        <v>14</v>
      </c>
      <c r="Q174">
        <v>4</v>
      </c>
      <c r="R174">
        <v>1.5</v>
      </c>
      <c r="S174">
        <v>217</v>
      </c>
      <c r="T174">
        <v>16</v>
      </c>
      <c r="U174">
        <v>4</v>
      </c>
      <c r="V174">
        <v>1</v>
      </c>
      <c r="W174" t="s">
        <v>358</v>
      </c>
      <c r="X174">
        <v>-4</v>
      </c>
      <c r="Y174" s="2" t="s">
        <v>445</v>
      </c>
      <c r="Z174" s="2"/>
      <c r="AA174" s="2"/>
      <c r="AB174" s="2"/>
      <c r="AC174" s="2"/>
      <c r="AD174" s="2"/>
      <c r="AE174" s="2"/>
      <c r="AF174" s="2"/>
      <c r="AG174" s="2"/>
      <c r="AH174" s="2"/>
      <c r="AI174" s="2"/>
      <c r="AJ174" s="2">
        <v>295</v>
      </c>
      <c r="AR174">
        <v>5</v>
      </c>
      <c r="AX174" s="2">
        <f>(SQRT(N174*U174)*POWER((MIN(P174,20)+SQRT(MAX(P174-20,0))),0.9)*Data!$B$1)*(1-(V174-1))</f>
        <v>19.421845378305154</v>
      </c>
      <c r="AY174" s="2"/>
      <c r="AZ174" s="2">
        <f>((POWER((N174*N174*U174), 0.33)*LOG10(S174)*10*Data!$B$1)*V174)+AY174</f>
        <v>73.926857052811044</v>
      </c>
      <c r="BA174" s="2">
        <f t="shared" si="130"/>
        <v>116.93548387096774</v>
      </c>
      <c r="BB174" s="2">
        <f t="shared" si="125"/>
        <v>0</v>
      </c>
      <c r="BE174" s="2">
        <v>1</v>
      </c>
      <c r="BF174" s="2">
        <v>1</v>
      </c>
      <c r="BG174" s="2">
        <f t="shared" si="131"/>
        <v>4</v>
      </c>
      <c r="BH174" s="2">
        <f t="shared" si="129"/>
        <v>4</v>
      </c>
      <c r="BI174" s="3"/>
      <c r="BJ174" s="3"/>
      <c r="BK174" s="3"/>
      <c r="BL174" s="2" t="str">
        <f>CONCATENATE(
ROUND(BI174*VLOOKUP(L174,'ID Scheme'!$A$2:$E$7,3),0), "x",
ROUND(BJ174*VLOOKUP(L174,'ID Scheme'!$A$2:$E$7,5),0), "x",
ROUND(BK174*VLOOKUP(L174,'ID Scheme'!$A$2:$E$7,4),0))</f>
        <v>0x0x0</v>
      </c>
    </row>
    <row r="175" spans="1:65" x14ac:dyDescent="0.35">
      <c r="A175" t="s">
        <v>53</v>
      </c>
      <c r="B175" t="s">
        <v>220</v>
      </c>
      <c r="C175" t="s">
        <v>285</v>
      </c>
      <c r="D175">
        <f>IF(H175 &gt; 2020, ((H175-2020)*4)+1610+J175,IF(H175 &gt; 1900, ((H175-1900)*10)+400+J175, ((H175-1730)*2)+J175))+VLOOKUP(L175,'ID Scheme'!$A$2:$B$7,2, FALSE)</f>
        <v>8091</v>
      </c>
      <c r="F175">
        <v>8091</v>
      </c>
      <c r="G175" t="s">
        <v>683</v>
      </c>
      <c r="H175">
        <v>2009</v>
      </c>
      <c r="I175">
        <v>1</v>
      </c>
      <c r="J175">
        <v>1</v>
      </c>
      <c r="K175" t="s">
        <v>523</v>
      </c>
      <c r="L175" t="s">
        <v>48</v>
      </c>
      <c r="M175" t="s">
        <v>501</v>
      </c>
      <c r="N175">
        <v>105</v>
      </c>
      <c r="O175">
        <v>-1</v>
      </c>
      <c r="P175">
        <v>12</v>
      </c>
      <c r="Q175">
        <v>4</v>
      </c>
      <c r="R175">
        <v>1.5</v>
      </c>
      <c r="S175">
        <v>134</v>
      </c>
      <c r="T175">
        <v>20</v>
      </c>
      <c r="U175">
        <v>4</v>
      </c>
      <c r="V175">
        <v>0.85</v>
      </c>
      <c r="W175" t="s">
        <v>357</v>
      </c>
      <c r="X175">
        <v>-4</v>
      </c>
      <c r="Y175" s="2" t="s">
        <v>444</v>
      </c>
      <c r="Z175" s="2"/>
      <c r="AA175" s="2"/>
      <c r="AB175" s="2"/>
      <c r="AC175" s="2"/>
      <c r="AD175" s="2"/>
      <c r="AE175" s="2"/>
      <c r="AF175" s="2"/>
      <c r="AG175" s="2"/>
      <c r="AH175" s="2"/>
      <c r="AI175" s="2"/>
      <c r="AJ175" s="2">
        <v>275</v>
      </c>
      <c r="AR175">
        <v>5</v>
      </c>
      <c r="AX175" s="2">
        <f>(SQRT(N175*U175)*POWER((MIN(P175,20)+SQRT(MAX(P175-20,0))),0.9)*Data!$B$1)*(1-(V175-1))</f>
        <v>16.544241859351267</v>
      </c>
      <c r="AY175" s="2"/>
      <c r="AZ175" s="2">
        <f>((POWER((N175*N175*U175), 0.33)*LOG10(S175)*10*Data!$B$1)*V175)+AY175</f>
        <v>46.231055712636888</v>
      </c>
      <c r="BA175" s="2">
        <f t="shared" si="130"/>
        <v>84.677419354838705</v>
      </c>
      <c r="BB175" s="2">
        <f t="shared" si="125"/>
        <v>0</v>
      </c>
      <c r="BE175" s="2">
        <v>1</v>
      </c>
      <c r="BF175" s="2">
        <v>1</v>
      </c>
      <c r="BG175" s="2">
        <f t="shared" si="131"/>
        <v>4</v>
      </c>
      <c r="BH175" s="2">
        <f t="shared" si="129"/>
        <v>4</v>
      </c>
      <c r="BI175" s="3"/>
      <c r="BJ175" s="3"/>
      <c r="BK175" s="3"/>
      <c r="BL175" s="2" t="str">
        <f>CONCATENATE(
ROUND(BI175*VLOOKUP(L175,'ID Scheme'!$A$2:$E$7,3),0), "x",
ROUND(BJ175*VLOOKUP(L175,'ID Scheme'!$A$2:$E$7,5),0), "x",
ROUND(BK175*VLOOKUP(L175,'ID Scheme'!$A$2:$E$7,4),0))</f>
        <v>0x0x0</v>
      </c>
    </row>
    <row r="176" spans="1:65" x14ac:dyDescent="0.35">
      <c r="A176" t="s">
        <v>100</v>
      </c>
      <c r="B176" t="s">
        <v>269</v>
      </c>
      <c r="C176" t="s">
        <v>285</v>
      </c>
      <c r="D176">
        <f>IF(H176 &gt; 2020, ((H176-2020)*4)+1610+J176,IF(H176 &gt; 1900, ((H176-1900)*10)+400+J176, ((H176-1730)*2)+J176))+VLOOKUP(L176,'ID Scheme'!$A$2:$B$7,2, FALSE)</f>
        <v>8141</v>
      </c>
      <c r="F176">
        <v>8141</v>
      </c>
      <c r="G176" t="s">
        <v>683</v>
      </c>
      <c r="H176">
        <v>2014</v>
      </c>
      <c r="I176">
        <v>1</v>
      </c>
      <c r="J176">
        <v>1</v>
      </c>
      <c r="K176" t="s">
        <v>523</v>
      </c>
      <c r="L176" t="s">
        <v>48</v>
      </c>
      <c r="M176" t="s">
        <v>501</v>
      </c>
      <c r="N176">
        <v>95</v>
      </c>
      <c r="O176">
        <v>-1</v>
      </c>
      <c r="P176">
        <v>12</v>
      </c>
      <c r="Q176">
        <v>5</v>
      </c>
      <c r="R176">
        <v>1.5</v>
      </c>
      <c r="S176">
        <v>120</v>
      </c>
      <c r="T176">
        <v>20</v>
      </c>
      <c r="U176">
        <v>9</v>
      </c>
      <c r="V176">
        <v>1</v>
      </c>
      <c r="W176" t="s">
        <v>357</v>
      </c>
      <c r="X176">
        <v>-4</v>
      </c>
      <c r="Y176" s="2" t="s">
        <v>443</v>
      </c>
      <c r="Z176" s="2"/>
      <c r="AA176" s="2"/>
      <c r="AB176" s="2"/>
      <c r="AC176" s="2"/>
      <c r="AD176" s="2"/>
      <c r="AE176" s="2"/>
      <c r="AF176" s="2"/>
      <c r="AG176" s="2"/>
      <c r="AH176" s="2"/>
      <c r="AI176" s="2"/>
      <c r="AJ176" s="2"/>
      <c r="AR176">
        <v>6</v>
      </c>
      <c r="AX176" s="2">
        <f>(SQRT(N176*U176)*POWER((MIN(P176,20)+SQRT(MAX(P176-20,0))),0.9)*Data!$B$1)*(1-(V176-1))</f>
        <v>20.52614734864143</v>
      </c>
      <c r="AY176" s="2"/>
      <c r="AZ176" s="2">
        <f>((POWER((N176*N176*U176), 0.33)*LOG10(S176)*10*Data!$B$1)*V176)+AY176</f>
        <v>65.035610325244349</v>
      </c>
      <c r="BA176" s="2">
        <f t="shared" si="130"/>
        <v>76.612903225806448</v>
      </c>
      <c r="BB176" s="2">
        <f t="shared" si="125"/>
        <v>0</v>
      </c>
      <c r="BE176" s="2">
        <v>1</v>
      </c>
      <c r="BF176" s="2">
        <v>1</v>
      </c>
      <c r="BG176" s="2">
        <f t="shared" si="131"/>
        <v>9</v>
      </c>
      <c r="BH176" s="2">
        <f t="shared" si="129"/>
        <v>9</v>
      </c>
      <c r="BK176" s="3"/>
      <c r="BL176" s="2" t="str">
        <f>CONCATENATE(
ROUND(BI176*VLOOKUP(L176,'ID Scheme'!$A$2:$E$7,3),0), "x",
ROUND(BJ176*VLOOKUP(L176,'ID Scheme'!$A$2:$E$7,5),0), "x",
ROUND(BK176*VLOOKUP(L176,'ID Scheme'!$A$2:$E$7,4),0))</f>
        <v>0x0x0</v>
      </c>
    </row>
    <row r="177" spans="1:65" x14ac:dyDescent="0.35">
      <c r="A177" t="s">
        <v>260</v>
      </c>
      <c r="B177" t="s">
        <v>363</v>
      </c>
      <c r="C177" t="s">
        <v>368</v>
      </c>
      <c r="D177">
        <f>IF(H177 &gt; 2020, ((H177-2020)*4)+1610+J177,IF(H177 &gt; 1900, ((H177-1900)*10)+400+J177, ((H177-1730)*2)+J177))+VLOOKUP(L177,'ID Scheme'!$A$2:$B$7,2, FALSE)</f>
        <v>8161</v>
      </c>
      <c r="F177">
        <v>8161</v>
      </c>
      <c r="G177" t="s">
        <v>683</v>
      </c>
      <c r="H177">
        <v>2016</v>
      </c>
      <c r="I177">
        <v>1</v>
      </c>
      <c r="J177">
        <v>1</v>
      </c>
      <c r="K177" t="s">
        <v>524</v>
      </c>
      <c r="L177" t="s">
        <v>48</v>
      </c>
      <c r="M177" t="s">
        <v>501</v>
      </c>
      <c r="N177">
        <v>155</v>
      </c>
      <c r="O177">
        <v>-1</v>
      </c>
      <c r="P177">
        <v>10</v>
      </c>
      <c r="Q177">
        <v>4</v>
      </c>
      <c r="R177">
        <v>1.7</v>
      </c>
      <c r="S177">
        <v>310</v>
      </c>
      <c r="T177">
        <v>22</v>
      </c>
      <c r="U177">
        <v>4</v>
      </c>
      <c r="V177">
        <v>1</v>
      </c>
      <c r="W177" t="s">
        <v>359</v>
      </c>
      <c r="X177">
        <v>-4</v>
      </c>
      <c r="Y177" s="2" t="s">
        <v>446</v>
      </c>
      <c r="Z177" s="2"/>
      <c r="AA177" s="2"/>
      <c r="AB177" s="2"/>
      <c r="AC177" s="2"/>
      <c r="AD177" s="2"/>
      <c r="AE177" s="2"/>
      <c r="AF177" s="2"/>
      <c r="AG177" s="2"/>
      <c r="AH177" s="2"/>
      <c r="AI177" s="2"/>
      <c r="AJ177" s="2">
        <v>335</v>
      </c>
      <c r="AR177">
        <v>5</v>
      </c>
      <c r="AX177" s="2">
        <f>(SQRT(N177*U177)*POWER((MIN(P177,20)+SQRT(MAX(P177-20,0))),0.9)*Data!$B$1)*(1-(V177-1))</f>
        <v>14.833960155247404</v>
      </c>
      <c r="AY177" s="2"/>
      <c r="AZ177" s="2">
        <f>((POWER((N177*N177*U177), 0.33)*LOG10(S177)*10*Data!$B$1)*V177)+AY177</f>
        <v>82.375253472873595</v>
      </c>
      <c r="BA177" s="2">
        <f t="shared" si="130"/>
        <v>125</v>
      </c>
      <c r="BB177" s="2">
        <f t="shared" si="125"/>
        <v>0</v>
      </c>
      <c r="BE177" s="2">
        <v>1</v>
      </c>
      <c r="BF177" s="2">
        <v>1</v>
      </c>
      <c r="BG177" s="2">
        <f t="shared" si="131"/>
        <v>4</v>
      </c>
      <c r="BH177" s="2">
        <f t="shared" si="129"/>
        <v>4</v>
      </c>
      <c r="BI177" s="3">
        <v>4.5999999999999996</v>
      </c>
      <c r="BJ177" s="3">
        <v>1.8</v>
      </c>
      <c r="BK177" s="3">
        <v>1.4</v>
      </c>
      <c r="BL177" s="2" t="str">
        <f>CONCATENATE(
ROUND(BI177*VLOOKUP(L177,'ID Scheme'!$A$2:$E$7,3),0), "x",
ROUND(BJ177*VLOOKUP(L177,'ID Scheme'!$A$2:$E$7,5),0), "x",
ROUND(BK177*VLOOKUP(L177,'ID Scheme'!$A$2:$E$7,4),0))</f>
        <v>43x26x14</v>
      </c>
    </row>
    <row r="178" spans="1:65" x14ac:dyDescent="0.35">
      <c r="A178" t="s">
        <v>516</v>
      </c>
      <c r="B178" t="s">
        <v>517</v>
      </c>
      <c r="C178" t="s">
        <v>518</v>
      </c>
      <c r="D178">
        <f>IF(H178 &gt; 2020, ((H178-2020)*4)+1610+J178,IF(H178 &gt; 1900, ((H178-1900)*10)+400+J178, ((H178-1730)*2)+J178))+VLOOKUP(L178,'ID Scheme'!$A$2:$B$7,2, FALSE)</f>
        <v>6251</v>
      </c>
      <c r="F178">
        <v>6251</v>
      </c>
      <c r="G178" t="s">
        <v>683</v>
      </c>
      <c r="H178">
        <v>2030</v>
      </c>
      <c r="I178">
        <v>1</v>
      </c>
      <c r="J178">
        <v>1</v>
      </c>
      <c r="K178" t="s">
        <v>524</v>
      </c>
      <c r="L178" t="s">
        <v>14</v>
      </c>
      <c r="M178" t="s">
        <v>501</v>
      </c>
      <c r="N178">
        <v>100</v>
      </c>
      <c r="O178">
        <v>-1</v>
      </c>
      <c r="P178">
        <v>10</v>
      </c>
      <c r="Q178">
        <v>4</v>
      </c>
      <c r="R178">
        <v>2</v>
      </c>
      <c r="S178">
        <v>10</v>
      </c>
      <c r="T178">
        <v>22</v>
      </c>
      <c r="U178">
        <v>1</v>
      </c>
      <c r="V178">
        <v>1</v>
      </c>
      <c r="W178" t="s">
        <v>287</v>
      </c>
      <c r="X178">
        <v>-4</v>
      </c>
      <c r="Y178" s="2" t="s">
        <v>519</v>
      </c>
      <c r="Z178" s="2"/>
      <c r="AA178" s="2"/>
      <c r="AB178" s="2"/>
      <c r="AC178" s="2"/>
      <c r="AD178" s="2"/>
      <c r="AE178" s="2"/>
      <c r="AF178" s="2"/>
      <c r="AG178" s="2"/>
      <c r="AH178" s="2"/>
      <c r="AI178" s="2"/>
      <c r="AJ178" s="2">
        <v>275</v>
      </c>
      <c r="AR178">
        <v>7</v>
      </c>
      <c r="AX178" s="2">
        <f>(SQRT(N178*U178)*POWER((MIN(P178,20)+SQRT(MAX(P178-20,0))),0.9)*Data!$B$1)*(1-(V178-1))</f>
        <v>5.9574617604321123</v>
      </c>
      <c r="AY178" s="2">
        <v>-15</v>
      </c>
      <c r="AZ178" s="2">
        <f>((POWER((N178*N178*U178), 0.33)*LOG10(S178)*10*Data!$B$1)*V178)+AY178</f>
        <v>0.66972098140530001</v>
      </c>
      <c r="BA178" s="2">
        <f t="shared" si="130"/>
        <v>80.645161290322577</v>
      </c>
      <c r="BB178" s="2">
        <f t="shared" ref="BB178" si="138">AK178/1.24</f>
        <v>0</v>
      </c>
      <c r="BE178" s="2">
        <v>1</v>
      </c>
      <c r="BF178" s="2">
        <v>1</v>
      </c>
      <c r="BG178" s="2">
        <f t="shared" si="131"/>
        <v>1</v>
      </c>
      <c r="BH178" s="2">
        <f t="shared" si="129"/>
        <v>1</v>
      </c>
      <c r="BI178" s="3">
        <v>4.5999999999999996</v>
      </c>
      <c r="BJ178" s="3">
        <v>1.8</v>
      </c>
      <c r="BK178" s="3">
        <v>1.4</v>
      </c>
      <c r="BL178" s="2" t="str">
        <f>CONCATENATE(
ROUND(BI178*VLOOKUP(L178,'ID Scheme'!$A$2:$E$7,3),0), "x",
ROUND(BJ178*VLOOKUP(L178,'ID Scheme'!$A$2:$E$7,5),0), "x",
ROUND(BK178*VLOOKUP(L178,'ID Scheme'!$A$2:$E$7,4),0))</f>
        <v>43x26x14</v>
      </c>
    </row>
    <row r="179" spans="1:65" x14ac:dyDescent="0.35">
      <c r="A179" t="s">
        <v>105</v>
      </c>
      <c r="B179" t="s">
        <v>202</v>
      </c>
      <c r="C179" t="s">
        <v>694</v>
      </c>
      <c r="D179">
        <f>IF(H179 &gt; 2020, ((H179-2020)*4)+1610+J179,IF(H179 &gt; 1900, ((H179-1900)*10)+400+J179, ((H179-1730)*2)+J179))+VLOOKUP(L179,'ID Scheme'!$A$2:$B$7,2, FALSE)</f>
        <v>8861</v>
      </c>
      <c r="F179">
        <v>8861</v>
      </c>
      <c r="G179" t="s">
        <v>683</v>
      </c>
      <c r="H179">
        <v>1860</v>
      </c>
      <c r="I179">
        <v>1</v>
      </c>
      <c r="J179">
        <v>1</v>
      </c>
      <c r="K179" t="s">
        <v>521</v>
      </c>
      <c r="L179" t="s">
        <v>104</v>
      </c>
      <c r="M179" t="s">
        <v>502</v>
      </c>
      <c r="N179">
        <v>18</v>
      </c>
      <c r="O179">
        <v>50</v>
      </c>
      <c r="P179">
        <v>35</v>
      </c>
      <c r="Q179">
        <v>9</v>
      </c>
      <c r="R179">
        <v>8</v>
      </c>
      <c r="S179">
        <v>15</v>
      </c>
      <c r="T179">
        <v>20</v>
      </c>
      <c r="U179">
        <v>24</v>
      </c>
      <c r="V179">
        <v>1</v>
      </c>
      <c r="W179" t="s">
        <v>287</v>
      </c>
      <c r="X179">
        <v>0</v>
      </c>
      <c r="Y179" s="2" t="s">
        <v>436</v>
      </c>
      <c r="Z179" s="2"/>
      <c r="AA179" s="2"/>
      <c r="AB179" s="2"/>
      <c r="AC179" s="2"/>
      <c r="AD179" s="2"/>
      <c r="AE179" s="2"/>
      <c r="AF179" s="2"/>
      <c r="AG179" s="2"/>
      <c r="AH179" s="2"/>
      <c r="AI179" s="2"/>
      <c r="AJ179" s="2"/>
      <c r="AL179" t="s">
        <v>406</v>
      </c>
      <c r="AN179" t="s">
        <v>488</v>
      </c>
      <c r="AO179" t="s">
        <v>406</v>
      </c>
      <c r="AP179" t="s">
        <v>407</v>
      </c>
      <c r="AQ179" t="s">
        <v>561</v>
      </c>
      <c r="AR179">
        <v>4</v>
      </c>
      <c r="AS179">
        <v>1</v>
      </c>
      <c r="AT179" t="s">
        <v>276</v>
      </c>
      <c r="AU179" t="s">
        <v>276</v>
      </c>
      <c r="AX179" s="2">
        <f>(SQRT(N179*U179)*POWER((MIN(P179,20)+SQRT(MAX(P179-20,0))),0.9)*Data!$B$1)*(1-(V179-1))</f>
        <v>27.096872159029786</v>
      </c>
      <c r="AY179" s="2">
        <v>3</v>
      </c>
      <c r="AZ179" s="2">
        <f>((POWER((N179*N179*U179), 0.33)*LOG10(S179)*10*Data!$B$1)*V179)+AY179</f>
        <v>19.961015410572251</v>
      </c>
      <c r="BA179" s="2">
        <f t="shared" si="130"/>
        <v>14.516129032258064</v>
      </c>
      <c r="BB179" s="2">
        <f t="shared" si="125"/>
        <v>0</v>
      </c>
      <c r="BE179" s="2">
        <v>1</v>
      </c>
      <c r="BF179" s="2">
        <v>1</v>
      </c>
      <c r="BG179" s="2">
        <f t="shared" si="131"/>
        <v>24</v>
      </c>
      <c r="BH179" s="2">
        <f t="shared" si="129"/>
        <v>24</v>
      </c>
      <c r="BK179" s="3"/>
      <c r="BL179" s="2" t="str">
        <f>CONCATENATE(
ROUND(BI179*VLOOKUP(L179,'ID Scheme'!$A$2:$E$7,3),0), "x",
ROUND(BJ179*VLOOKUP(L179,'ID Scheme'!$A$2:$E$7,5),0), "x",
ROUND(BK179*VLOOKUP(L179,'ID Scheme'!$A$2:$E$7,4),0))</f>
        <v>0x0x0</v>
      </c>
    </row>
    <row r="180" spans="1:65" x14ac:dyDescent="0.35">
      <c r="A180" t="s">
        <v>106</v>
      </c>
      <c r="B180" t="s">
        <v>250</v>
      </c>
      <c r="C180" t="s">
        <v>291</v>
      </c>
      <c r="D180">
        <f>IF(H180 &gt; 2020, ((H180-2020)*4)+1610+J180,IF(H180 &gt; 1900, ((H180-1900)*10)+400+J180, ((H180-1730)*2)+J180))+VLOOKUP(L180,'ID Scheme'!$A$2:$B$7,2, FALSE)</f>
        <v>8887</v>
      </c>
      <c r="F180">
        <v>8887</v>
      </c>
      <c r="G180" t="s">
        <v>683</v>
      </c>
      <c r="H180">
        <v>1873</v>
      </c>
      <c r="I180">
        <v>1</v>
      </c>
      <c r="J180">
        <v>1</v>
      </c>
      <c r="K180" t="s">
        <v>521</v>
      </c>
      <c r="L180" t="s">
        <v>104</v>
      </c>
      <c r="M180" t="s">
        <v>502</v>
      </c>
      <c r="N180">
        <v>20</v>
      </c>
      <c r="O180">
        <v>30</v>
      </c>
      <c r="P180">
        <v>30</v>
      </c>
      <c r="Q180">
        <v>9</v>
      </c>
      <c r="R180">
        <v>9</v>
      </c>
      <c r="S180">
        <v>30</v>
      </c>
      <c r="T180">
        <v>18</v>
      </c>
      <c r="U180">
        <v>50</v>
      </c>
      <c r="V180">
        <v>1</v>
      </c>
      <c r="W180" t="s">
        <v>288</v>
      </c>
      <c r="X180">
        <v>0</v>
      </c>
      <c r="Y180" s="2" t="s">
        <v>423</v>
      </c>
      <c r="Z180" s="2"/>
      <c r="AA180" s="2"/>
      <c r="AB180" s="2"/>
      <c r="AC180" s="2"/>
      <c r="AD180" s="2"/>
      <c r="AE180" s="2"/>
      <c r="AF180" s="2"/>
      <c r="AG180" s="2"/>
      <c r="AH180" s="2"/>
      <c r="AI180" s="2"/>
      <c r="AJ180" s="2"/>
      <c r="AR180">
        <v>8</v>
      </c>
      <c r="AS180">
        <v>1</v>
      </c>
      <c r="AX180" s="2">
        <f>(SQRT(N180*U180)*POWER((MIN(P180,20)+SQRT(MAX(P180-20,0))),0.9)*Data!$B$1)*(1-(V180-1))</f>
        <v>40.120321127543804</v>
      </c>
      <c r="AY180" s="2"/>
      <c r="AZ180" s="2">
        <f>((POWER((N180*N180*U180), 0.33)*LOG10(S180)*10*Data!$B$1)*V180)+AY180</f>
        <v>29.094929509594969</v>
      </c>
      <c r="BA180" s="2">
        <f t="shared" si="130"/>
        <v>16.129032258064516</v>
      </c>
      <c r="BB180" s="2">
        <f t="shared" si="125"/>
        <v>0</v>
      </c>
      <c r="BE180" s="2">
        <v>1</v>
      </c>
      <c r="BF180" s="2">
        <v>1</v>
      </c>
      <c r="BG180" s="2">
        <f t="shared" si="131"/>
        <v>50</v>
      </c>
      <c r="BH180" s="2">
        <f t="shared" si="129"/>
        <v>50</v>
      </c>
      <c r="BK180" s="3"/>
      <c r="BL180" s="2" t="str">
        <f>CONCATENATE(
ROUND(BI180*VLOOKUP(L180,'ID Scheme'!$A$2:$E$7,3),0), "x",
ROUND(BJ180*VLOOKUP(L180,'ID Scheme'!$A$2:$E$7,5),0), "x",
ROUND(BK180*VLOOKUP(L180,'ID Scheme'!$A$2:$E$7,4),0))</f>
        <v>0x0x0</v>
      </c>
    </row>
    <row r="181" spans="1:65" x14ac:dyDescent="0.35">
      <c r="A181" t="s">
        <v>108</v>
      </c>
      <c r="B181" t="s">
        <v>243</v>
      </c>
      <c r="C181" t="s">
        <v>291</v>
      </c>
      <c r="D181">
        <f>IF(H181 &gt; 2020, ((H181-2020)*4)+1610+J181,IF(H181 &gt; 1900, ((H181-1900)*10)+400+J181, ((H181-1730)*2)+J181))+VLOOKUP(L181,'ID Scheme'!$A$2:$B$7,2, FALSE)</f>
        <v>8911</v>
      </c>
      <c r="F181">
        <v>8911</v>
      </c>
      <c r="G181" t="s">
        <v>683</v>
      </c>
      <c r="H181">
        <v>1885</v>
      </c>
      <c r="I181">
        <v>1</v>
      </c>
      <c r="J181">
        <v>1</v>
      </c>
      <c r="K181" t="s">
        <v>521</v>
      </c>
      <c r="L181" t="s">
        <v>104</v>
      </c>
      <c r="M181" t="s">
        <v>503</v>
      </c>
      <c r="N181">
        <v>21</v>
      </c>
      <c r="O181">
        <v>35</v>
      </c>
      <c r="P181">
        <v>30</v>
      </c>
      <c r="Q181">
        <v>8</v>
      </c>
      <c r="R181">
        <v>7</v>
      </c>
      <c r="S181">
        <v>20</v>
      </c>
      <c r="T181">
        <v>20</v>
      </c>
      <c r="U181">
        <v>32</v>
      </c>
      <c r="V181">
        <v>1</v>
      </c>
      <c r="W181" t="s">
        <v>365</v>
      </c>
      <c r="X181">
        <v>0</v>
      </c>
      <c r="Y181" s="2" t="s">
        <v>435</v>
      </c>
      <c r="Z181" s="2"/>
      <c r="AA181" s="2"/>
      <c r="AB181" s="2"/>
      <c r="AC181" s="2"/>
      <c r="AD181" s="2"/>
      <c r="AE181" s="2"/>
      <c r="AF181" s="2"/>
      <c r="AG181" s="2"/>
      <c r="AH181" s="2"/>
      <c r="AI181" s="2"/>
      <c r="AJ181" s="2"/>
      <c r="AR181">
        <v>8</v>
      </c>
      <c r="AS181">
        <v>1</v>
      </c>
      <c r="AX181" s="2">
        <f>(SQRT(N181*U181)*POWER((MIN(P181,20)+SQRT(MAX(P181-20,0))),0.9)*Data!$B$1)*(1-(V181-1))</f>
        <v>32.8888764246744</v>
      </c>
      <c r="AY181" s="2"/>
      <c r="AZ181" s="2">
        <f>((POWER((N181*N181*U181), 0.33)*LOG10(S181)*10*Data!$B$1)*V181)+AY181</f>
        <v>22.84087832220764</v>
      </c>
      <c r="BA181" s="2">
        <f t="shared" si="130"/>
        <v>16.935483870967744</v>
      </c>
      <c r="BB181" s="2">
        <f t="shared" si="125"/>
        <v>0</v>
      </c>
      <c r="BE181" s="2">
        <v>1</v>
      </c>
      <c r="BF181" s="2">
        <v>1</v>
      </c>
      <c r="BG181" s="2">
        <f t="shared" si="131"/>
        <v>32</v>
      </c>
      <c r="BH181" s="2">
        <f t="shared" si="129"/>
        <v>32</v>
      </c>
      <c r="BK181" s="3"/>
      <c r="BL181" s="2" t="str">
        <f>CONCATENATE(
ROUND(BI181*VLOOKUP(L181,'ID Scheme'!$A$2:$E$7,3),0), "x",
ROUND(BJ181*VLOOKUP(L181,'ID Scheme'!$A$2:$E$7,5),0), "x",
ROUND(BK181*VLOOKUP(L181,'ID Scheme'!$A$2:$E$7,4),0))</f>
        <v>0x0x0</v>
      </c>
      <c r="BM181" t="s">
        <v>124</v>
      </c>
    </row>
    <row r="182" spans="1:65" x14ac:dyDescent="0.35">
      <c r="A182" t="s">
        <v>131</v>
      </c>
      <c r="B182" t="s">
        <v>249</v>
      </c>
      <c r="C182" t="s">
        <v>285</v>
      </c>
      <c r="D182">
        <f>IF(H182 &gt; 2020, ((H182-2020)*4)+1610+J182,IF(H182 &gt; 1900, ((H182-1900)*10)+400+J182, ((H182-1730)*2)+J182))+VLOOKUP(L182,'ID Scheme'!$A$2:$B$7,2, FALSE)</f>
        <v>8927</v>
      </c>
      <c r="F182">
        <v>8927</v>
      </c>
      <c r="G182" t="s">
        <v>683</v>
      </c>
      <c r="H182">
        <v>1893</v>
      </c>
      <c r="I182">
        <v>3</v>
      </c>
      <c r="J182">
        <v>1</v>
      </c>
      <c r="K182" t="s">
        <v>521</v>
      </c>
      <c r="L182" t="s">
        <v>104</v>
      </c>
      <c r="M182" t="s">
        <v>503</v>
      </c>
      <c r="N182">
        <v>22</v>
      </c>
      <c r="O182">
        <v>35</v>
      </c>
      <c r="P182">
        <v>75</v>
      </c>
      <c r="Q182">
        <v>9</v>
      </c>
      <c r="R182">
        <v>7.5</v>
      </c>
      <c r="S182">
        <v>50</v>
      </c>
      <c r="T182">
        <v>20</v>
      </c>
      <c r="U182">
        <v>42</v>
      </c>
      <c r="V182">
        <v>1</v>
      </c>
      <c r="W182" t="s">
        <v>365</v>
      </c>
      <c r="X182">
        <v>0</v>
      </c>
      <c r="Y182" s="2" t="s">
        <v>411</v>
      </c>
      <c r="Z182" s="2"/>
      <c r="AA182" s="2"/>
      <c r="AB182" s="2"/>
      <c r="AC182" s="2"/>
      <c r="AD182" s="2"/>
      <c r="AE182" s="2"/>
      <c r="AF182" s="2"/>
      <c r="AG182" s="2"/>
      <c r="AH182" s="2"/>
      <c r="AI182" s="2"/>
      <c r="AJ182" s="2"/>
      <c r="AR182">
        <v>8</v>
      </c>
      <c r="AS182">
        <v>1</v>
      </c>
      <c r="AX182" s="2">
        <f>(SQRT(N182*U182)*POWER((MIN(P182,20)+SQRT(MAX(P182-20,0))),0.9)*Data!$B$1)*(1-(V182-1))</f>
        <v>44.885261640010725</v>
      </c>
      <c r="AY182" s="2"/>
      <c r="AZ182" s="2">
        <f>((POWER((N182*N182*U182), 0.33)*LOG10(S182)*10*Data!$B$1)*V182)+AY182</f>
        <v>33.644820060239276</v>
      </c>
      <c r="BA182" s="2">
        <f t="shared" si="130"/>
        <v>17.741935483870968</v>
      </c>
      <c r="BB182" s="2">
        <f t="shared" si="125"/>
        <v>0</v>
      </c>
      <c r="BE182" s="2">
        <v>1</v>
      </c>
      <c r="BF182" s="2">
        <v>1</v>
      </c>
      <c r="BG182" s="2">
        <f t="shared" si="131"/>
        <v>42</v>
      </c>
      <c r="BH182" s="2">
        <f t="shared" si="129"/>
        <v>42</v>
      </c>
      <c r="BK182" s="3"/>
      <c r="BL182" s="2" t="str">
        <f>CONCATENATE(
ROUND(BI182*VLOOKUP(L182,'ID Scheme'!$A$2:$E$7,3),0), "x",
ROUND(BJ182*VLOOKUP(L182,'ID Scheme'!$A$2:$E$7,5),0), "x",
ROUND(BK182*VLOOKUP(L182,'ID Scheme'!$A$2:$E$7,4),0))</f>
        <v>0x0x0</v>
      </c>
      <c r="BM182" t="s">
        <v>130</v>
      </c>
    </row>
    <row r="183" spans="1:65" x14ac:dyDescent="0.35">
      <c r="A183" t="s">
        <v>116</v>
      </c>
      <c r="B183" t="s">
        <v>252</v>
      </c>
      <c r="C183" t="s">
        <v>285</v>
      </c>
      <c r="D183">
        <f>IF(H183 &gt; 2020, ((H183-2020)*4)+1610+J183,IF(H183 &gt; 1900, ((H183-1900)*10)+400+J183, ((H183-1730)*2)+J183))+VLOOKUP(L183,'ID Scheme'!$A$2:$B$7,2, FALSE)</f>
        <v>8929</v>
      </c>
      <c r="F183">
        <v>8929</v>
      </c>
      <c r="G183" t="s">
        <v>683</v>
      </c>
      <c r="H183">
        <v>1894</v>
      </c>
      <c r="I183">
        <v>6</v>
      </c>
      <c r="J183">
        <v>1</v>
      </c>
      <c r="K183" t="s">
        <v>521</v>
      </c>
      <c r="L183" t="s">
        <v>104</v>
      </c>
      <c r="M183" t="s">
        <v>503</v>
      </c>
      <c r="N183">
        <v>22</v>
      </c>
      <c r="O183">
        <v>35</v>
      </c>
      <c r="P183">
        <v>75</v>
      </c>
      <c r="Q183">
        <v>9</v>
      </c>
      <c r="R183">
        <v>7</v>
      </c>
      <c r="S183">
        <v>80</v>
      </c>
      <c r="T183">
        <v>20</v>
      </c>
      <c r="U183">
        <v>36</v>
      </c>
      <c r="V183">
        <v>1</v>
      </c>
      <c r="W183" t="s">
        <v>365</v>
      </c>
      <c r="X183">
        <v>0</v>
      </c>
      <c r="Y183" s="2" t="s">
        <v>412</v>
      </c>
      <c r="Z183" s="2"/>
      <c r="AA183" s="2"/>
      <c r="AB183" s="2"/>
      <c r="AC183" s="2"/>
      <c r="AD183" s="2"/>
      <c r="AE183" s="2"/>
      <c r="AF183" s="2"/>
      <c r="AG183" s="2"/>
      <c r="AH183" s="2"/>
      <c r="AI183" s="2"/>
      <c r="AJ183" s="2"/>
      <c r="AR183">
        <v>8</v>
      </c>
      <c r="AS183">
        <v>1</v>
      </c>
      <c r="AX183" s="2">
        <f>(SQRT(N183*U183)*POWER((MIN(P183,20)+SQRT(MAX(P183-20,0))),0.9)*Data!$B$1)*(1-(V183-1))</f>
        <v>41.555677409871805</v>
      </c>
      <c r="AY183" s="2"/>
      <c r="AZ183" s="2">
        <f>((POWER((N183*N183*U183), 0.33)*LOG10(S183)*10*Data!$B$1)*V183)+AY183</f>
        <v>35.817839185344354</v>
      </c>
      <c r="BA183" s="2">
        <f t="shared" si="130"/>
        <v>17.741935483870968</v>
      </c>
      <c r="BB183" s="2">
        <f t="shared" si="125"/>
        <v>0</v>
      </c>
      <c r="BE183" s="2">
        <v>1</v>
      </c>
      <c r="BF183" s="2">
        <v>1</v>
      </c>
      <c r="BG183" s="2">
        <f t="shared" si="131"/>
        <v>36</v>
      </c>
      <c r="BH183" s="2">
        <f t="shared" si="129"/>
        <v>36</v>
      </c>
      <c r="BK183" s="3"/>
      <c r="BL183" s="2" t="str">
        <f>CONCATENATE(
ROUND(BI183*VLOOKUP(L183,'ID Scheme'!$A$2:$E$7,3),0), "x",
ROUND(BJ183*VLOOKUP(L183,'ID Scheme'!$A$2:$E$7,5),0), "x",
ROUND(BK183*VLOOKUP(L183,'ID Scheme'!$A$2:$E$7,4),0))</f>
        <v>0x0x0</v>
      </c>
      <c r="BM183" t="s">
        <v>118</v>
      </c>
    </row>
    <row r="184" spans="1:65" x14ac:dyDescent="0.35">
      <c r="A184" t="s">
        <v>111</v>
      </c>
      <c r="B184" t="s">
        <v>247</v>
      </c>
      <c r="C184" t="s">
        <v>285</v>
      </c>
      <c r="D184">
        <f>IF(H184 &gt; 2020, ((H184-2020)*4)+1610+J184,IF(H184 &gt; 1900, ((H184-1900)*10)+400+J184, ((H184-1730)*2)+J184))+VLOOKUP(L184,'ID Scheme'!$A$2:$B$7,2, FALSE)</f>
        <v>8937</v>
      </c>
      <c r="F184">
        <v>8937</v>
      </c>
      <c r="G184" t="s">
        <v>683</v>
      </c>
      <c r="H184">
        <v>1898</v>
      </c>
      <c r="I184">
        <v>1</v>
      </c>
      <c r="J184">
        <v>1</v>
      </c>
      <c r="K184" t="s">
        <v>521</v>
      </c>
      <c r="L184" t="s">
        <v>104</v>
      </c>
      <c r="M184" t="s">
        <v>503</v>
      </c>
      <c r="N184">
        <v>23</v>
      </c>
      <c r="O184">
        <v>35</v>
      </c>
      <c r="P184">
        <v>45</v>
      </c>
      <c r="Q184">
        <v>11</v>
      </c>
      <c r="R184">
        <v>8</v>
      </c>
      <c r="S184">
        <v>80</v>
      </c>
      <c r="T184">
        <v>20</v>
      </c>
      <c r="U184">
        <v>48</v>
      </c>
      <c r="V184">
        <v>1</v>
      </c>
      <c r="W184" t="s">
        <v>365</v>
      </c>
      <c r="X184">
        <v>0</v>
      </c>
      <c r="Y184" s="2" t="s">
        <v>414</v>
      </c>
      <c r="Z184" s="2"/>
      <c r="AA184" s="2"/>
      <c r="AB184" s="2"/>
      <c r="AC184" s="2"/>
      <c r="AD184" s="2"/>
      <c r="AE184" s="2"/>
      <c r="AF184" s="2"/>
      <c r="AG184" s="2"/>
      <c r="AH184" s="2"/>
      <c r="AI184" s="2"/>
      <c r="AJ184" s="2"/>
      <c r="AR184">
        <v>8</v>
      </c>
      <c r="AS184">
        <v>1</v>
      </c>
      <c r="AX184" s="2">
        <f>(SQRT(N184*U184)*POWER((MIN(P184,20)+SQRT(MAX(P184-20,0))),0.9)*Data!$B$1)*(1-(V184-1))</f>
        <v>45.153540372471618</v>
      </c>
      <c r="AY184" s="2"/>
      <c r="AZ184" s="2">
        <f>((POWER((N184*N184*U184), 0.33)*LOG10(S184)*10*Data!$B$1)*V184)+AY184</f>
        <v>40.55744311676029</v>
      </c>
      <c r="BA184" s="2">
        <f t="shared" si="130"/>
        <v>18.548387096774192</v>
      </c>
      <c r="BB184" s="2">
        <f t="shared" si="125"/>
        <v>0</v>
      </c>
      <c r="BE184" s="2">
        <v>1</v>
      </c>
      <c r="BF184" s="2">
        <v>1</v>
      </c>
      <c r="BG184" s="2">
        <f t="shared" si="131"/>
        <v>48</v>
      </c>
      <c r="BH184" s="2">
        <f t="shared" si="129"/>
        <v>48</v>
      </c>
      <c r="BK184" s="3"/>
      <c r="BL184" s="2" t="str">
        <f>CONCATENATE(
ROUND(BI184*VLOOKUP(L184,'ID Scheme'!$A$2:$E$7,3),0), "x",
ROUND(BJ184*VLOOKUP(L184,'ID Scheme'!$A$2:$E$7,5),0), "x",
ROUND(BK184*VLOOKUP(L184,'ID Scheme'!$A$2:$E$7,4),0))</f>
        <v>0x0x0</v>
      </c>
      <c r="BM184" t="s">
        <v>118</v>
      </c>
    </row>
    <row r="185" spans="1:65" x14ac:dyDescent="0.35">
      <c r="A185" t="s">
        <v>117</v>
      </c>
      <c r="B185" t="s">
        <v>253</v>
      </c>
      <c r="C185" t="s">
        <v>285</v>
      </c>
      <c r="D185">
        <f>IF(H185 &gt; 2020, ((H185-2020)*4)+1610+J185,IF(H185 &gt; 1900, ((H185-1900)*10)+400+J185, ((H185-1730)*2)+J185))+VLOOKUP(L185,'ID Scheme'!$A$2:$B$7,2, FALSE)</f>
        <v>8939</v>
      </c>
      <c r="F185">
        <v>8939</v>
      </c>
      <c r="G185" t="s">
        <v>683</v>
      </c>
      <c r="H185">
        <v>1899</v>
      </c>
      <c r="I185">
        <v>1</v>
      </c>
      <c r="J185">
        <v>1</v>
      </c>
      <c r="K185" t="s">
        <v>521</v>
      </c>
      <c r="L185" t="s">
        <v>104</v>
      </c>
      <c r="M185" t="s">
        <v>503</v>
      </c>
      <c r="N185">
        <v>24</v>
      </c>
      <c r="O185">
        <v>35</v>
      </c>
      <c r="P185">
        <v>65</v>
      </c>
      <c r="Q185">
        <v>9</v>
      </c>
      <c r="R185">
        <v>7</v>
      </c>
      <c r="S185">
        <v>80</v>
      </c>
      <c r="T185">
        <v>20</v>
      </c>
      <c r="U185">
        <v>48</v>
      </c>
      <c r="V185">
        <v>1</v>
      </c>
      <c r="W185" t="s">
        <v>365</v>
      </c>
      <c r="X185">
        <v>0</v>
      </c>
      <c r="Y185" s="2" t="s">
        <v>413</v>
      </c>
      <c r="Z185" s="2"/>
      <c r="AA185" s="2"/>
      <c r="AB185" s="2"/>
      <c r="AC185" s="2"/>
      <c r="AD185" s="2"/>
      <c r="AE185" s="2"/>
      <c r="AF185" s="2"/>
      <c r="AG185" s="2"/>
      <c r="AH185" s="2"/>
      <c r="AI185" s="2"/>
      <c r="AJ185" s="2"/>
      <c r="AR185">
        <v>8</v>
      </c>
      <c r="AS185">
        <v>1</v>
      </c>
      <c r="AX185" s="2">
        <f>(SQRT(N185*U185)*POWER((MIN(P185,20)+SQRT(MAX(P185-20,0))),0.9)*Data!$B$1)*(1-(V185-1))</f>
        <v>48.95169319243255</v>
      </c>
      <c r="AY185" s="2"/>
      <c r="AZ185" s="2">
        <f>((POWER((N185*N185*U185), 0.33)*LOG10(S185)*10*Data!$B$1)*V185)+AY185</f>
        <v>41.712826159953799</v>
      </c>
      <c r="BA185" s="2">
        <f t="shared" si="130"/>
        <v>19.35483870967742</v>
      </c>
      <c r="BB185" s="2">
        <f t="shared" si="125"/>
        <v>0</v>
      </c>
      <c r="BE185" s="2">
        <v>1</v>
      </c>
      <c r="BF185" s="2">
        <v>1</v>
      </c>
      <c r="BG185" s="2">
        <f t="shared" si="131"/>
        <v>48</v>
      </c>
      <c r="BH185" s="2">
        <f t="shared" si="129"/>
        <v>48</v>
      </c>
      <c r="BK185" s="3"/>
      <c r="BL185" s="2" t="str">
        <f>CONCATENATE(
ROUND(BI185*VLOOKUP(L185,'ID Scheme'!$A$2:$E$7,3),0), "x",
ROUND(BJ185*VLOOKUP(L185,'ID Scheme'!$A$2:$E$7,5),0), "x",
ROUND(BK185*VLOOKUP(L185,'ID Scheme'!$A$2:$E$7,4),0))</f>
        <v>0x0x0</v>
      </c>
      <c r="BM185" t="s">
        <v>118</v>
      </c>
    </row>
    <row r="186" spans="1:65" x14ac:dyDescent="0.35">
      <c r="A186" t="s">
        <v>109</v>
      </c>
      <c r="B186" t="s">
        <v>251</v>
      </c>
      <c r="C186" t="s">
        <v>285</v>
      </c>
      <c r="D186">
        <f>IF(H186 &gt; 2020, ((H186-2020)*4)+1610+J186,IF(H186 &gt; 1900, ((H186-1900)*10)+400+J186, ((H186-1730)*2)+J186))+VLOOKUP(L186,'ID Scheme'!$A$2:$B$7,2, FALSE)</f>
        <v>9011</v>
      </c>
      <c r="F186">
        <v>9011</v>
      </c>
      <c r="G186" t="s">
        <v>683</v>
      </c>
      <c r="H186">
        <v>1901</v>
      </c>
      <c r="I186">
        <v>1</v>
      </c>
      <c r="J186">
        <v>1</v>
      </c>
      <c r="K186" t="s">
        <v>521</v>
      </c>
      <c r="L186" t="s">
        <v>104</v>
      </c>
      <c r="M186" t="s">
        <v>503</v>
      </c>
      <c r="N186">
        <v>25</v>
      </c>
      <c r="O186">
        <v>35</v>
      </c>
      <c r="P186">
        <v>32</v>
      </c>
      <c r="Q186">
        <v>7</v>
      </c>
      <c r="R186">
        <v>7.5</v>
      </c>
      <c r="S186">
        <v>60</v>
      </c>
      <c r="T186">
        <v>20</v>
      </c>
      <c r="U186">
        <v>58</v>
      </c>
      <c r="V186">
        <v>1</v>
      </c>
      <c r="W186" t="s">
        <v>365</v>
      </c>
      <c r="X186">
        <v>0</v>
      </c>
      <c r="Y186" s="2" t="s">
        <v>434</v>
      </c>
      <c r="Z186" s="2"/>
      <c r="AA186" s="2"/>
      <c r="AB186" s="2"/>
      <c r="AC186" s="2"/>
      <c r="AD186" s="2"/>
      <c r="AE186" s="2"/>
      <c r="AF186" s="2"/>
      <c r="AG186" s="2"/>
      <c r="AH186" s="2"/>
      <c r="AI186" s="2"/>
      <c r="AJ186" s="2"/>
      <c r="AR186">
        <v>8</v>
      </c>
      <c r="AS186">
        <v>1</v>
      </c>
      <c r="AX186" s="2">
        <f>(SQRT(N186*U186)*POWER((MIN(P186,20)+SQRT(MAX(P186-20,0))),0.9)*Data!$B$1)*(1-(V186-1))</f>
        <v>48.877479495040532</v>
      </c>
      <c r="AY186" s="2"/>
      <c r="AZ186" s="2">
        <f>((POWER((N186*N186*U186), 0.33)*LOG10(S186)*10*Data!$B$1)*V186)+AY186</f>
        <v>42.618838192592996</v>
      </c>
      <c r="BA186" s="2">
        <f t="shared" si="130"/>
        <v>20.161290322580644</v>
      </c>
      <c r="BB186" s="2">
        <f t="shared" ref="BB186:BB202" si="139">AK186/1.24</f>
        <v>0</v>
      </c>
      <c r="BE186" s="2">
        <v>1</v>
      </c>
      <c r="BF186" s="2">
        <v>1</v>
      </c>
      <c r="BG186" s="2">
        <f t="shared" si="131"/>
        <v>58</v>
      </c>
      <c r="BH186" s="2">
        <f t="shared" si="129"/>
        <v>58</v>
      </c>
      <c r="BK186" s="3"/>
      <c r="BL186" s="2" t="str">
        <f>CONCATENATE(
ROUND(BI186*VLOOKUP(L186,'ID Scheme'!$A$2:$E$7,3),0), "x",
ROUND(BJ186*VLOOKUP(L186,'ID Scheme'!$A$2:$E$7,5),0), "x",
ROUND(BK186*VLOOKUP(L186,'ID Scheme'!$A$2:$E$7,4),0))</f>
        <v>0x0x0</v>
      </c>
      <c r="BM186" t="s">
        <v>125</v>
      </c>
    </row>
    <row r="187" spans="1:65" x14ac:dyDescent="0.35">
      <c r="A187" t="s">
        <v>119</v>
      </c>
      <c r="B187" t="s">
        <v>255</v>
      </c>
      <c r="C187" t="s">
        <v>291</v>
      </c>
      <c r="D187">
        <f>IF(H187 &gt; 2020, ((H187-2020)*4)+1610+J187,IF(H187 &gt; 1900, ((H187-1900)*10)+400+J187, ((H187-1730)*2)+J187))+VLOOKUP(L187,'ID Scheme'!$A$2:$B$7,2, FALSE)</f>
        <v>9111</v>
      </c>
      <c r="F187">
        <v>9111</v>
      </c>
      <c r="G187" t="s">
        <v>683</v>
      </c>
      <c r="H187">
        <v>1911</v>
      </c>
      <c r="I187">
        <v>1</v>
      </c>
      <c r="J187">
        <v>1</v>
      </c>
      <c r="K187" t="s">
        <v>521</v>
      </c>
      <c r="L187" t="s">
        <v>104</v>
      </c>
      <c r="M187" t="s">
        <v>503</v>
      </c>
      <c r="N187">
        <v>22</v>
      </c>
      <c r="O187">
        <v>30</v>
      </c>
      <c r="P187">
        <v>30</v>
      </c>
      <c r="Q187">
        <v>12</v>
      </c>
      <c r="R187">
        <v>6</v>
      </c>
      <c r="S187">
        <v>105</v>
      </c>
      <c r="T187">
        <v>20</v>
      </c>
      <c r="U187">
        <v>68</v>
      </c>
      <c r="V187">
        <v>1</v>
      </c>
      <c r="W187" t="s">
        <v>365</v>
      </c>
      <c r="X187">
        <v>0</v>
      </c>
      <c r="Y187" s="2" t="s">
        <v>415</v>
      </c>
      <c r="Z187" s="2"/>
      <c r="AA187" s="2"/>
      <c r="AB187" s="2"/>
      <c r="AC187" s="2"/>
      <c r="AD187" s="2"/>
      <c r="AE187" s="2"/>
      <c r="AF187" s="2"/>
      <c r="AG187" s="2"/>
      <c r="AH187" s="2"/>
      <c r="AI187" s="2"/>
      <c r="AJ187" s="2"/>
      <c r="AR187">
        <v>8</v>
      </c>
      <c r="AS187">
        <v>1</v>
      </c>
      <c r="AX187" s="2">
        <f>(SQRT(N187*U187)*POWER((MIN(P187,20)+SQRT(MAX(P187-20,0))),0.9)*Data!$B$1)*(1-(V187-1))</f>
        <v>49.071597593682917</v>
      </c>
      <c r="AY187" s="2"/>
      <c r="AZ187" s="2">
        <f>((POWER((N187*N187*U187), 0.33)*LOG10(S187)*10*Data!$B$1)*V187)+AY187</f>
        <v>46.924014917422397</v>
      </c>
      <c r="BA187" s="2">
        <f t="shared" si="130"/>
        <v>17.741935483870968</v>
      </c>
      <c r="BB187" s="2">
        <f t="shared" si="139"/>
        <v>0</v>
      </c>
      <c r="BE187" s="2">
        <v>1</v>
      </c>
      <c r="BF187" s="2">
        <v>1</v>
      </c>
      <c r="BG187" s="2">
        <f t="shared" si="131"/>
        <v>68</v>
      </c>
      <c r="BH187" s="2">
        <f t="shared" si="129"/>
        <v>68</v>
      </c>
      <c r="BK187" s="3"/>
      <c r="BL187" s="2" t="str">
        <f>CONCATENATE(
ROUND(BI187*VLOOKUP(L187,'ID Scheme'!$A$2:$E$7,3),0), "x",
ROUND(BJ187*VLOOKUP(L187,'ID Scheme'!$A$2:$E$7,5),0), "x",
ROUND(BK187*VLOOKUP(L187,'ID Scheme'!$A$2:$E$7,4),0))</f>
        <v>0x0x0</v>
      </c>
      <c r="BM187" t="s">
        <v>82</v>
      </c>
    </row>
    <row r="188" spans="1:65" x14ac:dyDescent="0.35">
      <c r="A188" t="s">
        <v>110</v>
      </c>
      <c r="B188" t="s">
        <v>219</v>
      </c>
      <c r="C188" t="s">
        <v>285</v>
      </c>
      <c r="D188">
        <f>IF(H188 &gt; 2020, ((H188-2020)*4)+1610+J188,IF(H188 &gt; 1900, ((H188-1900)*10)+400+J188, ((H188-1730)*2)+J188))+VLOOKUP(L188,'ID Scheme'!$A$2:$B$7,2, FALSE)</f>
        <v>9231</v>
      </c>
      <c r="F188">
        <v>9231</v>
      </c>
      <c r="G188" t="s">
        <v>683</v>
      </c>
      <c r="H188">
        <v>1923</v>
      </c>
      <c r="I188">
        <v>1</v>
      </c>
      <c r="J188">
        <v>1</v>
      </c>
      <c r="K188" t="s">
        <v>521</v>
      </c>
      <c r="L188" t="s">
        <v>104</v>
      </c>
      <c r="M188" t="s">
        <v>503</v>
      </c>
      <c r="N188">
        <v>30</v>
      </c>
      <c r="O188">
        <v>38</v>
      </c>
      <c r="P188">
        <v>50</v>
      </c>
      <c r="Q188">
        <v>9</v>
      </c>
      <c r="R188">
        <v>9</v>
      </c>
      <c r="S188">
        <v>80</v>
      </c>
      <c r="T188">
        <v>20</v>
      </c>
      <c r="U188">
        <v>78</v>
      </c>
      <c r="V188">
        <v>1</v>
      </c>
      <c r="W188" t="s">
        <v>365</v>
      </c>
      <c r="X188">
        <v>0</v>
      </c>
      <c r="Y188" s="2" t="s">
        <v>433</v>
      </c>
      <c r="Z188" s="2"/>
      <c r="AA188" s="2"/>
      <c r="AB188" s="2"/>
      <c r="AC188" s="2"/>
      <c r="AD188" s="2"/>
      <c r="AE188" s="2"/>
      <c r="AF188" s="2"/>
      <c r="AG188" s="2"/>
      <c r="AH188" s="2">
        <v>1</v>
      </c>
      <c r="AI188" s="2"/>
      <c r="AJ188" s="2"/>
      <c r="AR188">
        <v>8</v>
      </c>
      <c r="AS188">
        <v>1</v>
      </c>
      <c r="AX188" s="2">
        <f>(SQRT(N188*U188)*POWER((MIN(P188,20)+SQRT(MAX(P188-20,0))),0.9)*Data!$B$1)*(1-(V188-1))</f>
        <v>66.866118123314507</v>
      </c>
      <c r="AY188" s="2"/>
      <c r="AZ188" s="2">
        <f>((POWER((N188*N188*U188), 0.33)*LOG10(S188)*10*Data!$B$1)*V188)+AY188</f>
        <v>56.729876046306018</v>
      </c>
      <c r="BA188" s="2">
        <f t="shared" si="130"/>
        <v>24.193548387096776</v>
      </c>
      <c r="BB188" s="2">
        <f t="shared" si="139"/>
        <v>0</v>
      </c>
      <c r="BE188" s="2">
        <v>1</v>
      </c>
      <c r="BF188" s="2">
        <v>1</v>
      </c>
      <c r="BG188" s="2">
        <f t="shared" si="131"/>
        <v>78</v>
      </c>
      <c r="BH188" s="2">
        <f t="shared" si="129"/>
        <v>78</v>
      </c>
      <c r="BK188" s="3"/>
      <c r="BL188" s="2" t="str">
        <f>CONCATENATE(
ROUND(BI188*VLOOKUP(L188,'ID Scheme'!$A$2:$E$7,3),0), "x",
ROUND(BJ188*VLOOKUP(L188,'ID Scheme'!$A$2:$E$7,5),0), "x",
ROUND(BK188*VLOOKUP(L188,'ID Scheme'!$A$2:$E$7,4),0))</f>
        <v>0x0x0</v>
      </c>
    </row>
    <row r="189" spans="1:65" x14ac:dyDescent="0.35">
      <c r="A189" t="s">
        <v>120</v>
      </c>
      <c r="B189" t="s">
        <v>240</v>
      </c>
      <c r="C189" t="s">
        <v>285</v>
      </c>
      <c r="D189">
        <f>IF(H189 &gt; 2020, ((H189-2020)*4)+1610+J189,IF(H189 &gt; 1900, ((H189-1900)*10)+400+J189, ((H189-1730)*2)+J189))+VLOOKUP(L189,'ID Scheme'!$A$2:$B$7,2, FALSE)</f>
        <v>9341</v>
      </c>
      <c r="F189">
        <v>9341</v>
      </c>
      <c r="G189" t="s">
        <v>683</v>
      </c>
      <c r="H189">
        <v>1934</v>
      </c>
      <c r="I189">
        <v>1</v>
      </c>
      <c r="J189">
        <v>1</v>
      </c>
      <c r="K189" t="s">
        <v>521</v>
      </c>
      <c r="L189" t="s">
        <v>104</v>
      </c>
      <c r="M189" t="s">
        <v>503</v>
      </c>
      <c r="N189">
        <v>35</v>
      </c>
      <c r="O189">
        <v>40</v>
      </c>
      <c r="P189">
        <v>55</v>
      </c>
      <c r="Q189">
        <v>11</v>
      </c>
      <c r="R189">
        <v>11</v>
      </c>
      <c r="S189">
        <v>114</v>
      </c>
      <c r="T189">
        <v>20</v>
      </c>
      <c r="U189">
        <v>92</v>
      </c>
      <c r="V189">
        <v>1</v>
      </c>
      <c r="W189" t="s">
        <v>365</v>
      </c>
      <c r="X189">
        <v>0</v>
      </c>
      <c r="Y189" s="2" t="s">
        <v>416</v>
      </c>
      <c r="Z189" s="2"/>
      <c r="AA189" s="2"/>
      <c r="AB189" s="2"/>
      <c r="AC189" s="2"/>
      <c r="AD189" s="2"/>
      <c r="AE189" s="2"/>
      <c r="AF189" s="2"/>
      <c r="AG189" s="2"/>
      <c r="AH189" s="2"/>
      <c r="AI189" s="2"/>
      <c r="AJ189" s="2"/>
      <c r="AR189">
        <v>8</v>
      </c>
      <c r="AS189">
        <v>1</v>
      </c>
      <c r="AX189" s="2">
        <f>(SQRT(N189*U189)*POWER((MIN(P189,20)+SQRT(MAX(P189-20,0))),0.9)*Data!$B$1)*(1-(V189-1))</f>
        <v>79.652897151473837</v>
      </c>
      <c r="AY189" s="2"/>
      <c r="AZ189" s="2">
        <f>((POWER((N189*N189*U189), 0.33)*LOG10(S189)*10*Data!$B$1)*V189)+AY189</f>
        <v>71.682040289630535</v>
      </c>
      <c r="BA189" s="2">
        <f t="shared" si="130"/>
        <v>28.225806451612904</v>
      </c>
      <c r="BB189" s="2">
        <f t="shared" si="139"/>
        <v>0</v>
      </c>
      <c r="BE189" s="2">
        <v>1</v>
      </c>
      <c r="BF189" s="2">
        <v>1</v>
      </c>
      <c r="BG189" s="2">
        <f t="shared" si="131"/>
        <v>92</v>
      </c>
      <c r="BH189" s="2">
        <f t="shared" si="129"/>
        <v>92</v>
      </c>
      <c r="BK189" s="3"/>
      <c r="BL189" s="2" t="str">
        <f>CONCATENATE(
ROUND(BI189*VLOOKUP(L189,'ID Scheme'!$A$2:$E$7,3),0), "x",
ROUND(BJ189*VLOOKUP(L189,'ID Scheme'!$A$2:$E$7,5),0), "x",
ROUND(BK189*VLOOKUP(L189,'ID Scheme'!$A$2:$E$7,4),0))</f>
        <v>0x0x0</v>
      </c>
      <c r="BM189" t="s">
        <v>121</v>
      </c>
    </row>
    <row r="190" spans="1:65" x14ac:dyDescent="0.35">
      <c r="A190" t="s">
        <v>107</v>
      </c>
      <c r="B190" t="s">
        <v>244</v>
      </c>
      <c r="C190" t="s">
        <v>285</v>
      </c>
      <c r="D190">
        <f>IF(H190 &gt; 2020, ((H190-2020)*4)+1610+J190,IF(H190 &gt; 1900, ((H190-1900)*10)+400+J190, ((H190-1730)*2)+J190))+VLOOKUP(L190,'ID Scheme'!$A$2:$B$7,2, FALSE)</f>
        <v>9521</v>
      </c>
      <c r="F190">
        <v>9521</v>
      </c>
      <c r="G190" t="s">
        <v>683</v>
      </c>
      <c r="H190">
        <v>1952</v>
      </c>
      <c r="I190">
        <v>1</v>
      </c>
      <c r="J190">
        <v>1</v>
      </c>
      <c r="K190" t="s">
        <v>521</v>
      </c>
      <c r="L190" t="s">
        <v>104</v>
      </c>
      <c r="M190" t="s">
        <v>503</v>
      </c>
      <c r="N190">
        <v>40</v>
      </c>
      <c r="O190">
        <v>20</v>
      </c>
      <c r="P190">
        <v>35</v>
      </c>
      <c r="Q190">
        <v>11</v>
      </c>
      <c r="R190">
        <v>12</v>
      </c>
      <c r="S190">
        <v>180</v>
      </c>
      <c r="T190">
        <v>28</v>
      </c>
      <c r="U190">
        <v>56</v>
      </c>
      <c r="V190">
        <v>1.1000000000000001</v>
      </c>
      <c r="W190" t="s">
        <v>365</v>
      </c>
      <c r="X190">
        <v>0</v>
      </c>
      <c r="Y190" s="2" t="s">
        <v>417</v>
      </c>
      <c r="Z190" s="2"/>
      <c r="AA190" s="2"/>
      <c r="AB190" s="2"/>
      <c r="AC190" s="2"/>
      <c r="AD190" s="2"/>
      <c r="AE190" s="2"/>
      <c r="AF190" s="2"/>
      <c r="AG190" s="2"/>
      <c r="AH190" s="2"/>
      <c r="AI190" s="2"/>
      <c r="AJ190" s="2"/>
      <c r="AR190">
        <v>8</v>
      </c>
      <c r="AS190">
        <v>1</v>
      </c>
      <c r="AX190" s="2">
        <f>(SQRT(N190*U190)*POWER((MIN(P190,20)+SQRT(MAX(P190-20,0))),0.9)*Data!$B$1)*(1-(V190-1))</f>
        <v>55.532062985015898</v>
      </c>
      <c r="AY190" s="2"/>
      <c r="AZ190" s="2">
        <f>((POWER((N190*N190*U190), 0.33)*LOG10(S190)*10*Data!$B$1)*V190)+AY190</f>
        <v>80.152046772075309</v>
      </c>
      <c r="BA190" s="2">
        <f t="shared" si="130"/>
        <v>32.258064516129032</v>
      </c>
      <c r="BB190" s="2">
        <f t="shared" si="139"/>
        <v>0</v>
      </c>
      <c r="BE190" s="2">
        <v>1</v>
      </c>
      <c r="BF190" s="2">
        <v>1</v>
      </c>
      <c r="BG190" s="2">
        <f t="shared" si="131"/>
        <v>56</v>
      </c>
      <c r="BH190" s="2">
        <f t="shared" si="129"/>
        <v>56</v>
      </c>
      <c r="BK190" s="3"/>
      <c r="BL190" s="2" t="str">
        <f>CONCATENATE(
ROUND(BI190*VLOOKUP(L190,'ID Scheme'!$A$2:$E$7,3),0), "x",
ROUND(BJ190*VLOOKUP(L190,'ID Scheme'!$A$2:$E$7,5),0), "x",
ROUND(BK190*VLOOKUP(L190,'ID Scheme'!$A$2:$E$7,4),0))</f>
        <v>0x0x0</v>
      </c>
      <c r="BM190" t="s">
        <v>123</v>
      </c>
    </row>
    <row r="191" spans="1:65" x14ac:dyDescent="0.35">
      <c r="A191" t="s">
        <v>132</v>
      </c>
      <c r="B191" t="s">
        <v>254</v>
      </c>
      <c r="C191" t="s">
        <v>324</v>
      </c>
      <c r="D191">
        <f>IF(H191 &gt; 2020, ((H191-2020)*4)+1610+J191,IF(H191 &gt; 1900, ((H191-1900)*10)+400+J191, ((H191-1730)*2)+J191))+VLOOKUP(L191,'ID Scheme'!$A$2:$B$7,2, FALSE)</f>
        <v>9601</v>
      </c>
      <c r="F191">
        <v>9601</v>
      </c>
      <c r="G191" t="s">
        <v>683</v>
      </c>
      <c r="H191">
        <v>1960</v>
      </c>
      <c r="I191">
        <v>1</v>
      </c>
      <c r="J191">
        <v>1</v>
      </c>
      <c r="K191" t="s">
        <v>521</v>
      </c>
      <c r="L191" t="s">
        <v>104</v>
      </c>
      <c r="M191" t="s">
        <v>503</v>
      </c>
      <c r="N191">
        <v>36</v>
      </c>
      <c r="O191">
        <v>30</v>
      </c>
      <c r="P191">
        <v>40</v>
      </c>
      <c r="Q191">
        <v>12</v>
      </c>
      <c r="R191">
        <v>15</v>
      </c>
      <c r="S191">
        <v>114</v>
      </c>
      <c r="T191">
        <v>20</v>
      </c>
      <c r="U191">
        <v>122</v>
      </c>
      <c r="V191">
        <v>1</v>
      </c>
      <c r="W191" t="s">
        <v>365</v>
      </c>
      <c r="X191">
        <v>0</v>
      </c>
      <c r="Y191" s="2" t="s">
        <v>418</v>
      </c>
      <c r="Z191" s="2"/>
      <c r="AA191" s="2"/>
      <c r="AB191" s="2"/>
      <c r="AC191" s="2"/>
      <c r="AD191" s="2"/>
      <c r="AE191" s="2"/>
      <c r="AF191" s="2"/>
      <c r="AG191" s="2"/>
      <c r="AH191" s="2"/>
      <c r="AI191" s="2"/>
      <c r="AJ191" s="2"/>
      <c r="AL191" t="s">
        <v>372</v>
      </c>
      <c r="AM191">
        <v>1</v>
      </c>
      <c r="AN191" t="s">
        <v>374</v>
      </c>
      <c r="AO191" t="s">
        <v>372</v>
      </c>
      <c r="AP191" t="s">
        <v>375</v>
      </c>
      <c r="AQ191" t="s">
        <v>549</v>
      </c>
      <c r="AR191">
        <v>8</v>
      </c>
      <c r="AS191">
        <v>1</v>
      </c>
      <c r="AX191" s="2">
        <f>(SQRT(N191*U191)*POWER((MIN(P191,20)+SQRT(MAX(P191-20,0))),0.9)*Data!$B$1)*(1-(V191-1))</f>
        <v>88.348080485686708</v>
      </c>
      <c r="AY191" s="2"/>
      <c r="AZ191" s="2">
        <f>((POWER((N191*N191*U191), 0.33)*LOG10(S191)*10*Data!$B$1)*V191)+AY191</f>
        <v>80.155598368589864</v>
      </c>
      <c r="BA191" s="2">
        <f t="shared" ref="BA191:BA202" si="140">N191/1.24</f>
        <v>29.032258064516128</v>
      </c>
      <c r="BB191" s="2">
        <f t="shared" si="139"/>
        <v>0</v>
      </c>
      <c r="BC191" s="2">
        <v>2</v>
      </c>
      <c r="BE191" s="2">
        <v>2</v>
      </c>
      <c r="BF191" s="2">
        <v>2</v>
      </c>
      <c r="BG191" s="2">
        <f t="shared" ref="BG191:BG202" si="141">U191/BF191</f>
        <v>61</v>
      </c>
      <c r="BH191" s="2">
        <f t="shared" si="129"/>
        <v>122</v>
      </c>
      <c r="BK191" s="3"/>
      <c r="BL191" s="2" t="str">
        <f>CONCATENATE(
ROUND(BI191*VLOOKUP(L191,'ID Scheme'!$A$2:$E$7,3),0), "x",
ROUND(BJ191*VLOOKUP(L191,'ID Scheme'!$A$2:$E$7,5),0), "x",
ROUND(BK191*VLOOKUP(L191,'ID Scheme'!$A$2:$E$7,4),0))</f>
        <v>0x0x0</v>
      </c>
      <c r="BM191" t="s">
        <v>122</v>
      </c>
    </row>
    <row r="192" spans="1:65" x14ac:dyDescent="0.35">
      <c r="A192" t="s">
        <v>112</v>
      </c>
      <c r="B192" t="s">
        <v>205</v>
      </c>
      <c r="C192" t="s">
        <v>285</v>
      </c>
      <c r="D192">
        <f>IF(H192 &gt; 2020, ((H192-2020)*4)+1610+J192,IF(H192 &gt; 1900, ((H192-1900)*10)+400+J192, ((H192-1730)*2)+J192))+VLOOKUP(L192,'ID Scheme'!$A$2:$B$7,2, FALSE)</f>
        <v>9791</v>
      </c>
      <c r="F192">
        <v>9791</v>
      </c>
      <c r="G192" t="s">
        <v>683</v>
      </c>
      <c r="H192">
        <v>1979</v>
      </c>
      <c r="I192">
        <v>6</v>
      </c>
      <c r="J192">
        <v>1</v>
      </c>
      <c r="K192" t="s">
        <v>521</v>
      </c>
      <c r="L192" t="s">
        <v>104</v>
      </c>
      <c r="M192" t="s">
        <v>503</v>
      </c>
      <c r="N192">
        <v>40</v>
      </c>
      <c r="O192">
        <v>25</v>
      </c>
      <c r="P192">
        <v>35</v>
      </c>
      <c r="Q192">
        <v>11</v>
      </c>
      <c r="R192">
        <v>12</v>
      </c>
      <c r="S192">
        <v>114</v>
      </c>
      <c r="T192">
        <v>20</v>
      </c>
      <c r="U192">
        <v>108</v>
      </c>
      <c r="V192">
        <v>1</v>
      </c>
      <c r="W192" t="s">
        <v>365</v>
      </c>
      <c r="X192">
        <v>0</v>
      </c>
      <c r="Y192" s="2" t="s">
        <v>419</v>
      </c>
      <c r="Z192" s="2"/>
      <c r="AA192" s="2"/>
      <c r="AB192" s="2"/>
      <c r="AC192" s="2"/>
      <c r="AD192" s="2"/>
      <c r="AE192" s="2"/>
      <c r="AF192" s="2"/>
      <c r="AG192" s="2"/>
      <c r="AH192" s="2"/>
      <c r="AI192" s="2"/>
      <c r="AJ192" s="2"/>
      <c r="AR192">
        <v>8</v>
      </c>
      <c r="AS192">
        <v>1</v>
      </c>
      <c r="AX192" s="2">
        <f>(SQRT(N192*U192)*POWER((MIN(P192,20)+SQRT(MAX(P192-20,0))),0.9)*Data!$B$1)*(1-(V192-1))</f>
        <v>85.687833488938395</v>
      </c>
      <c r="AY192" s="2"/>
      <c r="AZ192" s="2">
        <f>((POWER((N192*N192*U192), 0.33)*LOG10(S192)*10*Data!$B$1)*V192)+AY192</f>
        <v>82.540082660234276</v>
      </c>
      <c r="BA192" s="2">
        <f t="shared" si="140"/>
        <v>32.258064516129032</v>
      </c>
      <c r="BB192" s="2">
        <f t="shared" si="139"/>
        <v>0</v>
      </c>
      <c r="BE192" s="2">
        <v>1</v>
      </c>
      <c r="BF192" s="2">
        <v>1</v>
      </c>
      <c r="BG192" s="2">
        <f t="shared" si="141"/>
        <v>108</v>
      </c>
      <c r="BH192" s="2">
        <f t="shared" si="129"/>
        <v>108</v>
      </c>
      <c r="BK192" s="3"/>
      <c r="BL192" s="2" t="str">
        <f>CONCATENATE(
ROUND(BI192*VLOOKUP(L192,'ID Scheme'!$A$2:$E$7,3),0), "x",
ROUND(BJ192*VLOOKUP(L192,'ID Scheme'!$A$2:$E$7,5),0), "x",
ROUND(BK192*VLOOKUP(L192,'ID Scheme'!$A$2:$E$7,4),0))</f>
        <v>0x0x0</v>
      </c>
      <c r="BM192" t="s">
        <v>121</v>
      </c>
    </row>
    <row r="193" spans="1:65" x14ac:dyDescent="0.35">
      <c r="A193" t="s">
        <v>113</v>
      </c>
      <c r="B193" t="s">
        <v>242</v>
      </c>
      <c r="C193" t="s">
        <v>285</v>
      </c>
      <c r="D193">
        <f>IF(H193 &gt; 2020, ((H193-2020)*4)+1610+J193,IF(H193 &gt; 1900, ((H193-1900)*10)+400+J193, ((H193-1730)*2)+J193))+VLOOKUP(L193,'ID Scheme'!$A$2:$B$7,2, FALSE)</f>
        <v>9841</v>
      </c>
      <c r="F193">
        <v>9841</v>
      </c>
      <c r="G193" t="s">
        <v>683</v>
      </c>
      <c r="H193">
        <v>1984</v>
      </c>
      <c r="I193">
        <v>1</v>
      </c>
      <c r="J193">
        <v>1</v>
      </c>
      <c r="K193" t="s">
        <v>521</v>
      </c>
      <c r="L193" t="s">
        <v>104</v>
      </c>
      <c r="M193" t="s">
        <v>503</v>
      </c>
      <c r="N193">
        <v>43</v>
      </c>
      <c r="O193">
        <v>30</v>
      </c>
      <c r="P193">
        <v>40</v>
      </c>
      <c r="Q193">
        <v>10</v>
      </c>
      <c r="R193">
        <v>8</v>
      </c>
      <c r="S193">
        <v>114</v>
      </c>
      <c r="T193">
        <v>20</v>
      </c>
      <c r="U193">
        <v>70</v>
      </c>
      <c r="V193">
        <v>1</v>
      </c>
      <c r="W193" t="s">
        <v>365</v>
      </c>
      <c r="X193">
        <v>0</v>
      </c>
      <c r="Y193" s="2" t="s">
        <v>420</v>
      </c>
      <c r="Z193" s="2"/>
      <c r="AA193" s="2"/>
      <c r="AB193" s="2"/>
      <c r="AC193" s="2"/>
      <c r="AD193" s="2"/>
      <c r="AE193" s="2"/>
      <c r="AF193" s="2"/>
      <c r="AG193" s="2"/>
      <c r="AH193" s="2"/>
      <c r="AI193" s="2"/>
      <c r="AJ193" s="2"/>
      <c r="AR193">
        <v>8</v>
      </c>
      <c r="AS193">
        <v>1</v>
      </c>
      <c r="AX193" s="2">
        <f>(SQRT(N193*U193)*POWER((MIN(P193,20)+SQRT(MAX(P193-20,0))),0.9)*Data!$B$1)*(1-(V193-1))</f>
        <v>73.139030669847884</v>
      </c>
      <c r="AY193" s="2"/>
      <c r="AZ193" s="2">
        <f>((POWER((N193*N193*U193), 0.33)*LOG10(S193)*10*Data!$B$1)*V193)+AY193</f>
        <v>75.032082395822727</v>
      </c>
      <c r="BA193" s="2">
        <f t="shared" si="140"/>
        <v>34.677419354838712</v>
      </c>
      <c r="BB193" s="2">
        <f t="shared" si="139"/>
        <v>0</v>
      </c>
      <c r="BE193" s="2">
        <v>1</v>
      </c>
      <c r="BF193" s="2">
        <v>1</v>
      </c>
      <c r="BG193" s="2">
        <f t="shared" si="141"/>
        <v>70</v>
      </c>
      <c r="BH193" s="2">
        <f t="shared" si="129"/>
        <v>70</v>
      </c>
      <c r="BK193" s="3"/>
      <c r="BL193" s="2" t="str">
        <f>CONCATENATE(
ROUND(BI193*VLOOKUP(L193,'ID Scheme'!$A$2:$E$7,3),0), "x",
ROUND(BJ193*VLOOKUP(L193,'ID Scheme'!$A$2:$E$7,5),0), "x",
ROUND(BK193*VLOOKUP(L193,'ID Scheme'!$A$2:$E$7,4),0))</f>
        <v>0x0x0</v>
      </c>
      <c r="BM193" t="s">
        <v>121</v>
      </c>
    </row>
    <row r="194" spans="1:65" x14ac:dyDescent="0.35">
      <c r="A194" t="s">
        <v>114</v>
      </c>
      <c r="B194" t="s">
        <v>246</v>
      </c>
      <c r="C194" t="s">
        <v>324</v>
      </c>
      <c r="D194">
        <f>IF(H194 &gt; 2020, ((H194-2020)*4)+1610+J194,IF(H194 &gt; 1900, ((H194-1900)*10)+400+J194, ((H194-1730)*2)+J194))+VLOOKUP(L194,'ID Scheme'!$A$2:$B$7,2, FALSE)</f>
        <v>9871</v>
      </c>
      <c r="E194">
        <v>9872</v>
      </c>
      <c r="F194">
        <v>9872</v>
      </c>
      <c r="G194" t="s">
        <v>683</v>
      </c>
      <c r="H194">
        <v>1987</v>
      </c>
      <c r="I194">
        <v>1</v>
      </c>
      <c r="J194">
        <v>1</v>
      </c>
      <c r="K194" t="s">
        <v>521</v>
      </c>
      <c r="L194" t="s">
        <v>104</v>
      </c>
      <c r="M194" t="s">
        <v>503</v>
      </c>
      <c r="N194">
        <v>40</v>
      </c>
      <c r="O194">
        <v>28</v>
      </c>
      <c r="P194">
        <v>25</v>
      </c>
      <c r="Q194">
        <v>14</v>
      </c>
      <c r="R194">
        <v>36</v>
      </c>
      <c r="S194">
        <v>375</v>
      </c>
      <c r="T194">
        <v>20</v>
      </c>
      <c r="U194">
        <v>288</v>
      </c>
      <c r="V194">
        <v>1</v>
      </c>
      <c r="W194" t="s">
        <v>365</v>
      </c>
      <c r="X194">
        <v>0</v>
      </c>
      <c r="Y194" s="2" t="s">
        <v>424</v>
      </c>
      <c r="Z194" s="2"/>
      <c r="AA194" s="2"/>
      <c r="AB194" s="2"/>
      <c r="AC194" s="2"/>
      <c r="AD194" s="2"/>
      <c r="AE194" s="2"/>
      <c r="AF194" s="2"/>
      <c r="AG194" s="2"/>
      <c r="AH194" s="2"/>
      <c r="AI194" s="2"/>
      <c r="AJ194" s="2"/>
      <c r="AL194" t="s">
        <v>372</v>
      </c>
      <c r="AM194" t="s">
        <v>706</v>
      </c>
      <c r="AN194" t="s">
        <v>376</v>
      </c>
      <c r="AO194" t="s">
        <v>377</v>
      </c>
      <c r="AP194" t="s">
        <v>378</v>
      </c>
      <c r="AQ194" t="s">
        <v>550</v>
      </c>
      <c r="AR194">
        <v>8</v>
      </c>
      <c r="AS194">
        <v>1</v>
      </c>
      <c r="AX194" s="2">
        <f>(SQRT(N194*U194)*POWER((MIN(P194,20)+SQRT(MAX(P194-20,0))),0.9)*Data!$B$1)*(1-(V194-1))</f>
        <v>131.26220536954463</v>
      </c>
      <c r="AY194" s="2"/>
      <c r="AZ194" s="2">
        <f>((POWER((N194*N194*U194), 0.33)*LOG10(S194)*10*Data!$B$1)*V194)+AY194</f>
        <v>142.76909177605549</v>
      </c>
      <c r="BA194" s="2">
        <f t="shared" ref="BA194:BA195" si="142">N194/1.24</f>
        <v>32.258064516129032</v>
      </c>
      <c r="BB194" s="2">
        <f t="shared" ref="BB194:BB195" si="143">AK194/1.24</f>
        <v>0</v>
      </c>
      <c r="BC194" s="2">
        <v>4</v>
      </c>
      <c r="BE194" s="2">
        <v>4</v>
      </c>
      <c r="BF194" s="2">
        <v>4</v>
      </c>
      <c r="BG194" s="2">
        <f t="shared" ref="BG194:BG195" si="144">U194/BF194</f>
        <v>72</v>
      </c>
      <c r="BH194" s="2">
        <f t="shared" ref="BH194:BH195" si="145">(U194)/MAX(BE194-(1+BD194), 1)</f>
        <v>96</v>
      </c>
      <c r="BI194">
        <v>28</v>
      </c>
      <c r="BJ194">
        <v>2.65</v>
      </c>
      <c r="BK194" s="3">
        <v>3.47</v>
      </c>
      <c r="BL194" s="2" t="str">
        <f>CONCATENATE(
ROUND(BI194*VLOOKUP(L194,'ID Scheme'!$A$2:$E$7,3),0), "x",
ROUND(BJ194*VLOOKUP(L194,'ID Scheme'!$A$2:$E$7,5),0), "x",
ROUND(BK194*VLOOKUP(L194,'ID Scheme'!$A$2:$E$7,4),0))</f>
        <v>262x38x34</v>
      </c>
      <c r="BM194" t="s">
        <v>128</v>
      </c>
    </row>
    <row r="195" spans="1:65" x14ac:dyDescent="0.35">
      <c r="A195" t="s">
        <v>114</v>
      </c>
      <c r="B195" t="s">
        <v>746</v>
      </c>
      <c r="C195" t="s">
        <v>324</v>
      </c>
      <c r="D195">
        <f>IF(H195 &gt; 2020, ((H195-2020)*4)+1610+J195,IF(H195 &gt; 1900, ((H195-1900)*10)+400+J195, ((H195-1730)*2)+J195))+VLOOKUP(L195,'ID Scheme'!$A$2:$B$7,2, FALSE)</f>
        <v>9872</v>
      </c>
      <c r="F195">
        <v>9871</v>
      </c>
      <c r="G195" t="s">
        <v>683</v>
      </c>
      <c r="H195">
        <v>1987</v>
      </c>
      <c r="I195">
        <v>1</v>
      </c>
      <c r="J195">
        <v>2</v>
      </c>
      <c r="K195" t="s">
        <v>521</v>
      </c>
      <c r="L195" t="s">
        <v>104</v>
      </c>
      <c r="M195" t="s">
        <v>503</v>
      </c>
      <c r="N195">
        <v>40</v>
      </c>
      <c r="O195">
        <v>28</v>
      </c>
      <c r="P195">
        <v>25</v>
      </c>
      <c r="Q195">
        <v>14</v>
      </c>
      <c r="R195">
        <v>18</v>
      </c>
      <c r="S195">
        <v>375</v>
      </c>
      <c r="T195">
        <v>20</v>
      </c>
      <c r="U195">
        <v>144</v>
      </c>
      <c r="V195">
        <v>1</v>
      </c>
      <c r="W195" t="s">
        <v>365</v>
      </c>
      <c r="X195">
        <v>0</v>
      </c>
      <c r="Y195" s="2" t="s">
        <v>424</v>
      </c>
      <c r="Z195" s="2"/>
      <c r="AA195" s="2"/>
      <c r="AB195" s="2"/>
      <c r="AC195" s="2"/>
      <c r="AD195" s="2"/>
      <c r="AE195" s="2"/>
      <c r="AF195" s="2"/>
      <c r="AG195" s="2"/>
      <c r="AH195" s="2"/>
      <c r="AI195" s="2"/>
      <c r="AJ195" s="2"/>
      <c r="AM195" t="s">
        <v>399</v>
      </c>
      <c r="AN195" t="s">
        <v>743</v>
      </c>
      <c r="AO195" t="s">
        <v>372</v>
      </c>
      <c r="AP195" t="s">
        <v>375</v>
      </c>
      <c r="AQ195" t="s">
        <v>741</v>
      </c>
      <c r="AR195">
        <v>8</v>
      </c>
      <c r="AS195">
        <v>1</v>
      </c>
      <c r="AU195" t="s">
        <v>749</v>
      </c>
      <c r="AW195" t="s">
        <v>246</v>
      </c>
      <c r="AX195" s="2">
        <f>(SQRT(N195*U195)*POWER((MIN(P195,20)+SQRT(MAX(P195-20,0))),0.9)*Data!$B$1)*(1-(V195-1))</f>
        <v>92.816395530306266</v>
      </c>
      <c r="AY195" s="2"/>
      <c r="AZ195" s="2">
        <f>((POWER((N195*N195*U195), 0.33)*LOG10(S195)*10*Data!$B$1)*V195)+AY195</f>
        <v>113.57802126040647</v>
      </c>
      <c r="BA195" s="2">
        <f t="shared" si="142"/>
        <v>32.258064516129032</v>
      </c>
      <c r="BB195" s="2">
        <f t="shared" si="143"/>
        <v>0</v>
      </c>
      <c r="BC195" s="2">
        <v>2</v>
      </c>
      <c r="BE195" s="2">
        <v>2</v>
      </c>
      <c r="BF195" s="2">
        <v>2</v>
      </c>
      <c r="BG195" s="2">
        <f t="shared" si="144"/>
        <v>72</v>
      </c>
      <c r="BH195" s="2">
        <f t="shared" si="145"/>
        <v>144</v>
      </c>
      <c r="BI195">
        <v>28</v>
      </c>
      <c r="BJ195">
        <v>2.65</v>
      </c>
      <c r="BK195" s="3">
        <v>3.47</v>
      </c>
      <c r="BL195" s="2" t="str">
        <f>CONCATENATE(
ROUND(BI195*VLOOKUP(L195,'ID Scheme'!$A$2:$E$7,3),0), "x",
ROUND(BJ195*VLOOKUP(L195,'ID Scheme'!$A$2:$E$7,5),0), "x",
ROUND(BK195*VLOOKUP(L195,'ID Scheme'!$A$2:$E$7,4),0))</f>
        <v>262x38x34</v>
      </c>
      <c r="BM195" t="s">
        <v>128</v>
      </c>
    </row>
    <row r="196" spans="1:65" x14ac:dyDescent="0.35">
      <c r="A196" t="s">
        <v>114</v>
      </c>
      <c r="B196" t="s">
        <v>745</v>
      </c>
      <c r="C196" t="s">
        <v>324</v>
      </c>
      <c r="D196">
        <f>IF(H196 &gt; 2020, ((H196-2020)*4)+1610+J196,IF(H196 &gt; 1900, ((H196-1900)*10)+400+J196, ((H196-1730)*2)+J196))+VLOOKUP(L196,'ID Scheme'!$A$2:$B$7,2, FALSE)</f>
        <v>9873</v>
      </c>
      <c r="E196">
        <v>9872</v>
      </c>
      <c r="F196">
        <v>9873</v>
      </c>
      <c r="G196" t="s">
        <v>683</v>
      </c>
      <c r="H196">
        <v>1987</v>
      </c>
      <c r="I196">
        <v>1</v>
      </c>
      <c r="J196">
        <v>3</v>
      </c>
      <c r="K196" t="s">
        <v>521</v>
      </c>
      <c r="L196" t="s">
        <v>104</v>
      </c>
      <c r="M196" t="s">
        <v>503</v>
      </c>
      <c r="N196">
        <v>40</v>
      </c>
      <c r="O196">
        <v>28</v>
      </c>
      <c r="P196">
        <v>25</v>
      </c>
      <c r="Q196">
        <v>14</v>
      </c>
      <c r="R196">
        <v>52</v>
      </c>
      <c r="S196">
        <v>375</v>
      </c>
      <c r="T196">
        <v>20</v>
      </c>
      <c r="U196">
        <v>432</v>
      </c>
      <c r="V196">
        <v>1</v>
      </c>
      <c r="W196" t="s">
        <v>365</v>
      </c>
      <c r="X196">
        <v>0</v>
      </c>
      <c r="Y196" s="2" t="s">
        <v>424</v>
      </c>
      <c r="Z196" s="2"/>
      <c r="AA196" s="2"/>
      <c r="AB196" s="2"/>
      <c r="AC196" s="2"/>
      <c r="AD196" s="2"/>
      <c r="AE196" s="2"/>
      <c r="AF196" s="2"/>
      <c r="AG196" s="2"/>
      <c r="AH196" s="2"/>
      <c r="AI196" s="2"/>
      <c r="AJ196" s="2"/>
      <c r="AM196" t="s">
        <v>400</v>
      </c>
      <c r="AN196" t="s">
        <v>744</v>
      </c>
      <c r="AO196" t="s">
        <v>382</v>
      </c>
      <c r="AP196" t="s">
        <v>383</v>
      </c>
      <c r="AQ196" t="s">
        <v>742</v>
      </c>
      <c r="AR196">
        <v>8</v>
      </c>
      <c r="AS196">
        <v>1</v>
      </c>
      <c r="AU196" t="s">
        <v>749</v>
      </c>
      <c r="AW196" t="s">
        <v>246</v>
      </c>
      <c r="AX196" s="2">
        <f>(SQRT(N196*U196)*POWER((MIN(P196,20)+SQRT(MAX(P196-20,0))),0.9)*Data!$B$1)*(1-(V196-1))</f>
        <v>160.76271283389926</v>
      </c>
      <c r="AY196" s="2"/>
      <c r="AZ196" s="2">
        <f>((POWER((N196*N196*U196), 0.33)*LOG10(S196)*10*Data!$B$1)*V196)+AY196</f>
        <v>163.20907833057998</v>
      </c>
      <c r="BA196" s="2">
        <f t="shared" si="140"/>
        <v>32.258064516129032</v>
      </c>
      <c r="BB196" s="2">
        <f t="shared" si="139"/>
        <v>0</v>
      </c>
      <c r="BC196" s="2">
        <v>6</v>
      </c>
      <c r="BE196" s="2">
        <v>6</v>
      </c>
      <c r="BF196" s="2">
        <v>6</v>
      </c>
      <c r="BG196" s="2">
        <f t="shared" si="141"/>
        <v>72</v>
      </c>
      <c r="BH196" s="2">
        <f t="shared" si="129"/>
        <v>86.4</v>
      </c>
      <c r="BI196">
        <v>28</v>
      </c>
      <c r="BJ196">
        <v>2.65</v>
      </c>
      <c r="BK196" s="3">
        <v>3.47</v>
      </c>
      <c r="BL196" s="2" t="str">
        <f>CONCATENATE(
ROUND(BI196*VLOOKUP(L196,'ID Scheme'!$A$2:$E$7,3),0), "x",
ROUND(BJ196*VLOOKUP(L196,'ID Scheme'!$A$2:$E$7,5),0), "x",
ROUND(BK196*VLOOKUP(L196,'ID Scheme'!$A$2:$E$7,4),0))</f>
        <v>262x38x34</v>
      </c>
      <c r="BM196" t="s">
        <v>128</v>
      </c>
    </row>
    <row r="197" spans="1:65" x14ac:dyDescent="0.35">
      <c r="A197" t="s">
        <v>126</v>
      </c>
      <c r="B197" t="s">
        <v>241</v>
      </c>
      <c r="C197" t="s">
        <v>324</v>
      </c>
      <c r="D197">
        <f>IF(H197 &gt; 2020, ((H197-2020)*4)+1610+J197,IF(H197 &gt; 1900, ((H197-1900)*10)+400+J197, ((H197-1730)*2)+J197))+VLOOKUP(L197,'ID Scheme'!$A$2:$B$7,2, FALSE)</f>
        <v>9981</v>
      </c>
      <c r="F197">
        <v>9981</v>
      </c>
      <c r="G197" t="s">
        <v>683</v>
      </c>
      <c r="H197">
        <v>1998</v>
      </c>
      <c r="I197">
        <v>9</v>
      </c>
      <c r="J197">
        <v>1</v>
      </c>
      <c r="K197" t="s">
        <v>521</v>
      </c>
      <c r="L197" t="s">
        <v>104</v>
      </c>
      <c r="M197" t="s">
        <v>503</v>
      </c>
      <c r="N197">
        <v>50</v>
      </c>
      <c r="O197">
        <v>-1</v>
      </c>
      <c r="P197">
        <v>25</v>
      </c>
      <c r="Q197">
        <v>14</v>
      </c>
      <c r="R197">
        <v>36</v>
      </c>
      <c r="S197">
        <v>480</v>
      </c>
      <c r="T197">
        <v>20</v>
      </c>
      <c r="U197">
        <v>208</v>
      </c>
      <c r="V197">
        <v>1</v>
      </c>
      <c r="W197" t="s">
        <v>365</v>
      </c>
      <c r="X197">
        <v>0</v>
      </c>
      <c r="Y197" s="2" t="s">
        <v>421</v>
      </c>
      <c r="Z197" s="2"/>
      <c r="AA197" s="2"/>
      <c r="AB197" s="2"/>
      <c r="AC197" s="2"/>
      <c r="AD197" s="2"/>
      <c r="AE197" s="2"/>
      <c r="AF197" s="2"/>
      <c r="AG197" s="2"/>
      <c r="AH197" s="2"/>
      <c r="AI197" s="2"/>
      <c r="AJ197" s="2"/>
      <c r="AL197" t="s">
        <v>372</v>
      </c>
      <c r="AM197" t="s">
        <v>380</v>
      </c>
      <c r="AN197" s="5">
        <v>104104</v>
      </c>
      <c r="AO197" t="s">
        <v>372</v>
      </c>
      <c r="AP197" t="s">
        <v>375</v>
      </c>
      <c r="AQ197" t="s">
        <v>551</v>
      </c>
      <c r="AR197">
        <v>8</v>
      </c>
      <c r="AS197">
        <v>1</v>
      </c>
      <c r="AX197" s="2">
        <f>(SQRT(N197*U197)*POWER((MIN(P197,20)+SQRT(MAX(P197-20,0))),0.9)*Data!$B$1)*(1-(V197-1))</f>
        <v>124.71828400555908</v>
      </c>
      <c r="AY197" s="2"/>
      <c r="AZ197" s="2">
        <f>((POWER((N197*N197*U197), 0.33)*LOG10(S197)*10*Data!$B$1)*V197)+AY197</f>
        <v>154.76696175306753</v>
      </c>
      <c r="BA197" s="2">
        <f t="shared" si="140"/>
        <v>40.322580645161288</v>
      </c>
      <c r="BB197" s="2">
        <f t="shared" si="139"/>
        <v>0</v>
      </c>
      <c r="BC197" s="2">
        <v>2</v>
      </c>
      <c r="BE197" s="2">
        <v>2</v>
      </c>
      <c r="BF197" s="2">
        <v>2</v>
      </c>
      <c r="BG197" s="2">
        <f t="shared" si="141"/>
        <v>104</v>
      </c>
      <c r="BH197" s="2">
        <f t="shared" si="129"/>
        <v>208</v>
      </c>
      <c r="BI197">
        <v>30</v>
      </c>
      <c r="BJ197">
        <v>2.65</v>
      </c>
      <c r="BK197" s="3">
        <v>3.67</v>
      </c>
      <c r="BL197" s="2" t="str">
        <f>CONCATENATE(
ROUND(BI197*VLOOKUP(L197,'ID Scheme'!$A$2:$E$7,3),0), "x",
ROUND(BJ197*VLOOKUP(L197,'ID Scheme'!$A$2:$E$7,5),0), "x",
ROUND(BK197*VLOOKUP(L197,'ID Scheme'!$A$2:$E$7,4),0))</f>
        <v>280x38x36</v>
      </c>
      <c r="BM197" t="s">
        <v>127</v>
      </c>
    </row>
    <row r="198" spans="1:65" x14ac:dyDescent="0.35">
      <c r="A198" t="s">
        <v>115</v>
      </c>
      <c r="B198" t="s">
        <v>245</v>
      </c>
      <c r="C198" t="s">
        <v>324</v>
      </c>
      <c r="D198">
        <f>IF(H198 &gt; 2020, ((H198-2020)*4)+1610+J198,IF(H198 &gt; 1900, ((H198-1900)*10)+400+J198, ((H198-1730)*2)+J198))+VLOOKUP(L198,'ID Scheme'!$A$2:$B$7,2, FALSE)</f>
        <v>10082</v>
      </c>
      <c r="E198">
        <v>10083</v>
      </c>
      <c r="F198">
        <v>10082</v>
      </c>
      <c r="G198" t="s">
        <v>683</v>
      </c>
      <c r="H198">
        <v>2008</v>
      </c>
      <c r="I198">
        <v>1</v>
      </c>
      <c r="J198">
        <v>2</v>
      </c>
      <c r="K198" t="s">
        <v>521</v>
      </c>
      <c r="L198" t="s">
        <v>104</v>
      </c>
      <c r="M198" t="s">
        <v>503</v>
      </c>
      <c r="N198">
        <v>62</v>
      </c>
      <c r="O198">
        <v>-1</v>
      </c>
      <c r="P198">
        <v>25</v>
      </c>
      <c r="Q198">
        <v>14</v>
      </c>
      <c r="R198">
        <v>52</v>
      </c>
      <c r="S198">
        <v>375</v>
      </c>
      <c r="T198">
        <v>20</v>
      </c>
      <c r="U198">
        <v>456</v>
      </c>
      <c r="V198">
        <v>1</v>
      </c>
      <c r="W198" t="s">
        <v>365</v>
      </c>
      <c r="X198">
        <v>0</v>
      </c>
      <c r="Y198" s="2" t="s">
        <v>426</v>
      </c>
      <c r="Z198" s="2"/>
      <c r="AA198" s="2"/>
      <c r="AB198" s="2"/>
      <c r="AC198" s="2"/>
      <c r="AD198" s="2"/>
      <c r="AE198" s="2"/>
      <c r="AF198" s="2"/>
      <c r="AG198" s="2"/>
      <c r="AH198" s="2"/>
      <c r="AI198" s="2"/>
      <c r="AJ198" s="2"/>
      <c r="AL198" t="s">
        <v>372</v>
      </c>
      <c r="AM198" t="s">
        <v>400</v>
      </c>
      <c r="AN198" t="s">
        <v>381</v>
      </c>
      <c r="AO198" t="s">
        <v>382</v>
      </c>
      <c r="AP198" t="s">
        <v>383</v>
      </c>
      <c r="AQ198" t="s">
        <v>552</v>
      </c>
      <c r="AR198">
        <v>8</v>
      </c>
      <c r="AS198">
        <v>1</v>
      </c>
      <c r="AX198" s="2">
        <f>(SQRT(N198*U198)*POWER((MIN(P198,20)+SQRT(MAX(P198-20,0))),0.9)*Data!$B$1)*(1-(V198-1))</f>
        <v>205.63248469602536</v>
      </c>
      <c r="AY198" s="2"/>
      <c r="AZ198" s="2">
        <f>((POWER((N198*N198*U198), 0.33)*LOG10(S198)*10*Data!$B$1)*V198)+AY198</f>
        <v>221.87685160176434</v>
      </c>
      <c r="BA198" s="2">
        <f t="shared" ref="BA198:BA199" si="146">N198/1.24</f>
        <v>50</v>
      </c>
      <c r="BB198" s="2">
        <f t="shared" ref="BB198:BB199" si="147">AK198/1.24</f>
        <v>0</v>
      </c>
      <c r="BC198" s="2">
        <v>6</v>
      </c>
      <c r="BE198" s="2">
        <v>6</v>
      </c>
      <c r="BF198" s="2">
        <v>6</v>
      </c>
      <c r="BG198" s="2">
        <f t="shared" ref="BG198:BG199" si="148">U198/BF198</f>
        <v>76</v>
      </c>
      <c r="BH198" s="2">
        <f t="shared" ref="BH198:BH199" si="149">(U198)/MAX(BE198-(1+BD198), 1)</f>
        <v>91.2</v>
      </c>
      <c r="BI198">
        <v>32</v>
      </c>
      <c r="BJ198">
        <v>2.65</v>
      </c>
      <c r="BK198" s="3">
        <v>3.42</v>
      </c>
      <c r="BL198" s="2" t="str">
        <f>CONCATENATE(
ROUND(BI198*VLOOKUP(L198,'ID Scheme'!$A$2:$E$7,3),0), "x",
ROUND(BJ198*VLOOKUP(L198,'ID Scheme'!$A$2:$E$7,5),0), "x",
ROUND(BK198*VLOOKUP(L198,'ID Scheme'!$A$2:$E$7,4),0))</f>
        <v>299x38x33</v>
      </c>
      <c r="BM198" t="s">
        <v>129</v>
      </c>
    </row>
    <row r="199" spans="1:65" x14ac:dyDescent="0.35">
      <c r="A199" t="s">
        <v>115</v>
      </c>
      <c r="B199" t="s">
        <v>747</v>
      </c>
      <c r="C199" t="s">
        <v>324</v>
      </c>
      <c r="D199">
        <f>IF(H199 &gt; 2020, ((H199-2020)*4)+1610+J199,IF(H199 &gt; 1900, ((H199-1900)*10)+400+J199, ((H199-1730)*2)+J199))+VLOOKUP(L199,'ID Scheme'!$A$2:$B$7,2, FALSE)</f>
        <v>10083</v>
      </c>
      <c r="F199">
        <v>10082</v>
      </c>
      <c r="G199" t="s">
        <v>683</v>
      </c>
      <c r="H199">
        <v>2008</v>
      </c>
      <c r="I199">
        <v>1</v>
      </c>
      <c r="J199">
        <v>3</v>
      </c>
      <c r="K199" t="s">
        <v>521</v>
      </c>
      <c r="L199" t="s">
        <v>104</v>
      </c>
      <c r="M199" t="s">
        <v>503</v>
      </c>
      <c r="N199">
        <v>62</v>
      </c>
      <c r="O199">
        <v>-1</v>
      </c>
      <c r="P199">
        <v>25</v>
      </c>
      <c r="Q199">
        <v>14</v>
      </c>
      <c r="R199">
        <v>18</v>
      </c>
      <c r="S199">
        <v>375</v>
      </c>
      <c r="T199">
        <v>20</v>
      </c>
      <c r="U199">
        <v>152</v>
      </c>
      <c r="V199">
        <v>1</v>
      </c>
      <c r="W199" t="s">
        <v>365</v>
      </c>
      <c r="X199">
        <v>0</v>
      </c>
      <c r="Y199" s="2" t="s">
        <v>426</v>
      </c>
      <c r="Z199" s="2"/>
      <c r="AA199" s="2"/>
      <c r="AB199" s="2"/>
      <c r="AC199" s="2"/>
      <c r="AD199" s="2"/>
      <c r="AE199" s="2"/>
      <c r="AF199" s="2"/>
      <c r="AG199" s="2"/>
      <c r="AH199" s="2"/>
      <c r="AI199" s="2"/>
      <c r="AJ199" s="2"/>
      <c r="AM199" t="s">
        <v>399</v>
      </c>
      <c r="AN199" t="s">
        <v>752</v>
      </c>
      <c r="AO199" t="s">
        <v>372</v>
      </c>
      <c r="AP199" t="s">
        <v>375</v>
      </c>
      <c r="AQ199" t="s">
        <v>754</v>
      </c>
      <c r="AR199">
        <v>8</v>
      </c>
      <c r="AS199">
        <v>1</v>
      </c>
      <c r="AU199" t="s">
        <v>748</v>
      </c>
      <c r="AW199" t="s">
        <v>245</v>
      </c>
      <c r="AX199" s="2">
        <f>(SQRT(N199*U199)*POWER((MIN(P199,20)+SQRT(MAX(P199-20,0))),0.9)*Data!$B$1)*(1-(V199-1))</f>
        <v>118.72197039338184</v>
      </c>
      <c r="AY199" s="2"/>
      <c r="AZ199" s="2">
        <f>((POWER((N199*N199*U199), 0.33)*LOG10(S199)*10*Data!$B$1)*V199)+AY199</f>
        <v>154.40522075232829</v>
      </c>
      <c r="BA199" s="2">
        <f t="shared" si="146"/>
        <v>50</v>
      </c>
      <c r="BB199" s="2">
        <f t="shared" si="147"/>
        <v>0</v>
      </c>
      <c r="BC199" s="2">
        <v>2</v>
      </c>
      <c r="BE199" s="2">
        <v>2</v>
      </c>
      <c r="BF199" s="2">
        <v>2</v>
      </c>
      <c r="BG199" s="2">
        <f t="shared" si="148"/>
        <v>76</v>
      </c>
      <c r="BH199" s="2">
        <f t="shared" si="149"/>
        <v>152</v>
      </c>
      <c r="BI199">
        <v>32</v>
      </c>
      <c r="BJ199">
        <v>2.65</v>
      </c>
      <c r="BK199" s="3">
        <v>3.42</v>
      </c>
      <c r="BL199" s="2" t="str">
        <f>CONCATENATE(
ROUND(BI199*VLOOKUP(L199,'ID Scheme'!$A$2:$E$7,3),0), "x",
ROUND(BJ199*VLOOKUP(L199,'ID Scheme'!$A$2:$E$7,5),0), "x",
ROUND(BK199*VLOOKUP(L199,'ID Scheme'!$A$2:$E$7,4),0))</f>
        <v>299x38x33</v>
      </c>
      <c r="BM199" t="s">
        <v>129</v>
      </c>
    </row>
    <row r="200" spans="1:65" x14ac:dyDescent="0.35">
      <c r="A200" t="s">
        <v>115</v>
      </c>
      <c r="B200" t="s">
        <v>751</v>
      </c>
      <c r="C200" t="s">
        <v>324</v>
      </c>
      <c r="D200">
        <f>IF(H200 &gt; 2020, ((H200-2020)*4)+1610+J200,IF(H200 &gt; 1900, ((H200-1900)*10)+400+J200, ((H200-1730)*2)+J200))+VLOOKUP(L200,'ID Scheme'!$A$2:$B$7,2, FALSE)</f>
        <v>10084</v>
      </c>
      <c r="E200">
        <v>10083</v>
      </c>
      <c r="F200">
        <v>10082</v>
      </c>
      <c r="G200" t="s">
        <v>683</v>
      </c>
      <c r="H200">
        <v>2008</v>
      </c>
      <c r="I200">
        <v>1</v>
      </c>
      <c r="J200">
        <v>4</v>
      </c>
      <c r="K200" t="s">
        <v>521</v>
      </c>
      <c r="L200" t="s">
        <v>104</v>
      </c>
      <c r="M200" t="s">
        <v>503</v>
      </c>
      <c r="N200">
        <v>62</v>
      </c>
      <c r="O200">
        <v>-1</v>
      </c>
      <c r="P200">
        <v>25</v>
      </c>
      <c r="Q200">
        <v>14</v>
      </c>
      <c r="R200">
        <v>36</v>
      </c>
      <c r="S200">
        <v>375</v>
      </c>
      <c r="T200">
        <v>20</v>
      </c>
      <c r="U200">
        <v>304</v>
      </c>
      <c r="V200">
        <v>1</v>
      </c>
      <c r="W200" t="s">
        <v>365</v>
      </c>
      <c r="X200">
        <v>0</v>
      </c>
      <c r="Y200" s="2" t="s">
        <v>426</v>
      </c>
      <c r="Z200" s="2"/>
      <c r="AA200" s="2"/>
      <c r="AB200" s="2"/>
      <c r="AC200" s="2"/>
      <c r="AD200" s="2"/>
      <c r="AE200" s="2"/>
      <c r="AF200" s="2"/>
      <c r="AG200" s="2"/>
      <c r="AH200" s="2"/>
      <c r="AI200" s="2"/>
      <c r="AJ200" s="2"/>
      <c r="AM200" t="s">
        <v>706</v>
      </c>
      <c r="AN200" t="s">
        <v>753</v>
      </c>
      <c r="AO200" t="s">
        <v>377</v>
      </c>
      <c r="AP200" t="s">
        <v>378</v>
      </c>
      <c r="AQ200" t="s">
        <v>552</v>
      </c>
      <c r="AR200">
        <v>8</v>
      </c>
      <c r="AS200">
        <v>1</v>
      </c>
      <c r="AU200" t="s">
        <v>748</v>
      </c>
      <c r="AW200" t="s">
        <v>245</v>
      </c>
      <c r="AX200" s="2">
        <f>(SQRT(N200*U200)*POWER((MIN(P200,20)+SQRT(MAX(P200-20,0))),0.9)*Data!$B$1)*(1-(V200-1))</f>
        <v>167.89822068197765</v>
      </c>
      <c r="AY200" s="2"/>
      <c r="AZ200" s="2">
        <f>((POWER((N200*N200*U200), 0.33)*LOG10(S200)*10*Data!$B$1)*V200)+AY200</f>
        <v>194.08942758167203</v>
      </c>
      <c r="BA200" s="2">
        <f t="shared" si="140"/>
        <v>50</v>
      </c>
      <c r="BB200" s="2">
        <f t="shared" si="139"/>
        <v>0</v>
      </c>
      <c r="BC200" s="2">
        <v>4</v>
      </c>
      <c r="BE200" s="2">
        <v>4</v>
      </c>
      <c r="BF200" s="2">
        <v>4</v>
      </c>
      <c r="BG200" s="2">
        <f t="shared" si="141"/>
        <v>76</v>
      </c>
      <c r="BH200" s="2">
        <f t="shared" si="129"/>
        <v>101.33333333333333</v>
      </c>
      <c r="BI200">
        <v>32</v>
      </c>
      <c r="BJ200">
        <v>2.65</v>
      </c>
      <c r="BK200" s="3">
        <v>3.42</v>
      </c>
      <c r="BL200" s="2" t="str">
        <f>CONCATENATE(
ROUND(BI200*VLOOKUP(L200,'ID Scheme'!$A$2:$E$7,3),0), "x",
ROUND(BJ200*VLOOKUP(L200,'ID Scheme'!$A$2:$E$7,5),0), "x",
ROUND(BK200*VLOOKUP(L200,'ID Scheme'!$A$2:$E$7,4),0))</f>
        <v>299x38x33</v>
      </c>
      <c r="BM200" t="s">
        <v>129</v>
      </c>
    </row>
    <row r="201" spans="1:65" x14ac:dyDescent="0.35">
      <c r="A201" t="s">
        <v>135</v>
      </c>
      <c r="B201" t="s">
        <v>248</v>
      </c>
      <c r="C201" t="s">
        <v>324</v>
      </c>
      <c r="D201">
        <f>IF(H201 &gt; 2020, ((H201-2020)*4)+1610+J201,IF(H201 &gt; 1900, ((H201-1900)*10)+400+J201, ((H201-1730)*2)+J201))+VLOOKUP(L201,'ID Scheme'!$A$2:$B$7,2, FALSE)</f>
        <v>10101</v>
      </c>
      <c r="F201">
        <v>10101</v>
      </c>
      <c r="G201" t="s">
        <v>683</v>
      </c>
      <c r="H201">
        <v>2010</v>
      </c>
      <c r="I201">
        <v>11</v>
      </c>
      <c r="J201">
        <v>1</v>
      </c>
      <c r="K201" t="s">
        <v>521</v>
      </c>
      <c r="L201" t="s">
        <v>104</v>
      </c>
      <c r="M201" t="s">
        <v>503</v>
      </c>
      <c r="N201">
        <v>44</v>
      </c>
      <c r="O201">
        <v>-1</v>
      </c>
      <c r="P201">
        <v>25</v>
      </c>
      <c r="Q201">
        <v>14</v>
      </c>
      <c r="R201">
        <v>41</v>
      </c>
      <c r="S201">
        <v>640</v>
      </c>
      <c r="T201">
        <v>20</v>
      </c>
      <c r="U201">
        <v>225</v>
      </c>
      <c r="V201">
        <v>1</v>
      </c>
      <c r="W201" t="s">
        <v>365</v>
      </c>
      <c r="X201">
        <v>0</v>
      </c>
      <c r="Y201" s="2" t="s">
        <v>422</v>
      </c>
      <c r="Z201" s="2"/>
      <c r="AA201" s="2"/>
      <c r="AB201" s="2"/>
      <c r="AC201" s="2"/>
      <c r="AD201" s="2"/>
      <c r="AE201" s="2"/>
      <c r="AF201" s="2"/>
      <c r="AG201" s="2"/>
      <c r="AH201" s="2"/>
      <c r="AI201" s="2"/>
      <c r="AJ201" s="2"/>
      <c r="AL201" t="s">
        <v>384</v>
      </c>
      <c r="AM201" t="s">
        <v>401</v>
      </c>
      <c r="AN201" t="s">
        <v>385</v>
      </c>
      <c r="AO201" t="s">
        <v>386</v>
      </c>
      <c r="AP201" t="s">
        <v>387</v>
      </c>
      <c r="AQ201" t="s">
        <v>577</v>
      </c>
      <c r="AR201">
        <v>6</v>
      </c>
      <c r="AS201">
        <v>1</v>
      </c>
      <c r="AX201" s="2">
        <f>(SQRT(N201*U201)*POWER((MIN(P201,20)+SQRT(MAX(P201-20,0))),0.9)*Data!$B$1)*(1-(V201-1))</f>
        <v>121.68332110930714</v>
      </c>
      <c r="AY201" s="2"/>
      <c r="AZ201" s="2">
        <f>((POWER((N201*N201*U201), 0.33)*LOG10(S201)*10*Data!$B$1)*V201)+AY201</f>
        <v>152.78326328641526</v>
      </c>
      <c r="BA201" s="2">
        <f t="shared" si="140"/>
        <v>35.483870967741936</v>
      </c>
      <c r="BB201" s="2">
        <f t="shared" si="139"/>
        <v>0</v>
      </c>
      <c r="BC201" s="2">
        <v>5</v>
      </c>
      <c r="BE201" s="2">
        <v>5</v>
      </c>
      <c r="BF201" s="2">
        <v>5</v>
      </c>
      <c r="BG201" s="2">
        <f t="shared" si="141"/>
        <v>45</v>
      </c>
      <c r="BH201" s="2">
        <f t="shared" si="129"/>
        <v>56.25</v>
      </c>
      <c r="BK201" s="3"/>
      <c r="BL201" s="2" t="str">
        <f>CONCATENATE(
ROUND(BI201*VLOOKUP(L201,'ID Scheme'!$A$2:$E$7,3),0), "x",
ROUND(BJ201*VLOOKUP(L201,'ID Scheme'!$A$2:$E$7,5),0), "x",
ROUND(BK201*VLOOKUP(L201,'ID Scheme'!$A$2:$E$7,4),0))</f>
        <v>0x0x0</v>
      </c>
      <c r="BM201" t="s">
        <v>136</v>
      </c>
    </row>
    <row r="202" spans="1:65" x14ac:dyDescent="0.35">
      <c r="A202" t="s">
        <v>133</v>
      </c>
      <c r="B202" t="s">
        <v>256</v>
      </c>
      <c r="C202" t="s">
        <v>324</v>
      </c>
      <c r="D202">
        <f>IF(H202 &gt; 2020, ((H202-2020)*4)+1610+J202,IF(H202 &gt; 1900, ((H202-1900)*10)+400+J202, ((H202-1730)*2)+J202))+VLOOKUP(L202,'ID Scheme'!$A$2:$B$7,2, FALSE)</f>
        <v>10171</v>
      </c>
      <c r="F202">
        <v>10171</v>
      </c>
      <c r="G202" t="s">
        <v>683</v>
      </c>
      <c r="H202">
        <v>2017</v>
      </c>
      <c r="I202">
        <v>1</v>
      </c>
      <c r="J202">
        <v>1</v>
      </c>
      <c r="K202" t="s">
        <v>521</v>
      </c>
      <c r="L202" t="s">
        <v>104</v>
      </c>
      <c r="M202" t="s">
        <v>503</v>
      </c>
      <c r="N202">
        <v>62</v>
      </c>
      <c r="O202">
        <v>-1</v>
      </c>
      <c r="P202">
        <v>30</v>
      </c>
      <c r="Q202">
        <v>12</v>
      </c>
      <c r="R202">
        <v>63</v>
      </c>
      <c r="S202">
        <v>1180</v>
      </c>
      <c r="T202">
        <v>20</v>
      </c>
      <c r="U202">
        <v>238</v>
      </c>
      <c r="V202">
        <v>1</v>
      </c>
      <c r="W202" t="s">
        <v>365</v>
      </c>
      <c r="X202">
        <v>0</v>
      </c>
      <c r="Y202" s="2" t="s">
        <v>425</v>
      </c>
      <c r="Z202" s="2"/>
      <c r="AA202" s="2"/>
      <c r="AB202" s="2"/>
      <c r="AC202" s="2"/>
      <c r="AD202" s="2"/>
      <c r="AE202" s="2"/>
      <c r="AF202" s="2"/>
      <c r="AG202" s="2"/>
      <c r="AH202" s="2"/>
      <c r="AI202" s="2"/>
      <c r="AJ202" s="2"/>
      <c r="AL202" t="s">
        <v>388</v>
      </c>
      <c r="AM202" t="s">
        <v>402</v>
      </c>
      <c r="AN202" t="s">
        <v>389</v>
      </c>
      <c r="AO202" t="s">
        <v>388</v>
      </c>
      <c r="AP202" t="s">
        <v>390</v>
      </c>
      <c r="AQ202" t="s">
        <v>553</v>
      </c>
      <c r="AR202">
        <v>8</v>
      </c>
      <c r="AS202">
        <v>1</v>
      </c>
      <c r="AX202" s="2">
        <f>(SQRT(N202*U202)*POWER((MIN(P202,20)+SQRT(MAX(P202-20,0))),0.9)*Data!$B$1)*(1-(V202-1))</f>
        <v>154.11635315507084</v>
      </c>
      <c r="AY202" s="2"/>
      <c r="AZ202" s="2">
        <f>((POWER((N202*N202*U202), 0.33)*LOG10(S202)*10*Data!$B$1)*V202)+AY202</f>
        <v>213.65580865997862</v>
      </c>
      <c r="BA202" s="2">
        <f t="shared" si="140"/>
        <v>50</v>
      </c>
      <c r="BB202" s="2">
        <f t="shared" si="139"/>
        <v>0</v>
      </c>
      <c r="BC202" s="2">
        <v>3</v>
      </c>
      <c r="BE202" s="2">
        <v>3</v>
      </c>
      <c r="BF202" s="2">
        <v>3</v>
      </c>
      <c r="BG202" s="2">
        <f t="shared" si="141"/>
        <v>79.333333333333329</v>
      </c>
      <c r="BH202" s="2">
        <f t="shared" si="129"/>
        <v>119</v>
      </c>
      <c r="BI202">
        <v>37.200000000000003</v>
      </c>
      <c r="BJ202">
        <v>2.65</v>
      </c>
      <c r="BK202" s="3">
        <v>3.6</v>
      </c>
      <c r="BL202" s="2" t="str">
        <f>CONCATENATE(
ROUND(BI202*VLOOKUP(L202,'ID Scheme'!$A$2:$E$7,3),0), "x",
ROUND(BJ202*VLOOKUP(L202,'ID Scheme'!$A$2:$E$7,5),0), "x",
ROUND(BK202*VLOOKUP(L202,'ID Scheme'!$A$2:$E$7,4),0))</f>
        <v>347x38x35</v>
      </c>
      <c r="BM202" t="s">
        <v>134</v>
      </c>
    </row>
  </sheetData>
  <autoFilter ref="A1:BM202" xr:uid="{56F55A87-583C-464E-B7D6-67124107F553}">
    <sortState xmlns:xlrd2="http://schemas.microsoft.com/office/spreadsheetml/2017/richdata2" ref="A2:BM202">
      <sortCondition ref="D1:D202"/>
    </sortState>
  </autoFilter>
  <sortState xmlns:xlrd2="http://schemas.microsoft.com/office/spreadsheetml/2017/richdata2" ref="A3:BM202">
    <sortCondition ref="D122"/>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L1:L40 L42:L64 L66:L1048576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4.5" x14ac:dyDescent="0.35"/>
  <cols>
    <col min="1" max="1" width="22.26953125" bestFit="1" customWidth="1"/>
  </cols>
  <sheetData>
    <row r="1" spans="1:2" x14ac:dyDescent="0.3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4.5" x14ac:dyDescent="0.35"/>
  <cols>
    <col min="1" max="1" width="12.453125" bestFit="1" customWidth="1"/>
    <col min="2" max="2" width="7.453125" bestFit="1" customWidth="1"/>
    <col min="3" max="3" width="12" bestFit="1" customWidth="1"/>
    <col min="4" max="4" width="11.81640625" bestFit="1" customWidth="1"/>
    <col min="5" max="5" width="11.54296875" bestFit="1" customWidth="1"/>
  </cols>
  <sheetData>
    <row r="1" spans="1:5" x14ac:dyDescent="0.35">
      <c r="A1" s="1" t="s">
        <v>10</v>
      </c>
      <c r="B1" s="1" t="s">
        <v>11</v>
      </c>
      <c r="C1" s="1" t="s">
        <v>67</v>
      </c>
      <c r="D1" s="1" t="s">
        <v>68</v>
      </c>
      <c r="E1" s="1" t="s">
        <v>69</v>
      </c>
    </row>
    <row r="2" spans="1:5" x14ac:dyDescent="0.35">
      <c r="A2" t="s">
        <v>12</v>
      </c>
      <c r="B2">
        <v>600</v>
      </c>
      <c r="C2">
        <v>9.34</v>
      </c>
      <c r="D2">
        <v>9.68</v>
      </c>
      <c r="E2">
        <v>14.4</v>
      </c>
    </row>
    <row r="3" spans="1:5" x14ac:dyDescent="0.35">
      <c r="A3" t="s">
        <v>13</v>
      </c>
      <c r="B3">
        <f t="shared" ref="B3:B6" si="0">B2+2000</f>
        <v>2600</v>
      </c>
      <c r="C3">
        <v>9.34</v>
      </c>
      <c r="D3">
        <v>9.68</v>
      </c>
      <c r="E3">
        <v>14.4</v>
      </c>
    </row>
    <row r="4" spans="1:5" x14ac:dyDescent="0.35">
      <c r="A4" t="s">
        <v>14</v>
      </c>
      <c r="B4">
        <f t="shared" si="0"/>
        <v>4600</v>
      </c>
      <c r="C4">
        <v>9.34</v>
      </c>
      <c r="D4">
        <v>9.68</v>
      </c>
      <c r="E4">
        <v>14.4</v>
      </c>
    </row>
    <row r="5" spans="1:5" x14ac:dyDescent="0.35">
      <c r="A5" t="s">
        <v>48</v>
      </c>
      <c r="B5">
        <f t="shared" si="0"/>
        <v>6600</v>
      </c>
      <c r="C5">
        <v>9.34</v>
      </c>
      <c r="D5">
        <v>9.68</v>
      </c>
      <c r="E5">
        <v>14.4</v>
      </c>
    </row>
    <row r="6" spans="1:5" x14ac:dyDescent="0.35">
      <c r="A6" t="s">
        <v>104</v>
      </c>
      <c r="B6">
        <f t="shared" si="0"/>
        <v>8600</v>
      </c>
      <c r="C6">
        <v>9.34</v>
      </c>
      <c r="D6">
        <v>9.68</v>
      </c>
      <c r="E6">
        <v>14.4</v>
      </c>
    </row>
    <row r="7" spans="1:5" x14ac:dyDescent="0.3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2025-05-05T19:54:39Z</dcterms:modified>
</cp:coreProperties>
</file>